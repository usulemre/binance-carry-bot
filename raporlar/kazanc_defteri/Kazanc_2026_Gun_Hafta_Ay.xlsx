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sayımlar" sheetId="1" state="visible" r:id="rId3"/>
    <sheet name="Özet" sheetId="2" state="visible" r:id="rId4"/>
    <sheet name="Günlük" sheetId="3" state="visible" r:id="rId5"/>
    <sheet name="Haftalık" sheetId="4" state="visible" r:id="rId6"/>
    <sheet name="Aylık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<sst xmlns="http://schemas.openxmlformats.org/spreadsheetml/2006/main" count="387" uniqueCount="108">
  <si>
    <t xml:space="preserve">2026 kazanç defteri — varsayımlar</t>
  </si>
  <si>
    <t xml:space="preserve">Başlangıç bakiyesi (1 Ocak 2026, $)</t>
  </si>
  <si>
    <t xml:space="preserve">← değiştirilebilir (kullanıcının 1-5 milyon TL ≈ 20-100 bin $ aralığından örnek)</t>
  </si>
  <si>
    <t xml:space="preserve">Kaynak: binance-carry-bot backtest motoru (g33.py), KAR_HARITASI madde 601 / 623 / 628 / 629. Günlük getiriler 'Günlük' sayfasında (mavi = motor çıktısı).</t>
  </si>
  <si>
    <t xml:space="preserve">Model: gerçekçi (canlı gibi tek hesap girişi + işlem başı 5 bp + düzeltilmiş kademe dolumu), iki dilim hizasının ortalaması. Evren: TAM (≳ 12.500 $ bakiye).</t>
  </si>
  <si>
    <t xml:space="preserve">T4 = kod varsayılanı, kaldıraçsız. T7K 1,15x ve T6 1,10x: günlük getiri × kaldıraç (T4 ile aynı 6 yıllık maks düşüş, madde 596 yöntemi).</t>
  </si>
  <si>
    <t xml:space="preserve">Koşullu stop = CARRY_LONG_24S_PIYASA=0,03 (24 sa long stop yalnız piyasa medyanı ≤ −%3 iken). T6 serisi bot ritminde (8 sa), T7K serisi 4 sa kontrolle (fark ~3 puan/yıl).</t>
  </si>
  <si>
    <t xml:space="preserve">Kâr her gün yeniden yatırılır (bileşik). 2026 ölçümü 1 Ocak – 30 Eylül (Ekim verisi henüz yok).</t>
  </si>
  <si>
    <t xml:space="preserve">Bunlar geçmiş verinin simülasyonudur; canlı hesabın gerçek sonucu değildir ve gelecek için garanti vermez.</t>
  </si>
  <si>
    <t xml:space="preserve">2026 (1 Ocak – 30 Eylül) özet — TAM evren (20-100 bin $)</t>
  </si>
  <si>
    <t xml:space="preserve">Ölçü</t>
  </si>
  <si>
    <t xml:space="preserve">T4 (şimdiki)</t>
  </si>
  <si>
    <t xml:space="preserve">T7K 1,15x + koşullu stop</t>
  </si>
  <si>
    <t xml:space="preserve">T6 1,10x + koşullu stop</t>
  </si>
  <si>
    <t xml:space="preserve">Başlangıç bakiyesi $</t>
  </si>
  <si>
    <t xml:space="preserve">30 Eylül bakiyesi $</t>
  </si>
  <si>
    <t xml:space="preserve">Toplam kâr $</t>
  </si>
  <si>
    <t xml:space="preserve">Toplam getiri %</t>
  </si>
  <si>
    <t xml:space="preserve">Ortalama günlük getiri %</t>
  </si>
  <si>
    <t xml:space="preserve">En iyi gün %</t>
  </si>
  <si>
    <t xml:space="preserve">En kötü gün %</t>
  </si>
  <si>
    <t xml:space="preserve">Kazançlı gün sayısı</t>
  </si>
  <si>
    <t xml:space="preserve">Zararlı gün sayısı</t>
  </si>
  <si>
    <t xml:space="preserve">−%3'ten kötü gün</t>
  </si>
  <si>
    <t xml:space="preserve">−%5'ten kötü gün</t>
  </si>
  <si>
    <t xml:space="preserve">En kötü hafta %</t>
  </si>
  <si>
    <t xml:space="preserve">En kötü ay %</t>
  </si>
  <si>
    <t xml:space="preserve">Zararlı hafta sayısı</t>
  </si>
  <si>
    <t xml:space="preserve">Tarih</t>
  </si>
  <si>
    <t xml:space="preserve">Gün</t>
  </si>
  <si>
    <t xml:space="preserve">T4 (şimdiki) günlük %</t>
  </si>
  <si>
    <t xml:space="preserve">T7K 1,15x + koşullu stop günlük %</t>
  </si>
  <si>
    <t xml:space="preserve">T6 1,10x + koşullu stop günlük %</t>
  </si>
  <si>
    <t xml:space="preserve">T4 (şimdiki) bakiye $</t>
  </si>
  <si>
    <t xml:space="preserve">T7K 1,15x + koşullu stop bakiye $</t>
  </si>
  <si>
    <t xml:space="preserve">T6 1,10x + koşullu stop bakiye $</t>
  </si>
  <si>
    <t xml:space="preserve">T4 (şimdiki) günlük kâr $</t>
  </si>
  <si>
    <t xml:space="preserve">T7K 1,15x + koşullu stop günlük kâr $</t>
  </si>
  <si>
    <t xml:space="preserve">T6 1,10x + koşullu stop günlük kâr $</t>
  </si>
  <si>
    <t xml:space="preserve">Per</t>
  </si>
  <si>
    <t xml:space="preserve">Cum</t>
  </si>
  <si>
    <t xml:space="preserve">Cmt</t>
  </si>
  <si>
    <t xml:space="preserve">Paz</t>
  </si>
  <si>
    <t xml:space="preserve">Pzt</t>
  </si>
  <si>
    <t xml:space="preserve">Sal</t>
  </si>
  <si>
    <t xml:space="preserve">Çar</t>
  </si>
  <si>
    <t xml:space="preserve">Hafta</t>
  </si>
  <si>
    <t xml:space="preserve">Başlangıç</t>
  </si>
  <si>
    <t xml:space="preserve">Bitiş</t>
  </si>
  <si>
    <t xml:space="preserve">T4 (şimdiki) getiri %</t>
  </si>
  <si>
    <t xml:space="preserve">T7K 1,15x + koşullu stop getiri %</t>
  </si>
  <si>
    <t xml:space="preserve">T6 1,10x + koşullu stop getiri %</t>
  </si>
  <si>
    <t xml:space="preserve">T4 (şimdiki) kâr $</t>
  </si>
  <si>
    <t xml:space="preserve">T7K 1,15x + koşullu stop kâr $</t>
  </si>
  <si>
    <t xml:space="preserve">T6 1,10x + koşullu stop kâr $</t>
  </si>
  <si>
    <t xml:space="preserve">T4 (şimdiki) dönem sonu bakiye $</t>
  </si>
  <si>
    <t xml:space="preserve">T7K 1,15x + koşullu stop dönem sonu bakiye $</t>
  </si>
  <si>
    <t xml:space="preserve">T6 1,10x + koşullu stop dönem sonu bakiye $</t>
  </si>
  <si>
    <t xml:space="preserve">29.12 haftası</t>
  </si>
  <si>
    <t xml:space="preserve">05.01 haftası</t>
  </si>
  <si>
    <t xml:space="preserve">12.01 haftası</t>
  </si>
  <si>
    <t xml:space="preserve">19.01 haftası</t>
  </si>
  <si>
    <t xml:space="preserve">26.01 haftası</t>
  </si>
  <si>
    <t xml:space="preserve">02.02 haftası</t>
  </si>
  <si>
    <t xml:space="preserve">09.02 haftası</t>
  </si>
  <si>
    <t xml:space="preserve">16.02 haftası</t>
  </si>
  <si>
    <t xml:space="preserve">23.02 haftası</t>
  </si>
  <si>
    <t xml:space="preserve">02.03 haftası</t>
  </si>
  <si>
    <t xml:space="preserve">09.03 haftası</t>
  </si>
  <si>
    <t xml:space="preserve">16.03 haftası</t>
  </si>
  <si>
    <t xml:space="preserve">23.03 haftası</t>
  </si>
  <si>
    <t xml:space="preserve">30.03 haftası</t>
  </si>
  <si>
    <t xml:space="preserve">06.04 haftası</t>
  </si>
  <si>
    <t xml:space="preserve">13.04 haftası</t>
  </si>
  <si>
    <t xml:space="preserve">20.04 haftası</t>
  </si>
  <si>
    <t xml:space="preserve">27.04 haftası</t>
  </si>
  <si>
    <t xml:space="preserve">04.05 haftası</t>
  </si>
  <si>
    <t xml:space="preserve">11.05 haftası</t>
  </si>
  <si>
    <t xml:space="preserve">18.05 haftası</t>
  </si>
  <si>
    <t xml:space="preserve">25.05 haftası</t>
  </si>
  <si>
    <t xml:space="preserve">01.06 haftası</t>
  </si>
  <si>
    <t xml:space="preserve">08.06 haftası</t>
  </si>
  <si>
    <t xml:space="preserve">15.06 haftası</t>
  </si>
  <si>
    <t xml:space="preserve">22.06 haftası</t>
  </si>
  <si>
    <t xml:space="preserve">29.06 haftası</t>
  </si>
  <si>
    <t xml:space="preserve">06.07 haftası</t>
  </si>
  <si>
    <t xml:space="preserve">13.07 haftası</t>
  </si>
  <si>
    <t xml:space="preserve">20.07 haftası</t>
  </si>
  <si>
    <t xml:space="preserve">27.07 haftası</t>
  </si>
  <si>
    <t xml:space="preserve">03.08 haftası</t>
  </si>
  <si>
    <t xml:space="preserve">10.08 haftası</t>
  </si>
  <si>
    <t xml:space="preserve">17.08 haftası</t>
  </si>
  <si>
    <t xml:space="preserve">24.08 haftası</t>
  </si>
  <si>
    <t xml:space="preserve">31.08 haftası</t>
  </si>
  <si>
    <t xml:space="preserve">07.09 haftası</t>
  </si>
  <si>
    <t xml:space="preserve">14.09 haftası</t>
  </si>
  <si>
    <t xml:space="preserve">21.09 haftası</t>
  </si>
  <si>
    <t xml:space="preserve">28.09 haftası</t>
  </si>
  <si>
    <t xml:space="preserve">Ay</t>
  </si>
  <si>
    <t xml:space="preserve">Ocak 2026</t>
  </si>
  <si>
    <t xml:space="preserve">Şubat 2026</t>
  </si>
  <si>
    <t xml:space="preserve">Mart 2026</t>
  </si>
  <si>
    <t xml:space="preserve">Nisan 2026</t>
  </si>
  <si>
    <t xml:space="preserve">Mayıs 2026</t>
  </si>
  <si>
    <t xml:space="preserve">Haziran 2026</t>
  </si>
  <si>
    <t xml:space="preserve">Temmuz 2026</t>
  </si>
  <si>
    <t xml:space="preserve">Ağustos 2026</t>
  </si>
  <si>
    <t xml:space="preserve">Eylül 2026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</si>
</sst>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0.0%"/>
    <numFmt numFmtId="167" formatCode="0.00%;\-0.00%;\-"/>
    <numFmt numFmtId="168" formatCode="0"/>
    <numFmt numFmtId="169" formatCode="dd\.mm\.yyyy"/>
    <numFmt numFmtId="170" formatCode="0.0%;\-0.0%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theme="1"/>
      <name val="Arial"/>
      <family val="2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v>50000</v>
      </c>
      <c r="C3" s="4" t="s">
        <v>2</v>
      </c>
    </row>
    <row r="5" customFormat="false" ht="15" hidden="false" customHeight="false" outlineLevel="0" collapsed="false">
      <c r="A5" s="5" t="s">
        <v>3</v>
      </c>
    </row>
    <row r="6" customFormat="false" ht="15" hidden="false" customHeight="false" outlineLevel="0" collapsed="false">
      <c r="A6" s="5" t="s">
        <v>4</v>
      </c>
    </row>
    <row r="7" customFormat="false" ht="15" hidden="false" customHeight="false" outlineLevel="0" collapsed="false">
      <c r="A7" s="5" t="s">
        <v>5</v>
      </c>
    </row>
    <row r="8" customFormat="false" ht="15" hidden="false" customHeight="false" outlineLevel="0" collapsed="false">
      <c r="A8" s="5" t="s">
        <v>6</v>
      </c>
    </row>
    <row r="9" customFormat="false" ht="15" hidden="false" customHeight="false" outlineLevel="0" collapsed="false">
      <c r="A9" s="5" t="s">
        <v>7</v>
      </c>
    </row>
    <row r="10" customFormat="false" ht="15" hidden="false" customHeight="false" outlineLevel="0" collapsed="false">
      <c r="A10" s="5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22"/>
  </cols>
  <sheetData>
    <row r="1" customFormat="false" ht="16.15" hidden="false" customHeight="false" outlineLevel="0" collapsed="false">
      <c r="A1" s="1" t="s">
        <v>9</v>
      </c>
    </row>
    <row r="3" customFormat="false" ht="31.5" hidden="false" customHeight="true" outlineLevel="0" collapsed="false">
      <c r="A3" s="6" t="s">
        <v>10</v>
      </c>
      <c r="B3" s="6" t="s">
        <v>11</v>
      </c>
      <c r="C3" s="6" t="s">
        <v>12</v>
      </c>
      <c r="D3" s="6" t="s">
        <v>13</v>
      </c>
    </row>
    <row r="4" customFormat="false" ht="15" hidden="false" customHeight="false" outlineLevel="0" collapsed="false">
      <c r="A4" s="2" t="s">
        <v>14</v>
      </c>
      <c r="B4" s="7" t="n">
        <f aca="false">Varsayımlar!$B$3</f>
        <v>50000</v>
      </c>
      <c r="C4" s="7" t="n">
        <f aca="false">Varsayımlar!$B$3</f>
        <v>50000</v>
      </c>
      <c r="D4" s="7" t="n">
        <f aca="false">Varsayımlar!$B$3</f>
        <v>50000</v>
      </c>
    </row>
    <row r="5" customFormat="false" ht="15" hidden="false" customHeight="false" outlineLevel="0" collapsed="false">
      <c r="A5" s="2" t="s">
        <v>15</v>
      </c>
      <c r="B5" s="7" t="n">
        <f aca="false">Günlük!F274</f>
        <v>207232.707234664</v>
      </c>
      <c r="C5" s="7" t="n">
        <f aca="false">Günlük!G274</f>
        <v>236679.04800312</v>
      </c>
      <c r="D5" s="7" t="n">
        <f aca="false">Günlük!H274</f>
        <v>294431.991208957</v>
      </c>
    </row>
    <row r="6" customFormat="false" ht="15" hidden="false" customHeight="false" outlineLevel="0" collapsed="false">
      <c r="A6" s="2" t="s">
        <v>16</v>
      </c>
      <c r="B6" s="7" t="n">
        <f aca="false">Günlük!F274-Varsayımlar!$B$3</f>
        <v>157232.707234664</v>
      </c>
      <c r="C6" s="7" t="n">
        <f aca="false">Günlük!G274-Varsayımlar!$B$3</f>
        <v>186679.04800312</v>
      </c>
      <c r="D6" s="7" t="n">
        <f aca="false">Günlük!H274-Varsayımlar!$B$3</f>
        <v>244431.991208957</v>
      </c>
    </row>
    <row r="7" customFormat="false" ht="15" hidden="false" customHeight="false" outlineLevel="0" collapsed="false">
      <c r="A7" s="2" t="s">
        <v>17</v>
      </c>
      <c r="B7" s="8" t="n">
        <f aca="false">Günlük!F274/Varsayımlar!$B$3-1</f>
        <v>3.14465414469328</v>
      </c>
      <c r="C7" s="8" t="n">
        <f aca="false">Günlük!G274/Varsayımlar!$B$3-1</f>
        <v>3.73358096006241</v>
      </c>
      <c r="D7" s="8" t="n">
        <f aca="false">Günlük!H274/Varsayımlar!$B$3-1</f>
        <v>4.88863982417914</v>
      </c>
    </row>
    <row r="8" customFormat="false" ht="15" hidden="false" customHeight="false" outlineLevel="0" collapsed="false">
      <c r="A8" s="2" t="s">
        <v>18</v>
      </c>
      <c r="B8" s="9" t="n">
        <f aca="false">AVERAGE(Günlük!C2:C274)</f>
        <v>0.00542885588458752</v>
      </c>
      <c r="C8" s="9" t="n">
        <f aca="false">AVERAGE(Günlük!D2:D274)</f>
        <v>0.00595990298490949</v>
      </c>
      <c r="D8" s="9" t="n">
        <f aca="false">AVERAGE(Günlük!E2:E274)</f>
        <v>0.00682682397298959</v>
      </c>
    </row>
    <row r="9" customFormat="false" ht="15" hidden="false" customHeight="false" outlineLevel="0" collapsed="false">
      <c r="A9" s="2" t="s">
        <v>19</v>
      </c>
      <c r="B9" s="9" t="n">
        <f aca="false">MAX(Günlük!C2:C274)</f>
        <v>0.0765102794936549</v>
      </c>
      <c r="C9" s="9" t="n">
        <f aca="false">MAX(Günlük!D2:D274)</f>
        <v>0.0898542807198336</v>
      </c>
      <c r="D9" s="9" t="n">
        <f aca="false">MAX(Günlük!E2:E274)</f>
        <v>0.085871618064085</v>
      </c>
    </row>
    <row r="10" customFormat="false" ht="15" hidden="false" customHeight="false" outlineLevel="0" collapsed="false">
      <c r="A10" s="2" t="s">
        <v>20</v>
      </c>
      <c r="B10" s="9" t="n">
        <f aca="false">MIN(Günlük!C2:C274)</f>
        <v>-0.052912957533113</v>
      </c>
      <c r="C10" s="9" t="n">
        <f aca="false">MIN(Günlük!D2:D274)</f>
        <v>-0.0633721503087015</v>
      </c>
      <c r="D10" s="9" t="n">
        <f aca="false">MIN(Günlük!E2:E274)</f>
        <v>-0.0584536633292792</v>
      </c>
    </row>
    <row r="11" customFormat="false" ht="15" hidden="false" customHeight="false" outlineLevel="0" collapsed="false">
      <c r="A11" s="2" t="s">
        <v>21</v>
      </c>
      <c r="B11" s="10" t="n">
        <f aca="false">COUNTIF(Günlük!C2:C274,"&gt;0")</f>
        <v>162</v>
      </c>
      <c r="C11" s="10" t="n">
        <f aca="false">COUNTIF(Günlük!D2:D274,"&gt;0")</f>
        <v>163</v>
      </c>
      <c r="D11" s="10" t="n">
        <f aca="false">COUNTIF(Günlük!E2:E274,"&gt;0")</f>
        <v>165</v>
      </c>
    </row>
    <row r="12" customFormat="false" ht="15" hidden="false" customHeight="false" outlineLevel="0" collapsed="false">
      <c r="A12" s="2" t="s">
        <v>22</v>
      </c>
      <c r="B12" s="10" t="n">
        <f aca="false">COUNTIF(Günlük!C2:C274,"&lt;0")</f>
        <v>111</v>
      </c>
      <c r="C12" s="10" t="n">
        <f aca="false">COUNTIF(Günlük!D2:D274,"&lt;0")</f>
        <v>110</v>
      </c>
      <c r="D12" s="10" t="n">
        <f aca="false">COUNTIF(Günlük!E2:E274,"&lt;0")</f>
        <v>108</v>
      </c>
    </row>
    <row r="13" customFormat="false" ht="15" hidden="false" customHeight="false" outlineLevel="0" collapsed="false">
      <c r="A13" s="2" t="s">
        <v>23</v>
      </c>
      <c r="B13" s="10" t="n">
        <f aca="false">COUNTIF(Günlük!C2:C274,"&lt;-0.03")</f>
        <v>9</v>
      </c>
      <c r="C13" s="10" t="n">
        <f aca="false">COUNTIF(Günlük!D2:D274,"&lt;-0.03")</f>
        <v>15</v>
      </c>
      <c r="D13" s="10" t="n">
        <f aca="false">COUNTIF(Günlük!E2:E274,"&lt;-0.03")</f>
        <v>17</v>
      </c>
    </row>
    <row r="14" customFormat="false" ht="15" hidden="false" customHeight="false" outlineLevel="0" collapsed="false">
      <c r="A14" s="2" t="s">
        <v>24</v>
      </c>
      <c r="B14" s="10" t="n">
        <f aca="false">COUNTIF(Günlük!C2:C274,"&lt;-0.05")</f>
        <v>1</v>
      </c>
      <c r="C14" s="10" t="n">
        <f aca="false">COUNTIF(Günlük!D2:D274,"&lt;-0.05")</f>
        <v>2</v>
      </c>
      <c r="D14" s="10" t="n">
        <f aca="false">COUNTIF(Günlük!E2:E274,"&lt;-0.05")</f>
        <v>1</v>
      </c>
    </row>
    <row r="15" customFormat="false" ht="15" hidden="false" customHeight="false" outlineLevel="0" collapsed="false">
      <c r="A15" s="2" t="s">
        <v>25</v>
      </c>
      <c r="B15" s="8" t="n">
        <f aca="false">MIN(Haftalık!E2:E41)</f>
        <v>-0.0644016715431135</v>
      </c>
      <c r="C15" s="8" t="n">
        <f aca="false">MIN(Haftalık!F2:F41)</f>
        <v>-0.0941500067575369</v>
      </c>
      <c r="D15" s="8" t="n">
        <f aca="false">MIN(Haftalık!G2:G41)</f>
        <v>-0.111023609758318</v>
      </c>
    </row>
    <row r="16" customFormat="false" ht="15" hidden="false" customHeight="false" outlineLevel="0" collapsed="false">
      <c r="A16" s="2" t="s">
        <v>26</v>
      </c>
      <c r="B16" s="8" t="n">
        <f aca="false">MIN(Aylık!E2:E10)</f>
        <v>0.04342240339686</v>
      </c>
      <c r="C16" s="8" t="n">
        <f aca="false">MIN(Aylık!F2:F10)</f>
        <v>0.0338379817842394</v>
      </c>
      <c r="D16" s="8" t="n">
        <f aca="false">MIN(Aylık!G2:G10)</f>
        <v>0.0373598719049328</v>
      </c>
    </row>
    <row r="17" customFormat="false" ht="15" hidden="false" customHeight="false" outlineLevel="0" collapsed="false">
      <c r="A17" s="2" t="s">
        <v>27</v>
      </c>
      <c r="B17" s="10" t="n">
        <f aca="false">COUNTIF(Haftalık!E2:E41,"&lt;0")</f>
        <v>13</v>
      </c>
      <c r="C17" s="10" t="n">
        <f aca="false">COUNTIF(Haftalık!F2:F41,"&lt;0")</f>
        <v>10</v>
      </c>
      <c r="D17" s="10" t="n">
        <f aca="false">COUNTIF(Haftalık!G2:G41,"&lt;0")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11" min="3" style="0" width="15"/>
  </cols>
  <sheetData>
    <row r="1" customFormat="false" ht="31.5" hidden="false" customHeight="true" outlineLevel="0" collapsed="false">
      <c r="A1" s="6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  <c r="G1" s="6" t="s">
        <v>34</v>
      </c>
      <c r="H1" s="6" t="s">
        <v>35</v>
      </c>
      <c r="I1" s="6" t="s">
        <v>36</v>
      </c>
      <c r="J1" s="6" t="s">
        <v>37</v>
      </c>
      <c r="K1" s="6" t="s">
        <v>38</v>
      </c>
    </row>
    <row r="2" customFormat="false" ht="15" hidden="false" customHeight="false" outlineLevel="0" collapsed="false">
      <c r="A2" s="11" t="n">
        <v>46023</v>
      </c>
      <c r="B2" s="12" t="s">
        <v>39</v>
      </c>
      <c r="C2" s="13" t="n">
        <v>-0.00674859697142721</v>
      </c>
      <c r="D2" s="13" t="n">
        <v>-0.00423375766706943</v>
      </c>
      <c r="E2" s="13" t="n">
        <v>-0.0075103277219611</v>
      </c>
      <c r="F2" s="14" t="n">
        <f aca="false">Varsayımlar!$B$3*(1+C2)</f>
        <v>49662.5701514286</v>
      </c>
      <c r="G2" s="14" t="n">
        <f aca="false">Varsayımlar!$B$3*(1+D2)</f>
        <v>49788.3121166465</v>
      </c>
      <c r="H2" s="14" t="n">
        <f aca="false">Varsayımlar!$B$3*(1+E2)</f>
        <v>49624.4836139019</v>
      </c>
      <c r="I2" s="14" t="n">
        <f aca="false">F2-Varsayımlar!$B$3</f>
        <v>-337.429848571359</v>
      </c>
      <c r="J2" s="14" t="n">
        <f aca="false">G2-Varsayımlar!$B$3</f>
        <v>-211.687883353472</v>
      </c>
      <c r="K2" s="14" t="n">
        <f aca="false">H2-Varsayımlar!$B$3</f>
        <v>-375.516386098054</v>
      </c>
    </row>
    <row r="3" customFormat="false" ht="15" hidden="false" customHeight="false" outlineLevel="0" collapsed="false">
      <c r="A3" s="11" t="n">
        <v>46024</v>
      </c>
      <c r="B3" s="12" t="s">
        <v>40</v>
      </c>
      <c r="C3" s="13" t="n">
        <v>-0.0123960176781723</v>
      </c>
      <c r="D3" s="13" t="n">
        <v>-0.0143926164359789</v>
      </c>
      <c r="E3" s="13" t="n">
        <v>-0.0187695974120044</v>
      </c>
      <c r="F3" s="14" t="n">
        <f aca="false">F2*(1+C3)</f>
        <v>49046.9520538881</v>
      </c>
      <c r="G3" s="14" t="n">
        <f aca="false">G2*(1+D3)</f>
        <v>49071.7280373568</v>
      </c>
      <c r="H3" s="14" t="n">
        <f aca="false">H2*(1+E3)</f>
        <v>48693.0520346904</v>
      </c>
      <c r="I3" s="14" t="n">
        <f aca="false">F3-F2</f>
        <v>-615.618097540581</v>
      </c>
      <c r="J3" s="14" t="n">
        <f aca="false">G3-G2</f>
        <v>-716.584079289693</v>
      </c>
      <c r="K3" s="14" t="n">
        <f aca="false">H3-H2</f>
        <v>-931.431579211552</v>
      </c>
    </row>
    <row r="4" customFormat="false" ht="15" hidden="false" customHeight="false" outlineLevel="0" collapsed="false">
      <c r="A4" s="11" t="n">
        <v>46025</v>
      </c>
      <c r="B4" s="12" t="s">
        <v>41</v>
      </c>
      <c r="C4" s="13" t="n">
        <v>0.0033575545747887</v>
      </c>
      <c r="D4" s="13" t="n">
        <v>0.000421621390291488</v>
      </c>
      <c r="E4" s="13" t="n">
        <v>0.000475767343757566</v>
      </c>
      <c r="F4" s="14" t="n">
        <f aca="false">F3*(1+C4)</f>
        <v>49211.629872136</v>
      </c>
      <c r="G4" s="14" t="n">
        <f aca="false">G3*(1+D4)</f>
        <v>49092.417727556</v>
      </c>
      <c r="H4" s="14" t="n">
        <f aca="false">H3*(1+E4)</f>
        <v>48716.2185987164</v>
      </c>
      <c r="I4" s="14" t="n">
        <f aca="false">F4-F3</f>
        <v>164.677818247968</v>
      </c>
      <c r="J4" s="14" t="n">
        <f aca="false">G4-G3</f>
        <v>20.6896901991131</v>
      </c>
      <c r="K4" s="14" t="n">
        <f aca="false">H4-H3</f>
        <v>23.1665640259962</v>
      </c>
    </row>
    <row r="5" customFormat="false" ht="15" hidden="false" customHeight="false" outlineLevel="0" collapsed="false">
      <c r="A5" s="11" t="n">
        <v>46026</v>
      </c>
      <c r="B5" s="12" t="s">
        <v>42</v>
      </c>
      <c r="C5" s="13" t="n">
        <v>0.00275808193338856</v>
      </c>
      <c r="D5" s="13" t="n">
        <v>0.00365946618095171</v>
      </c>
      <c r="E5" s="13" t="n">
        <v>0.00180039204680683</v>
      </c>
      <c r="F5" s="14" t="n">
        <f aca="false">F4*(1+C5)</f>
        <v>49347.359579399</v>
      </c>
      <c r="G5" s="14" t="n">
        <f aca="false">G4*(1+D5)</f>
        <v>49272.0697699711</v>
      </c>
      <c r="H5" s="14" t="n">
        <f aca="false">H4*(1+E5)</f>
        <v>48803.926891232</v>
      </c>
      <c r="I5" s="14" t="n">
        <f aca="false">F5-F4</f>
        <v>135.729707262944</v>
      </c>
      <c r="J5" s="14" t="n">
        <f aca="false">G5-G4</f>
        <v>179.652042415146</v>
      </c>
      <c r="K5" s="14" t="n">
        <f aca="false">H5-H4</f>
        <v>87.7082925156283</v>
      </c>
    </row>
    <row r="6" customFormat="false" ht="15" hidden="false" customHeight="false" outlineLevel="0" collapsed="false">
      <c r="A6" s="11" t="n">
        <v>46027</v>
      </c>
      <c r="B6" s="12" t="s">
        <v>43</v>
      </c>
      <c r="C6" s="13" t="n">
        <v>0.0213438012681178</v>
      </c>
      <c r="D6" s="13" t="n">
        <v>0.0229898447149132</v>
      </c>
      <c r="E6" s="13" t="n">
        <v>0.020778108496642</v>
      </c>
      <c r="F6" s="14" t="n">
        <f aca="false">F5*(1+C6)</f>
        <v>50400.619815368</v>
      </c>
      <c r="G6" s="14" t="n">
        <f aca="false">G5*(1+D6)</f>
        <v>50404.8270027651</v>
      </c>
      <c r="H6" s="14" t="n">
        <f aca="false">H5*(1+E6)</f>
        <v>49817.9801792402</v>
      </c>
      <c r="I6" s="14" t="n">
        <f aca="false">F6-F5</f>
        <v>1053.26023596904</v>
      </c>
      <c r="J6" s="14" t="n">
        <f aca="false">G6-G5</f>
        <v>1132.75723279401</v>
      </c>
      <c r="K6" s="14" t="n">
        <f aca="false">H6-H5</f>
        <v>1014.05328800821</v>
      </c>
    </row>
    <row r="7" customFormat="false" ht="15" hidden="false" customHeight="false" outlineLevel="0" collapsed="false">
      <c r="A7" s="11" t="n">
        <v>46028</v>
      </c>
      <c r="B7" s="12" t="s">
        <v>44</v>
      </c>
      <c r="C7" s="13" t="n">
        <v>0.0355865299257718</v>
      </c>
      <c r="D7" s="13" t="n">
        <v>0.0413463957767468</v>
      </c>
      <c r="E7" s="13" t="n">
        <v>0.0381027378606552</v>
      </c>
      <c r="F7" s="14" t="n">
        <f aca="false">F6*(1+C7)</f>
        <v>52194.2029807051</v>
      </c>
      <c r="G7" s="14" t="n">
        <f aca="false">G6*(1+D7)</f>
        <v>52488.8849290799</v>
      </c>
      <c r="H7" s="14" t="n">
        <f aca="false">H6*(1+E7)</f>
        <v>51716.1816187571</v>
      </c>
      <c r="I7" s="14" t="n">
        <f aca="false">F7-F6</f>
        <v>1793.58316533704</v>
      </c>
      <c r="J7" s="14" t="n">
        <f aca="false">G7-G6</f>
        <v>2084.05792631478</v>
      </c>
      <c r="K7" s="14" t="n">
        <f aca="false">H7-H6</f>
        <v>1898.2014395169</v>
      </c>
    </row>
    <row r="8" customFormat="false" ht="15" hidden="false" customHeight="false" outlineLevel="0" collapsed="false">
      <c r="A8" s="11" t="n">
        <v>46029</v>
      </c>
      <c r="B8" s="12" t="s">
        <v>45</v>
      </c>
      <c r="C8" s="13" t="n">
        <v>-0.00308416810829004</v>
      </c>
      <c r="D8" s="13" t="n">
        <v>-0.00133267499237091</v>
      </c>
      <c r="E8" s="13" t="n">
        <v>0.00517957744711372</v>
      </c>
      <c r="F8" s="14" t="n">
        <f aca="false">F7*(1+C8)</f>
        <v>52033.2272844343</v>
      </c>
      <c r="G8" s="14" t="n">
        <f aca="false">G7*(1+D8)</f>
        <v>52418.9343047575</v>
      </c>
      <c r="H8" s="14" t="n">
        <f aca="false">H7*(1+E8)</f>
        <v>51984.0495867205</v>
      </c>
      <c r="I8" s="14" t="n">
        <f aca="false">F8-F7</f>
        <v>-160.975696270711</v>
      </c>
      <c r="J8" s="14" t="n">
        <f aca="false">G8-G7</f>
        <v>-69.9506243224168</v>
      </c>
      <c r="K8" s="14" t="n">
        <f aca="false">H8-H7</f>
        <v>267.86796796335</v>
      </c>
    </row>
    <row r="9" customFormat="false" ht="15" hidden="false" customHeight="false" outlineLevel="0" collapsed="false">
      <c r="A9" s="11" t="n">
        <v>46030</v>
      </c>
      <c r="B9" s="12" t="s">
        <v>39</v>
      </c>
      <c r="C9" s="13" t="n">
        <v>0.00358488387568678</v>
      </c>
      <c r="D9" s="13" t="n">
        <v>0.00734746432414147</v>
      </c>
      <c r="E9" s="13" t="n">
        <v>0.0115778405852098</v>
      </c>
      <c r="F9" s="14" t="n">
        <f aca="false">F8*(1+C9)</f>
        <v>52219.7603619263</v>
      </c>
      <c r="G9" s="14" t="n">
        <f aca="false">G8*(1+D9)</f>
        <v>52804.0805544712</v>
      </c>
      <c r="H9" s="14" t="n">
        <f aca="false">H8*(1+E9)</f>
        <v>52585.9126258092</v>
      </c>
      <c r="I9" s="14" t="n">
        <f aca="false">F9-F8</f>
        <v>186.53307749192</v>
      </c>
      <c r="J9" s="14" t="n">
        <f aca="false">G9-G8</f>
        <v>385.146249713725</v>
      </c>
      <c r="K9" s="14" t="n">
        <f aca="false">H9-H8</f>
        <v>601.86303908869</v>
      </c>
    </row>
    <row r="10" customFormat="false" ht="15" hidden="false" customHeight="false" outlineLevel="0" collapsed="false">
      <c r="A10" s="11" t="n">
        <v>46031</v>
      </c>
      <c r="B10" s="12" t="s">
        <v>40</v>
      </c>
      <c r="C10" s="13" t="n">
        <v>-0.00626688181936558</v>
      </c>
      <c r="D10" s="13" t="n">
        <v>-0.0064317794574369</v>
      </c>
      <c r="E10" s="13" t="n">
        <v>-0.0050985889087642</v>
      </c>
      <c r="F10" s="14" t="n">
        <f aca="false">F9*(1+C10)</f>
        <v>51892.5052951025</v>
      </c>
      <c r="G10" s="14" t="n">
        <f aca="false">G9*(1+D10)</f>
        <v>52464.4563538921</v>
      </c>
      <c r="H10" s="14" t="n">
        <f aca="false">H9*(1+E10)</f>
        <v>52317.798674938</v>
      </c>
      <c r="I10" s="14" t="n">
        <f aca="false">F10-F9</f>
        <v>-327.255066823789</v>
      </c>
      <c r="J10" s="14" t="n">
        <f aca="false">G10-G9</f>
        <v>-339.624200579092</v>
      </c>
      <c r="K10" s="14" t="n">
        <f aca="false">H10-H9</f>
        <v>-268.113950871193</v>
      </c>
    </row>
    <row r="11" customFormat="false" ht="15" hidden="false" customHeight="false" outlineLevel="0" collapsed="false">
      <c r="A11" s="11" t="n">
        <v>46032</v>
      </c>
      <c r="B11" s="12" t="s">
        <v>41</v>
      </c>
      <c r="C11" s="13" t="n">
        <v>0.00117287227493756</v>
      </c>
      <c r="D11" s="13" t="n">
        <v>-0.00107448513837696</v>
      </c>
      <c r="E11" s="13" t="n">
        <v>-0.00055251149154823</v>
      </c>
      <c r="F11" s="14" t="n">
        <f aca="false">F10*(1+C11)</f>
        <v>51953.3685758402</v>
      </c>
      <c r="G11" s="14" t="n">
        <f aca="false">G10*(1+D11)</f>
        <v>52408.0840752468</v>
      </c>
      <c r="H11" s="14" t="n">
        <f aca="false">H10*(1+E11)</f>
        <v>52288.8924899576</v>
      </c>
      <c r="I11" s="14" t="n">
        <f aca="false">F11-F10</f>
        <v>60.863280737678</v>
      </c>
      <c r="J11" s="14" t="n">
        <f aca="false">G11-G10</f>
        <v>-56.3722786452854</v>
      </c>
      <c r="K11" s="14" t="n">
        <f aca="false">H11-H10</f>
        <v>-28.9061849804129</v>
      </c>
    </row>
    <row r="12" customFormat="false" ht="15" hidden="false" customHeight="false" outlineLevel="0" collapsed="false">
      <c r="A12" s="11" t="n">
        <v>46033</v>
      </c>
      <c r="B12" s="12" t="s">
        <v>42</v>
      </c>
      <c r="C12" s="13" t="n">
        <v>0.0311115987600992</v>
      </c>
      <c r="D12" s="13" t="n">
        <v>0.0368732165919318</v>
      </c>
      <c r="E12" s="13" t="n">
        <v>0.0347848745316703</v>
      </c>
      <c r="F12" s="14" t="n">
        <f aca="false">F11*(1+C12)</f>
        <v>53569.7209332072</v>
      </c>
      <c r="G12" s="14" t="n">
        <f aca="false">G11*(1+D12)</f>
        <v>54340.5387105216</v>
      </c>
      <c r="H12" s="14" t="n">
        <f aca="false">H11*(1+E12)</f>
        <v>54107.7550546207</v>
      </c>
      <c r="I12" s="14" t="n">
        <f aca="false">F12-F11</f>
        <v>1616.35235736708</v>
      </c>
      <c r="J12" s="14" t="n">
        <f aca="false">G12-G11</f>
        <v>1932.45463527475</v>
      </c>
      <c r="K12" s="14" t="n">
        <f aca="false">H12-H11</f>
        <v>1818.86256466317</v>
      </c>
    </row>
    <row r="13" customFormat="false" ht="15" hidden="false" customHeight="false" outlineLevel="0" collapsed="false">
      <c r="A13" s="11" t="n">
        <v>46034</v>
      </c>
      <c r="B13" s="12" t="s">
        <v>43</v>
      </c>
      <c r="C13" s="13" t="n">
        <v>0.00852108080894876</v>
      </c>
      <c r="D13" s="13" t="n">
        <v>0.0121187436058943</v>
      </c>
      <c r="E13" s="13" t="n">
        <v>0.0137845220314512</v>
      </c>
      <c r="F13" s="14" t="n">
        <f aca="false">F12*(1+C13)</f>
        <v>54026.1928541919</v>
      </c>
      <c r="G13" s="14" t="n">
        <f aca="false">G12*(1+D13)</f>
        <v>54999.0777665606</v>
      </c>
      <c r="H13" s="14" t="n">
        <f aca="false">H12*(1+E13)</f>
        <v>54853.6045962435</v>
      </c>
      <c r="I13" s="14" t="n">
        <f aca="false">F13-F12</f>
        <v>456.471920984695</v>
      </c>
      <c r="J13" s="14" t="n">
        <f aca="false">G13-G12</f>
        <v>658.539056038986</v>
      </c>
      <c r="K13" s="14" t="n">
        <f aca="false">H13-H12</f>
        <v>745.849541622782</v>
      </c>
    </row>
    <row r="14" customFormat="false" ht="15" hidden="false" customHeight="false" outlineLevel="0" collapsed="false">
      <c r="A14" s="11" t="n">
        <v>46035</v>
      </c>
      <c r="B14" s="12" t="s">
        <v>44</v>
      </c>
      <c r="C14" s="13" t="n">
        <v>0.00521306945578604</v>
      </c>
      <c r="D14" s="13" t="n">
        <v>0.00572466328650759</v>
      </c>
      <c r="E14" s="13" t="n">
        <v>-0.000101056335544714</v>
      </c>
      <c r="F14" s="14" t="n">
        <f aca="false">F13*(1+C14)</f>
        <v>54307.8351499725</v>
      </c>
      <c r="G14" s="14" t="n">
        <f aca="false">G13*(1+D14)</f>
        <v>55313.9289678426</v>
      </c>
      <c r="H14" s="14" t="n">
        <f aca="false">H13*(1+E14)</f>
        <v>54848.0612919716</v>
      </c>
      <c r="I14" s="14" t="n">
        <f aca="false">F14-F13</f>
        <v>281.642295780584</v>
      </c>
      <c r="J14" s="14" t="n">
        <f aca="false">G14-G13</f>
        <v>314.851201282007</v>
      </c>
      <c r="K14" s="14" t="n">
        <f aca="false">H14-H13</f>
        <v>-5.54330427191599</v>
      </c>
    </row>
    <row r="15" customFormat="false" ht="15" hidden="false" customHeight="false" outlineLevel="0" collapsed="false">
      <c r="A15" s="11" t="n">
        <v>46036</v>
      </c>
      <c r="B15" s="12" t="s">
        <v>45</v>
      </c>
      <c r="C15" s="13" t="n">
        <v>0.0275429501630903</v>
      </c>
      <c r="D15" s="13" t="n">
        <v>0.0339078288597</v>
      </c>
      <c r="E15" s="13" t="n">
        <v>0.0326130034408155</v>
      </c>
      <c r="F15" s="14" t="n">
        <f aca="false">F14*(1+C15)</f>
        <v>55803.6331469735</v>
      </c>
      <c r="G15" s="14" t="n">
        <f aca="false">G14*(1+D15)</f>
        <v>57189.5042048418</v>
      </c>
      <c r="H15" s="14" t="n">
        <f aca="false">H14*(1+E15)</f>
        <v>56636.8213036087</v>
      </c>
      <c r="I15" s="14" t="n">
        <f aca="false">F15-F14</f>
        <v>1495.79799700101</v>
      </c>
      <c r="J15" s="14" t="n">
        <f aca="false">G15-G14</f>
        <v>1875.57523699921</v>
      </c>
      <c r="K15" s="14" t="n">
        <f aca="false">H15-H14</f>
        <v>1788.76001163713</v>
      </c>
    </row>
    <row r="16" customFormat="false" ht="15" hidden="false" customHeight="false" outlineLevel="0" collapsed="false">
      <c r="A16" s="11" t="n">
        <v>46037</v>
      </c>
      <c r="B16" s="12" t="s">
        <v>39</v>
      </c>
      <c r="C16" s="13" t="n">
        <v>0.0196816201890643</v>
      </c>
      <c r="D16" s="13" t="n">
        <v>0.0215976715627818</v>
      </c>
      <c r="E16" s="13" t="n">
        <v>0.024525755260534</v>
      </c>
      <c r="F16" s="14" t="n">
        <f aca="false">F15*(1+C16)</f>
        <v>56901.9390597421</v>
      </c>
      <c r="G16" s="14" t="n">
        <f aca="false">G15*(1+D16)</f>
        <v>58424.6643334963</v>
      </c>
      <c r="H16" s="14" t="n">
        <f aca="false">H15*(1+E16)</f>
        <v>58025.8821216356</v>
      </c>
      <c r="I16" s="14" t="n">
        <f aca="false">F16-F15</f>
        <v>1098.30591276861</v>
      </c>
      <c r="J16" s="14" t="n">
        <f aca="false">G16-G15</f>
        <v>1235.1601286545</v>
      </c>
      <c r="K16" s="14" t="n">
        <f aca="false">H16-H15</f>
        <v>1389.0608180269</v>
      </c>
    </row>
    <row r="17" customFormat="false" ht="15" hidden="false" customHeight="false" outlineLevel="0" collapsed="false">
      <c r="A17" s="11" t="n">
        <v>46038</v>
      </c>
      <c r="B17" s="12" t="s">
        <v>40</v>
      </c>
      <c r="C17" s="13" t="n">
        <v>0.0263253177349527</v>
      </c>
      <c r="D17" s="13" t="n">
        <v>0.0260013286327573</v>
      </c>
      <c r="E17" s="13" t="n">
        <v>0.0243751956808603</v>
      </c>
      <c r="F17" s="14" t="n">
        <f aca="false">F16*(1+C17)</f>
        <v>58399.9006852248</v>
      </c>
      <c r="G17" s="14" t="n">
        <f aca="false">G16*(1+D17)</f>
        <v>59943.7832310901</v>
      </c>
      <c r="H17" s="14" t="n">
        <f aca="false">H16*(1+E17)</f>
        <v>59440.274352905</v>
      </c>
      <c r="I17" s="14" t="n">
        <f aca="false">F17-F16</f>
        <v>1497.96162548263</v>
      </c>
      <c r="J17" s="14" t="n">
        <f aca="false">G17-G16</f>
        <v>1519.11889759378</v>
      </c>
      <c r="K17" s="14" t="n">
        <f aca="false">H17-H16</f>
        <v>1414.39223126941</v>
      </c>
    </row>
    <row r="18" customFormat="false" ht="15" hidden="false" customHeight="false" outlineLevel="0" collapsed="false">
      <c r="A18" s="11" t="n">
        <v>46039</v>
      </c>
      <c r="B18" s="12" t="s">
        <v>41</v>
      </c>
      <c r="C18" s="13" t="n">
        <v>-0.0367732958298856</v>
      </c>
      <c r="D18" s="13" t="n">
        <v>-0.0401662358358576</v>
      </c>
      <c r="E18" s="13" t="n">
        <v>-0.0383890327292738</v>
      </c>
      <c r="F18" s="14" t="n">
        <f aca="false">F17*(1+C18)</f>
        <v>56252.343860891</v>
      </c>
      <c r="G18" s="14" t="n">
        <f aca="false">G17*(1+D18)</f>
        <v>57536.0670969366</v>
      </c>
      <c r="H18" s="14" t="n">
        <f aca="false">H17*(1+E18)</f>
        <v>57158.4197153344</v>
      </c>
      <c r="I18" s="14" t="n">
        <f aca="false">F18-F17</f>
        <v>-2147.55682433371</v>
      </c>
      <c r="J18" s="14" t="n">
        <f aca="false">G18-G17</f>
        <v>-2407.7161341535</v>
      </c>
      <c r="K18" s="14" t="n">
        <f aca="false">H18-H17</f>
        <v>-2281.85463757068</v>
      </c>
    </row>
    <row r="19" customFormat="false" ht="15" hidden="false" customHeight="false" outlineLevel="0" collapsed="false">
      <c r="A19" s="11" t="n">
        <v>46040</v>
      </c>
      <c r="B19" s="12" t="s">
        <v>42</v>
      </c>
      <c r="C19" s="13" t="n">
        <v>0.0444992678572238</v>
      </c>
      <c r="D19" s="13" t="n">
        <v>0.051715639823565</v>
      </c>
      <c r="E19" s="13" t="n">
        <v>0.0534510821993127</v>
      </c>
      <c r="F19" s="14" t="n">
        <f aca="false">F18*(1+C19)</f>
        <v>58755.5319779535</v>
      </c>
      <c r="G19" s="14" t="n">
        <f aca="false">G18*(1+D19)</f>
        <v>60511.5816197862</v>
      </c>
      <c r="H19" s="14" t="n">
        <f aca="false">H18*(1+E19)</f>
        <v>60213.5991059215</v>
      </c>
      <c r="I19" s="14" t="n">
        <f aca="false">F19-F18</f>
        <v>2503.18811706245</v>
      </c>
      <c r="J19" s="14" t="n">
        <f aca="false">G19-G18</f>
        <v>2975.51452284964</v>
      </c>
      <c r="K19" s="14" t="n">
        <f aca="false">H19-H18</f>
        <v>3055.17939058716</v>
      </c>
    </row>
    <row r="20" customFormat="false" ht="15" hidden="false" customHeight="false" outlineLevel="0" collapsed="false">
      <c r="A20" s="11" t="n">
        <v>46041</v>
      </c>
      <c r="B20" s="12" t="s">
        <v>43</v>
      </c>
      <c r="C20" s="13" t="n">
        <v>0.0276023401989389</v>
      </c>
      <c r="D20" s="13" t="n">
        <v>0.0302285843611429</v>
      </c>
      <c r="E20" s="13" t="n">
        <v>0.0341129812050215</v>
      </c>
      <c r="F20" s="14" t="n">
        <f aca="false">F19*(1+C20)</f>
        <v>60377.3221601786</v>
      </c>
      <c r="G20" s="14" t="n">
        <f aca="false">G19*(1+D20)</f>
        <v>62340.7610696061</v>
      </c>
      <c r="H20" s="14" t="n">
        <f aca="false">H19*(1+E20)</f>
        <v>62267.6644805085</v>
      </c>
      <c r="I20" s="14" t="n">
        <f aca="false">F20-F19</f>
        <v>1621.79018222511</v>
      </c>
      <c r="J20" s="14" t="n">
        <f aca="false">G20-G19</f>
        <v>1829.17944981989</v>
      </c>
      <c r="K20" s="14" t="n">
        <f aca="false">H20-H19</f>
        <v>2054.06537458701</v>
      </c>
    </row>
    <row r="21" customFormat="false" ht="15" hidden="false" customHeight="false" outlineLevel="0" collapsed="false">
      <c r="A21" s="11" t="n">
        <v>46042</v>
      </c>
      <c r="B21" s="12" t="s">
        <v>44</v>
      </c>
      <c r="C21" s="13" t="n">
        <v>0.0392031062507081</v>
      </c>
      <c r="D21" s="13" t="n">
        <v>0.0476741252836485</v>
      </c>
      <c r="E21" s="13" t="n">
        <v>0.0473832549489496</v>
      </c>
      <c r="F21" s="14" t="n">
        <f aca="false">F20*(1+C21)</f>
        <v>62744.3007359573</v>
      </c>
      <c r="G21" s="14" t="n">
        <f aca="false">G20*(1+D21)</f>
        <v>65312.8023231165</v>
      </c>
      <c r="H21" s="14" t="n">
        <f aca="false">H20*(1+E21)</f>
        <v>65218.1091016641</v>
      </c>
      <c r="I21" s="14" t="n">
        <f aca="false">F21-F20</f>
        <v>2366.97857577872</v>
      </c>
      <c r="J21" s="14" t="n">
        <f aca="false">G21-G20</f>
        <v>2972.0412535104</v>
      </c>
      <c r="K21" s="14" t="n">
        <f aca="false">H21-H20</f>
        <v>2950.44462115559</v>
      </c>
    </row>
    <row r="22" customFormat="false" ht="15" hidden="false" customHeight="false" outlineLevel="0" collapsed="false">
      <c r="A22" s="11" t="n">
        <v>46043</v>
      </c>
      <c r="B22" s="12" t="s">
        <v>45</v>
      </c>
      <c r="C22" s="13" t="n">
        <v>0.027254238619295</v>
      </c>
      <c r="D22" s="13" t="n">
        <v>0.0202295124785944</v>
      </c>
      <c r="E22" s="13" t="n">
        <v>0.0183519418386826</v>
      </c>
      <c r="F22" s="14" t="n">
        <f aca="false">F21*(1+C22)</f>
        <v>64454.3488802159</v>
      </c>
      <c r="G22" s="14" t="n">
        <f aca="false">G21*(1+D22)</f>
        <v>66634.048472724</v>
      </c>
      <c r="H22" s="14" t="n">
        <f aca="false">H21*(1+E22)</f>
        <v>66414.9880467267</v>
      </c>
      <c r="I22" s="14" t="n">
        <f aca="false">F22-F21</f>
        <v>1710.0481442586</v>
      </c>
      <c r="J22" s="14" t="n">
        <f aca="false">G22-G21</f>
        <v>1321.24614960746</v>
      </c>
      <c r="K22" s="14" t="n">
        <f aca="false">H22-H21</f>
        <v>1196.8789450626</v>
      </c>
    </row>
    <row r="23" customFormat="false" ht="15" hidden="false" customHeight="false" outlineLevel="0" collapsed="false">
      <c r="A23" s="11" t="n">
        <v>46044</v>
      </c>
      <c r="B23" s="12" t="s">
        <v>39</v>
      </c>
      <c r="C23" s="13" t="n">
        <v>0.018933841282326</v>
      </c>
      <c r="D23" s="13" t="n">
        <v>0.00948917064972777</v>
      </c>
      <c r="E23" s="13" t="n">
        <v>0.00976706157418209</v>
      </c>
      <c r="F23" s="14" t="n">
        <f aca="false">F22*(1+C23)</f>
        <v>65674.7172918696</v>
      </c>
      <c r="G23" s="14" t="n">
        <f aca="false">G22*(1+D23)</f>
        <v>67266.3503297639</v>
      </c>
      <c r="H23" s="14" t="n">
        <f aca="false">H22*(1+E23)</f>
        <v>67063.6673244277</v>
      </c>
      <c r="I23" s="14" t="n">
        <f aca="false">F23-F22</f>
        <v>1220.36841165366</v>
      </c>
      <c r="J23" s="14" t="n">
        <f aca="false">G23-G22</f>
        <v>632.301857039915</v>
      </c>
      <c r="K23" s="14" t="n">
        <f aca="false">H23-H22</f>
        <v>648.67927770094</v>
      </c>
    </row>
    <row r="24" customFormat="false" ht="15" hidden="false" customHeight="false" outlineLevel="0" collapsed="false">
      <c r="A24" s="11" t="n">
        <v>46045</v>
      </c>
      <c r="B24" s="12" t="s">
        <v>40</v>
      </c>
      <c r="C24" s="13" t="n">
        <v>-0.00353463197623138</v>
      </c>
      <c r="D24" s="13" t="n">
        <v>-0.0135572682401603</v>
      </c>
      <c r="E24" s="13" t="n">
        <v>-0.0131107855814251</v>
      </c>
      <c r="F24" s="14" t="n">
        <f aca="false">F23*(1+C24)</f>
        <v>65442.5813360998</v>
      </c>
      <c r="G24" s="14" t="n">
        <f aca="false">G23*(1+D24)</f>
        <v>66354.4023748067</v>
      </c>
      <c r="H24" s="14" t="n">
        <f aca="false">H23*(1+E24)</f>
        <v>66184.4099618331</v>
      </c>
      <c r="I24" s="14" t="n">
        <f aca="false">F24-F23</f>
        <v>-232.135955769802</v>
      </c>
      <c r="J24" s="14" t="n">
        <f aca="false">G24-G23</f>
        <v>-911.947954957199</v>
      </c>
      <c r="K24" s="14" t="n">
        <f aca="false">H24-H23</f>
        <v>-879.257362594595</v>
      </c>
    </row>
    <row r="25" customFormat="false" ht="15" hidden="false" customHeight="false" outlineLevel="0" collapsed="false">
      <c r="A25" s="11" t="n">
        <v>46046</v>
      </c>
      <c r="B25" s="12" t="s">
        <v>41</v>
      </c>
      <c r="C25" s="13" t="n">
        <v>0.0301116228580942</v>
      </c>
      <c r="D25" s="13" t="n">
        <v>0.0351426976750179</v>
      </c>
      <c r="E25" s="13" t="n">
        <v>0.0336698436310366</v>
      </c>
      <c r="F25" s="14" t="n">
        <f aca="false">F24*(1+C25)</f>
        <v>67413.1636641526</v>
      </c>
      <c r="G25" s="14" t="n">
        <f aca="false">G24*(1+D25)</f>
        <v>68686.275076871</v>
      </c>
      <c r="H25" s="14" t="n">
        <f aca="false">H24*(1+E25)</f>
        <v>68412.8286960604</v>
      </c>
      <c r="I25" s="14" t="n">
        <f aca="false">F25-F24</f>
        <v>1970.5823280528</v>
      </c>
      <c r="J25" s="14" t="n">
        <f aca="false">G25-G24</f>
        <v>2331.87270206431</v>
      </c>
      <c r="K25" s="14" t="n">
        <f aca="false">H25-H24</f>
        <v>2228.41873422734</v>
      </c>
    </row>
    <row r="26" customFormat="false" ht="15" hidden="false" customHeight="false" outlineLevel="0" collapsed="false">
      <c r="A26" s="11" t="n">
        <v>46047</v>
      </c>
      <c r="B26" s="12" t="s">
        <v>42</v>
      </c>
      <c r="C26" s="13" t="n">
        <v>0.0223838380364003</v>
      </c>
      <c r="D26" s="13" t="n">
        <v>0.0175814058927848</v>
      </c>
      <c r="E26" s="13" t="n">
        <v>0.0217388439422694</v>
      </c>
      <c r="F26" s="14" t="n">
        <f aca="false">F25*(1+C26)</f>
        <v>68922.1290011323</v>
      </c>
      <c r="G26" s="14" t="n">
        <f aca="false">G25*(1+D26)</f>
        <v>69893.8763582609</v>
      </c>
      <c r="H26" s="14" t="n">
        <f aca="false">H25*(1+E26)</f>
        <v>69900.0445027333</v>
      </c>
      <c r="I26" s="14" t="n">
        <f aca="false">F26-F25</f>
        <v>1508.96533697975</v>
      </c>
      <c r="J26" s="14" t="n">
        <f aca="false">G26-G25</f>
        <v>1207.60128138994</v>
      </c>
      <c r="K26" s="14" t="n">
        <f aca="false">H26-H25</f>
        <v>1487.21580667287</v>
      </c>
    </row>
    <row r="27" customFormat="false" ht="15" hidden="false" customHeight="false" outlineLevel="0" collapsed="false">
      <c r="A27" s="11" t="n">
        <v>46048</v>
      </c>
      <c r="B27" s="12" t="s">
        <v>43</v>
      </c>
      <c r="C27" s="13" t="n">
        <v>-0.00822930271033012</v>
      </c>
      <c r="D27" s="13" t="n">
        <v>-0.0129646013510169</v>
      </c>
      <c r="E27" s="13" t="n">
        <v>-0.015453999093817</v>
      </c>
      <c r="F27" s="14" t="n">
        <f aca="false">F26*(1+C27)</f>
        <v>68354.9479381416</v>
      </c>
      <c r="G27" s="14" t="n">
        <f aca="false">G26*(1+D27)</f>
        <v>68987.7301143988</v>
      </c>
      <c r="H27" s="14" t="n">
        <f aca="false">H26*(1+E27)</f>
        <v>68819.8092783303</v>
      </c>
      <c r="I27" s="14" t="n">
        <f aca="false">F27-F26</f>
        <v>-567.181062990741</v>
      </c>
      <c r="J27" s="14" t="n">
        <f aca="false">G27-G26</f>
        <v>-906.146243862124</v>
      </c>
      <c r="K27" s="14" t="n">
        <f aca="false">H27-H26</f>
        <v>-1080.23522440302</v>
      </c>
    </row>
    <row r="28" customFormat="false" ht="15" hidden="false" customHeight="false" outlineLevel="0" collapsed="false">
      <c r="A28" s="11" t="n">
        <v>46049</v>
      </c>
      <c r="B28" s="12" t="s">
        <v>44</v>
      </c>
      <c r="C28" s="13" t="n">
        <v>0.0123751526057688</v>
      </c>
      <c r="D28" s="13" t="n">
        <v>0.0249026885409916</v>
      </c>
      <c r="E28" s="13" t="n">
        <v>0.0225213237145512</v>
      </c>
      <c r="F28" s="14" t="n">
        <f aca="false">F27*(1+C28)</f>
        <v>69200.8508502355</v>
      </c>
      <c r="G28" s="14" t="n">
        <f aca="false">G27*(1+D28)</f>
        <v>70705.7100705877</v>
      </c>
      <c r="H28" s="14" t="n">
        <f aca="false">H27*(1+E28)</f>
        <v>70369.7224810612</v>
      </c>
      <c r="I28" s="14" t="n">
        <f aca="false">F28-F27</f>
        <v>845.902912093879</v>
      </c>
      <c r="J28" s="14" t="n">
        <f aca="false">G28-G27</f>
        <v>1717.97995618885</v>
      </c>
      <c r="K28" s="14" t="n">
        <f aca="false">H28-H27</f>
        <v>1549.91320273095</v>
      </c>
    </row>
    <row r="29" customFormat="false" ht="15" hidden="false" customHeight="false" outlineLevel="0" collapsed="false">
      <c r="A29" s="11" t="n">
        <v>46050</v>
      </c>
      <c r="B29" s="12" t="s">
        <v>45</v>
      </c>
      <c r="C29" s="13" t="n">
        <v>-0.00574487824809117</v>
      </c>
      <c r="D29" s="13" t="n">
        <v>-0.00859238425488399</v>
      </c>
      <c r="E29" s="13" t="n">
        <v>-0.00785322258932876</v>
      </c>
      <c r="F29" s="14" t="n">
        <f aca="false">F28*(1+C29)</f>
        <v>68803.3003874365</v>
      </c>
      <c r="G29" s="14" t="n">
        <f aca="false">G28*(1+D29)</f>
        <v>70098.1794406467</v>
      </c>
      <c r="H29" s="14" t="n">
        <f aca="false">H28*(1+E29)</f>
        <v>69817.0933868682</v>
      </c>
      <c r="I29" s="14" t="n">
        <f aca="false">F29-F28</f>
        <v>-397.550462798929</v>
      </c>
      <c r="J29" s="14" t="n">
        <f aca="false">G29-G28</f>
        <v>-607.530629940913</v>
      </c>
      <c r="K29" s="14" t="n">
        <f aca="false">H29-H28</f>
        <v>-552.629094193064</v>
      </c>
    </row>
    <row r="30" customFormat="false" ht="15" hidden="false" customHeight="false" outlineLevel="0" collapsed="false">
      <c r="A30" s="11" t="n">
        <v>46051</v>
      </c>
      <c r="B30" s="12" t="s">
        <v>39</v>
      </c>
      <c r="C30" s="13" t="n">
        <v>-0.0174621216868742</v>
      </c>
      <c r="D30" s="13" t="n">
        <v>-0.0208957834095596</v>
      </c>
      <c r="E30" s="13" t="n">
        <v>-0.0176680531593384</v>
      </c>
      <c r="F30" s="14" t="n">
        <f aca="false">F29*(1+C30)</f>
        <v>67601.8487836125</v>
      </c>
      <c r="G30" s="14" t="n">
        <f aca="false">G29*(1+D30)</f>
        <v>68633.4230656505</v>
      </c>
      <c r="H30" s="14" t="n">
        <f aca="false">H29*(1+E30)</f>
        <v>68583.5612694785</v>
      </c>
      <c r="I30" s="14" t="n">
        <f aca="false">F30-F29</f>
        <v>-1201.45160382398</v>
      </c>
      <c r="J30" s="14" t="n">
        <f aca="false">G30-G29</f>
        <v>-1464.7563749962</v>
      </c>
      <c r="K30" s="14" t="n">
        <f aca="false">H30-H29</f>
        <v>-1233.53211738968</v>
      </c>
    </row>
    <row r="31" customFormat="false" ht="15" hidden="false" customHeight="false" outlineLevel="0" collapsed="false">
      <c r="A31" s="11" t="n">
        <v>46052</v>
      </c>
      <c r="B31" s="12" t="s">
        <v>40</v>
      </c>
      <c r="C31" s="13" t="n">
        <v>0.00317013644191633</v>
      </c>
      <c r="D31" s="13" t="n">
        <v>0.00951207980937933</v>
      </c>
      <c r="E31" s="13" t="n">
        <v>0.0115618865569261</v>
      </c>
      <c r="F31" s="14" t="n">
        <f aca="false">F30*(1+C31)</f>
        <v>67816.1558679824</v>
      </c>
      <c r="G31" s="14" t="n">
        <f aca="false">G30*(1+D31)</f>
        <v>69286.2696634419</v>
      </c>
      <c r="H31" s="14" t="n">
        <f aca="false">H30*(1+E31)</f>
        <v>69376.5166245462</v>
      </c>
      <c r="I31" s="14" t="n">
        <f aca="false">F31-F30</f>
        <v>214.307084369852</v>
      </c>
      <c r="J31" s="14" t="n">
        <f aca="false">G31-G30</f>
        <v>652.846597791358</v>
      </c>
      <c r="K31" s="14" t="n">
        <f aca="false">H31-H30</f>
        <v>792.955355067694</v>
      </c>
    </row>
    <row r="32" customFormat="false" ht="15" hidden="false" customHeight="false" outlineLevel="0" collapsed="false">
      <c r="A32" s="11" t="n">
        <v>46053</v>
      </c>
      <c r="B32" s="12" t="s">
        <v>41</v>
      </c>
      <c r="C32" s="13" t="n">
        <v>0.0109869372796754</v>
      </c>
      <c r="D32" s="13" t="n">
        <v>0.0382785947140461</v>
      </c>
      <c r="E32" s="13" t="n">
        <v>0.0498046609740066</v>
      </c>
      <c r="F32" s="14" t="n">
        <f aca="false">F31*(1+C32)</f>
        <v>68561.2477190526</v>
      </c>
      <c r="G32" s="14" t="n">
        <f aca="false">G31*(1+D32)</f>
        <v>71938.4506991369</v>
      </c>
      <c r="H32" s="14" t="n">
        <f aca="false">H31*(1+E32)</f>
        <v>72831.7905145892</v>
      </c>
      <c r="I32" s="14" t="n">
        <f aca="false">F32-F31</f>
        <v>745.091851070218</v>
      </c>
      <c r="J32" s="14" t="n">
        <f aca="false">G32-G31</f>
        <v>2652.181035695</v>
      </c>
      <c r="K32" s="14" t="n">
        <f aca="false">H32-H31</f>
        <v>3455.27389004306</v>
      </c>
    </row>
    <row r="33" customFormat="false" ht="15" hidden="false" customHeight="false" outlineLevel="0" collapsed="false">
      <c r="A33" s="11" t="n">
        <v>46054</v>
      </c>
      <c r="B33" s="12" t="s">
        <v>42</v>
      </c>
      <c r="C33" s="13" t="n">
        <v>0.00345546038117556</v>
      </c>
      <c r="D33" s="13" t="n">
        <v>-0.0221414747577336</v>
      </c>
      <c r="E33" s="13" t="n">
        <v>-0.0197310155285658</v>
      </c>
      <c r="F33" s="14" t="n">
        <f aca="false">F32*(1+C33)</f>
        <v>68798.1583942298</v>
      </c>
      <c r="G33" s="14" t="n">
        <f aca="false">G32*(1+D33)</f>
        <v>70345.6273088715</v>
      </c>
      <c r="H33" s="14" t="n">
        <f aca="false">H32*(1+E33)</f>
        <v>71394.7453249726</v>
      </c>
      <c r="I33" s="14" t="n">
        <f aca="false">F33-F32</f>
        <v>236.910675177147</v>
      </c>
      <c r="J33" s="14" t="n">
        <f aca="false">G33-G32</f>
        <v>-1592.8233902654</v>
      </c>
      <c r="K33" s="14" t="n">
        <f aca="false">H33-H32</f>
        <v>-1437.04518961661</v>
      </c>
    </row>
    <row r="34" customFormat="false" ht="15" hidden="false" customHeight="false" outlineLevel="0" collapsed="false">
      <c r="A34" s="11" t="n">
        <v>46055</v>
      </c>
      <c r="B34" s="12" t="s">
        <v>43</v>
      </c>
      <c r="C34" s="13" t="n">
        <v>-0.0114930195004258</v>
      </c>
      <c r="D34" s="13" t="n">
        <v>-0.0100626068917206</v>
      </c>
      <c r="E34" s="13" t="n">
        <v>-0.0143315745915428</v>
      </c>
      <c r="F34" s="14" t="n">
        <f aca="false">F33*(1+C34)</f>
        <v>68007.4598182115</v>
      </c>
      <c r="G34" s="14" t="n">
        <f aca="false">G33*(1+D34)</f>
        <v>69637.7669147108</v>
      </c>
      <c r="H34" s="14" t="n">
        <f aca="false">H33*(1+E34)</f>
        <v>70371.5462069036</v>
      </c>
      <c r="I34" s="14" t="n">
        <f aca="false">F34-F33</f>
        <v>-790.698576018272</v>
      </c>
      <c r="J34" s="14" t="n">
        <f aca="false">G34-G33</f>
        <v>-707.860394160671</v>
      </c>
      <c r="K34" s="14" t="n">
        <f aca="false">H34-H33</f>
        <v>-1023.19911806904</v>
      </c>
    </row>
    <row r="35" customFormat="false" ht="15" hidden="false" customHeight="false" outlineLevel="0" collapsed="false">
      <c r="A35" s="11" t="n">
        <v>46056</v>
      </c>
      <c r="B35" s="12" t="s">
        <v>44</v>
      </c>
      <c r="C35" s="13" t="n">
        <v>-0.00106495201173518</v>
      </c>
      <c r="D35" s="13" t="n">
        <v>0.00336304611573363</v>
      </c>
      <c r="E35" s="13" t="n">
        <v>0.00619089293272935</v>
      </c>
      <c r="F35" s="14" t="n">
        <f aca="false">F34*(1+C35)</f>
        <v>67935.0351370651</v>
      </c>
      <c r="G35" s="14" t="n">
        <f aca="false">G34*(1+D35)</f>
        <v>69871.9619362417</v>
      </c>
      <c r="H35" s="14" t="n">
        <f aca="false">H34*(1+E35)</f>
        <v>70807.2089149811</v>
      </c>
      <c r="I35" s="14" t="n">
        <f aca="false">F35-F34</f>
        <v>-72.4246811463963</v>
      </c>
      <c r="J35" s="14" t="n">
        <f aca="false">G35-G34</f>
        <v>234.19502153089</v>
      </c>
      <c r="K35" s="14" t="n">
        <f aca="false">H35-H34</f>
        <v>435.662708077565</v>
      </c>
    </row>
    <row r="36" customFormat="false" ht="15" hidden="false" customHeight="false" outlineLevel="0" collapsed="false">
      <c r="A36" s="11" t="n">
        <v>46057</v>
      </c>
      <c r="B36" s="12" t="s">
        <v>45</v>
      </c>
      <c r="C36" s="13" t="n">
        <v>0.00680326949687138</v>
      </c>
      <c r="D36" s="13" t="n">
        <v>0.0101385910323967</v>
      </c>
      <c r="E36" s="13" t="n">
        <v>0.0120027308824983</v>
      </c>
      <c r="F36" s="14" t="n">
        <f aca="false">F35*(1+C36)</f>
        <v>68397.215489382</v>
      </c>
      <c r="G36" s="14" t="n">
        <f aca="false">G35*(1+D36)</f>
        <v>70580.3651829445</v>
      </c>
      <c r="H36" s="14" t="n">
        <f aca="false">H35*(1+E36)</f>
        <v>71657.0887881285</v>
      </c>
      <c r="I36" s="14" t="n">
        <f aca="false">F36-F35</f>
        <v>462.180352316878</v>
      </c>
      <c r="J36" s="14" t="n">
        <f aca="false">G36-G35</f>
        <v>708.403246702743</v>
      </c>
      <c r="K36" s="14" t="n">
        <f aca="false">H36-H35</f>
        <v>849.879873147336</v>
      </c>
    </row>
    <row r="37" customFormat="false" ht="15" hidden="false" customHeight="false" outlineLevel="0" collapsed="false">
      <c r="A37" s="11" t="n">
        <v>46058</v>
      </c>
      <c r="B37" s="12" t="s">
        <v>39</v>
      </c>
      <c r="C37" s="13" t="n">
        <v>0.00832069798738355</v>
      </c>
      <c r="D37" s="13" t="n">
        <v>0.00480614529875781</v>
      </c>
      <c r="E37" s="13" t="n">
        <v>0.0181210187043446</v>
      </c>
      <c r="F37" s="14" t="n">
        <f aca="false">F36*(1+C37)</f>
        <v>68966.3280626471</v>
      </c>
      <c r="G37" s="14" t="n">
        <f aca="false">G36*(1+D37)</f>
        <v>70919.5846732531</v>
      </c>
      <c r="H37" s="14" t="n">
        <f aca="false">H36*(1+E37)</f>
        <v>72955.588234357</v>
      </c>
      <c r="I37" s="14" t="n">
        <f aca="false">F37-F36</f>
        <v>569.112573265142</v>
      </c>
      <c r="J37" s="14" t="n">
        <f aca="false">G37-G36</f>
        <v>339.21949030862</v>
      </c>
      <c r="K37" s="14" t="n">
        <f aca="false">H37-H36</f>
        <v>1298.49944622855</v>
      </c>
    </row>
    <row r="38" customFormat="false" ht="15" hidden="false" customHeight="false" outlineLevel="0" collapsed="false">
      <c r="A38" s="11" t="n">
        <v>46059</v>
      </c>
      <c r="B38" s="12" t="s">
        <v>40</v>
      </c>
      <c r="C38" s="13" t="n">
        <v>0.0379244311366018</v>
      </c>
      <c r="D38" s="13" t="n">
        <v>0.0469191941005599</v>
      </c>
      <c r="E38" s="13" t="n">
        <v>0.047375039624927</v>
      </c>
      <c r="F38" s="14" t="n">
        <f aca="false">F37*(1+C38)</f>
        <v>71581.8368220033</v>
      </c>
      <c r="G38" s="14" t="n">
        <f aca="false">G37*(1+D38)</f>
        <v>74247.0744320685</v>
      </c>
      <c r="H38" s="14" t="n">
        <f aca="false">H37*(1+E38)</f>
        <v>76411.8621178196</v>
      </c>
      <c r="I38" s="14" t="n">
        <f aca="false">F38-F37</f>
        <v>2615.50875935615</v>
      </c>
      <c r="J38" s="14" t="n">
        <f aca="false">G38-G37</f>
        <v>3327.48975881546</v>
      </c>
      <c r="K38" s="14" t="n">
        <f aca="false">H38-H37</f>
        <v>3456.27388346252</v>
      </c>
    </row>
    <row r="39" customFormat="false" ht="15" hidden="false" customHeight="false" outlineLevel="0" collapsed="false">
      <c r="A39" s="11" t="n">
        <v>46060</v>
      </c>
      <c r="B39" s="12" t="s">
        <v>41</v>
      </c>
      <c r="C39" s="13" t="n">
        <v>-0.0127934712496033</v>
      </c>
      <c r="D39" s="13" t="n">
        <v>-0.0142795387555329</v>
      </c>
      <c r="E39" s="13" t="n">
        <v>-0.0139828751543569</v>
      </c>
      <c r="F39" s="14" t="n">
        <f aca="false">F38*(1+C39)</f>
        <v>70666.0566506272</v>
      </c>
      <c r="G39" s="14" t="n">
        <f aca="false">G38*(1+D39)</f>
        <v>73186.8604552309</v>
      </c>
      <c r="H39" s="14" t="n">
        <f aca="false">H38*(1+E39)</f>
        <v>75343.4045895142</v>
      </c>
      <c r="I39" s="14" t="n">
        <f aca="false">F39-F38</f>
        <v>-915.780171376086</v>
      </c>
      <c r="J39" s="14" t="n">
        <f aca="false">G39-G38</f>
        <v>-1060.21397683765</v>
      </c>
      <c r="K39" s="14" t="n">
        <f aca="false">H39-H38</f>
        <v>-1068.4575283054</v>
      </c>
    </row>
    <row r="40" customFormat="false" ht="15" hidden="false" customHeight="false" outlineLevel="0" collapsed="false">
      <c r="A40" s="11" t="n">
        <v>46061</v>
      </c>
      <c r="B40" s="12" t="s">
        <v>42</v>
      </c>
      <c r="C40" s="13" t="n">
        <v>0.00638705193378852</v>
      </c>
      <c r="D40" s="13" t="n">
        <v>0.00811476757210095</v>
      </c>
      <c r="E40" s="13" t="n">
        <v>0.00784874751113931</v>
      </c>
      <c r="F40" s="14" t="n">
        <f aca="false">F39*(1+C40)</f>
        <v>71117.4044244108</v>
      </c>
      <c r="G40" s="14" t="n">
        <f aca="false">G39*(1+D40)</f>
        <v>73780.7548171569</v>
      </c>
      <c r="H40" s="14" t="n">
        <f aca="false">H39*(1+E40)</f>
        <v>75934.7559487669</v>
      </c>
      <c r="I40" s="14" t="n">
        <f aca="false">F40-F39</f>
        <v>451.347773783593</v>
      </c>
      <c r="J40" s="14" t="n">
        <f aca="false">G40-G39</f>
        <v>593.894361925981</v>
      </c>
      <c r="K40" s="14" t="n">
        <f aca="false">H40-H39</f>
        <v>591.351359252716</v>
      </c>
    </row>
    <row r="41" customFormat="false" ht="15" hidden="false" customHeight="false" outlineLevel="0" collapsed="false">
      <c r="A41" s="11" t="n">
        <v>46062</v>
      </c>
      <c r="B41" s="12" t="s">
        <v>43</v>
      </c>
      <c r="C41" s="13" t="n">
        <v>0.0120475654265755</v>
      </c>
      <c r="D41" s="13" t="n">
        <v>0.01449261818154</v>
      </c>
      <c r="E41" s="13" t="n">
        <v>0.0140476686978521</v>
      </c>
      <c r="F41" s="14" t="n">
        <f aca="false">F40*(1+C41)</f>
        <v>71974.1960071821</v>
      </c>
      <c r="G41" s="14" t="n">
        <f aca="false">G40*(1+D41)</f>
        <v>74850.0311258677</v>
      </c>
      <c r="H41" s="14" t="n">
        <f aca="false">H40*(1+E41)</f>
        <v>77001.4622429874</v>
      </c>
      <c r="I41" s="14" t="n">
        <f aca="false">F41-F40</f>
        <v>856.791582771315</v>
      </c>
      <c r="J41" s="14" t="n">
        <f aca="false">G41-G40</f>
        <v>1069.27630871086</v>
      </c>
      <c r="K41" s="14" t="n">
        <f aca="false">H41-H40</f>
        <v>1066.70629422054</v>
      </c>
    </row>
    <row r="42" customFormat="false" ht="15" hidden="false" customHeight="false" outlineLevel="0" collapsed="false">
      <c r="A42" s="11" t="n">
        <v>46063</v>
      </c>
      <c r="B42" s="12" t="s">
        <v>44</v>
      </c>
      <c r="C42" s="13" t="n">
        <v>0.0222119463981805</v>
      </c>
      <c r="D42" s="13" t="n">
        <v>0.0242935814722003</v>
      </c>
      <c r="E42" s="13" t="n">
        <v>0.0251915499636722</v>
      </c>
      <c r="F42" s="14" t="n">
        <f aca="false">F41*(1+C42)</f>
        <v>73572.8829909457</v>
      </c>
      <c r="G42" s="14" t="n">
        <f aca="false">G41*(1+D42)</f>
        <v>76668.4064552207</v>
      </c>
      <c r="H42" s="14" t="n">
        <f aca="false">H41*(1+E42)</f>
        <v>78941.2484263574</v>
      </c>
      <c r="I42" s="14" t="n">
        <f aca="false">F42-F41</f>
        <v>1598.68698376366</v>
      </c>
      <c r="J42" s="14" t="n">
        <f aca="false">G42-G41</f>
        <v>1818.37532935299</v>
      </c>
      <c r="K42" s="14" t="n">
        <f aca="false">H42-H41</f>
        <v>1939.78618337004</v>
      </c>
    </row>
    <row r="43" customFormat="false" ht="15" hidden="false" customHeight="false" outlineLevel="0" collapsed="false">
      <c r="A43" s="11" t="n">
        <v>46064</v>
      </c>
      <c r="B43" s="12" t="s">
        <v>45</v>
      </c>
      <c r="C43" s="13" t="n">
        <v>0.0483890823280591</v>
      </c>
      <c r="D43" s="13" t="n">
        <v>0.05488612747377</v>
      </c>
      <c r="E43" s="13" t="n">
        <v>0.0555635989375944</v>
      </c>
      <c r="F43" s="14" t="n">
        <f aca="false">F42*(1+C43)</f>
        <v>77133.0072831073</v>
      </c>
      <c r="G43" s="14" t="n">
        <f aca="false">G42*(1+D43)</f>
        <v>80876.4383851328</v>
      </c>
      <c r="H43" s="14" t="n">
        <f aca="false">H42*(1+E43)</f>
        <v>83327.5082935526</v>
      </c>
      <c r="I43" s="14" t="n">
        <f aca="false">F43-F42</f>
        <v>3560.12429216153</v>
      </c>
      <c r="J43" s="14" t="n">
        <f aca="false">G43-G42</f>
        <v>4208.03192991205</v>
      </c>
      <c r="K43" s="14" t="n">
        <f aca="false">H43-H42</f>
        <v>4386.25986719513</v>
      </c>
    </row>
    <row r="44" customFormat="false" ht="15" hidden="false" customHeight="false" outlineLevel="0" collapsed="false">
      <c r="A44" s="11" t="n">
        <v>46065</v>
      </c>
      <c r="B44" s="12" t="s">
        <v>39</v>
      </c>
      <c r="C44" s="13" t="n">
        <v>-0.00813653262008118</v>
      </c>
      <c r="D44" s="13" t="n">
        <v>-0.00818327391083191</v>
      </c>
      <c r="E44" s="13" t="n">
        <v>-0.00997025995415053</v>
      </c>
      <c r="F44" s="14" t="n">
        <f aca="false">F43*(1+C44)</f>
        <v>76505.4120532633</v>
      </c>
      <c r="G44" s="14" t="n">
        <f aca="false">G43*(1+D44)</f>
        <v>80214.6043368947</v>
      </c>
      <c r="H44" s="14" t="n">
        <f aca="false">H43*(1+E44)</f>
        <v>82496.7113745342</v>
      </c>
      <c r="I44" s="14" t="n">
        <f aca="false">F44-F43</f>
        <v>-627.595229843966</v>
      </c>
      <c r="J44" s="14" t="n">
        <f aca="false">G44-G43</f>
        <v>-661.834048238059</v>
      </c>
      <c r="K44" s="14" t="n">
        <f aca="false">H44-H43</f>
        <v>-830.79691901835</v>
      </c>
    </row>
    <row r="45" customFormat="false" ht="15" hidden="false" customHeight="false" outlineLevel="0" collapsed="false">
      <c r="A45" s="11" t="n">
        <v>46066</v>
      </c>
      <c r="B45" s="12" t="s">
        <v>40</v>
      </c>
      <c r="C45" s="13" t="n">
        <v>-0.0270738378064824</v>
      </c>
      <c r="D45" s="13" t="n">
        <v>-0.0226915338803179</v>
      </c>
      <c r="E45" s="13" t="n">
        <v>-0.0261562287253941</v>
      </c>
      <c r="F45" s="14" t="n">
        <f aca="false">F44*(1+C45)</f>
        <v>74434.1169360152</v>
      </c>
      <c r="G45" s="14" t="n">
        <f aca="false">G44*(1+D45)</f>
        <v>78394.4119248878</v>
      </c>
      <c r="H45" s="14" t="n">
        <f aca="false">H44*(1+E45)</f>
        <v>80338.9085227291</v>
      </c>
      <c r="I45" s="14" t="n">
        <f aca="false">F45-F44</f>
        <v>-2071.29511724814</v>
      </c>
      <c r="J45" s="14" t="n">
        <f aca="false">G45-G44</f>
        <v>-1820.19241200695</v>
      </c>
      <c r="K45" s="14" t="n">
        <f aca="false">H45-H44</f>
        <v>-2157.80285180514</v>
      </c>
    </row>
    <row r="46" customFormat="false" ht="15" hidden="false" customHeight="false" outlineLevel="0" collapsed="false">
      <c r="A46" s="11" t="n">
        <v>46067</v>
      </c>
      <c r="B46" s="12" t="s">
        <v>41</v>
      </c>
      <c r="C46" s="13" t="n">
        <v>-0.0226599090906453</v>
      </c>
      <c r="D46" s="13" t="n">
        <v>-0.0186644948856541</v>
      </c>
      <c r="E46" s="13" t="n">
        <v>-0.0201376536506729</v>
      </c>
      <c r="F46" s="14" t="n">
        <f aca="false">F45*(1+C46)</f>
        <v>72747.4466130026</v>
      </c>
      <c r="G46" s="14" t="n">
        <f aca="false">G45*(1+D46)</f>
        <v>76931.2198244518</v>
      </c>
      <c r="H46" s="14" t="n">
        <f aca="false">H45*(1+E46)</f>
        <v>78721.0714082253</v>
      </c>
      <c r="I46" s="14" t="n">
        <f aca="false">F46-F45</f>
        <v>-1686.67032301257</v>
      </c>
      <c r="J46" s="14" t="n">
        <f aca="false">G46-G45</f>
        <v>-1463.19210043592</v>
      </c>
      <c r="K46" s="14" t="n">
        <f aca="false">H46-H45</f>
        <v>-1617.83711450383</v>
      </c>
    </row>
    <row r="47" customFormat="false" ht="15" hidden="false" customHeight="false" outlineLevel="0" collapsed="false">
      <c r="A47" s="11" t="n">
        <v>46068</v>
      </c>
      <c r="B47" s="12" t="s">
        <v>42</v>
      </c>
      <c r="C47" s="13" t="n">
        <v>0.017144917308353</v>
      </c>
      <c r="D47" s="13" t="n">
        <v>0.0156448772859261</v>
      </c>
      <c r="E47" s="13" t="n">
        <v>0.0168992759218027</v>
      </c>
      <c r="F47" s="14" t="n">
        <f aca="false">F46*(1+C47)</f>
        <v>73994.6955695764</v>
      </c>
      <c r="G47" s="14" t="n">
        <f aca="false">G46*(1+D47)</f>
        <v>78134.799318062</v>
      </c>
      <c r="H47" s="14" t="n">
        <f aca="false">H46*(1+E47)</f>
        <v>80051.4005148128</v>
      </c>
      <c r="I47" s="14" t="n">
        <f aca="false">F47-F46</f>
        <v>1247.24895657375</v>
      </c>
      <c r="J47" s="14" t="n">
        <f aca="false">G47-G46</f>
        <v>1203.57949361016</v>
      </c>
      <c r="K47" s="14" t="n">
        <f aca="false">H47-H46</f>
        <v>1330.32910658754</v>
      </c>
    </row>
    <row r="48" customFormat="false" ht="15" hidden="false" customHeight="false" outlineLevel="0" collapsed="false">
      <c r="A48" s="11" t="n">
        <v>46069</v>
      </c>
      <c r="B48" s="12" t="s">
        <v>43</v>
      </c>
      <c r="C48" s="13" t="n">
        <v>-0.013514200128306</v>
      </c>
      <c r="D48" s="13" t="n">
        <v>-0.000303812268608322</v>
      </c>
      <c r="E48" s="13" t="n">
        <v>-0.000884372282035262</v>
      </c>
      <c r="F48" s="14" t="n">
        <f aca="false">F47*(1+C48)</f>
        <v>72994.716445216</v>
      </c>
      <c r="G48" s="14" t="n">
        <f aca="false">G47*(1+D48)</f>
        <v>78111.0610074239</v>
      </c>
      <c r="H48" s="14" t="n">
        <f aca="false">H47*(1+E48)</f>
        <v>79980.6052750594</v>
      </c>
      <c r="I48" s="14" t="n">
        <f aca="false">F48-F47</f>
        <v>-999.97912436034</v>
      </c>
      <c r="J48" s="14" t="n">
        <f aca="false">G48-G47</f>
        <v>-23.738310638073</v>
      </c>
      <c r="K48" s="14" t="n">
        <f aca="false">H48-H47</f>
        <v>-70.79523975341</v>
      </c>
    </row>
    <row r="49" customFormat="false" ht="15" hidden="false" customHeight="false" outlineLevel="0" collapsed="false">
      <c r="A49" s="11" t="n">
        <v>46070</v>
      </c>
      <c r="B49" s="12" t="s">
        <v>44</v>
      </c>
      <c r="C49" s="13" t="n">
        <v>-0.00606975101856155</v>
      </c>
      <c r="D49" s="13" t="n">
        <v>-0.0036801566207585</v>
      </c>
      <c r="E49" s="13" t="n">
        <v>-0.00256148334275503</v>
      </c>
      <c r="F49" s="14" t="n">
        <f aca="false">F48*(1+C49)</f>
        <v>72551.656690723</v>
      </c>
      <c r="G49" s="14" t="n">
        <f aca="false">G48*(1+D49)</f>
        <v>77823.600069103</v>
      </c>
      <c r="H49" s="14" t="n">
        <f aca="false">H48*(1+E49)</f>
        <v>79775.7362869039</v>
      </c>
      <c r="I49" s="14" t="n">
        <f aca="false">F49-F48</f>
        <v>-443.059754492962</v>
      </c>
      <c r="J49" s="14" t="n">
        <f aca="false">G49-G48</f>
        <v>-287.460938320946</v>
      </c>
      <c r="K49" s="14" t="n">
        <f aca="false">H49-H48</f>
        <v>-204.868988155533</v>
      </c>
    </row>
    <row r="50" customFormat="false" ht="15" hidden="false" customHeight="false" outlineLevel="0" collapsed="false">
      <c r="A50" s="11" t="n">
        <v>46071</v>
      </c>
      <c r="B50" s="12" t="s">
        <v>45</v>
      </c>
      <c r="C50" s="13" t="n">
        <v>-0.012645091215735</v>
      </c>
      <c r="D50" s="13" t="n">
        <v>-0.0163624714946419</v>
      </c>
      <c r="E50" s="13" t="n">
        <v>-0.0120553873663466</v>
      </c>
      <c r="F50" s="14" t="n">
        <f aca="false">F49*(1+C50)</f>
        <v>71634.2343740162</v>
      </c>
      <c r="G50" s="14" t="n">
        <f aca="false">G49*(1+D50)</f>
        <v>76550.2136313619</v>
      </c>
      <c r="H50" s="14" t="n">
        <f aca="false">H49*(1+E50)</f>
        <v>78814.0088835297</v>
      </c>
      <c r="I50" s="14" t="n">
        <f aca="false">F50-F49</f>
        <v>-917.422316706885</v>
      </c>
      <c r="J50" s="14" t="n">
        <f aca="false">G50-G49</f>
        <v>-1273.38643774111</v>
      </c>
      <c r="K50" s="14" t="n">
        <f aca="false">H50-H49</f>
        <v>-961.727403374141</v>
      </c>
    </row>
    <row r="51" customFormat="false" ht="15" hidden="false" customHeight="false" outlineLevel="0" collapsed="false">
      <c r="A51" s="11" t="n">
        <v>46072</v>
      </c>
      <c r="B51" s="12" t="s">
        <v>39</v>
      </c>
      <c r="C51" s="13" t="n">
        <v>-0.00398363068776803</v>
      </c>
      <c r="D51" s="13" t="n">
        <v>-0.00426236789984753</v>
      </c>
      <c r="E51" s="13" t="n">
        <v>-0.00443868855087322</v>
      </c>
      <c r="F51" s="14" t="n">
        <f aca="false">F50*(1+C51)</f>
        <v>71348.8700396691</v>
      </c>
      <c r="G51" s="14" t="n">
        <f aca="false">G50*(1+D51)</f>
        <v>76223.9284580531</v>
      </c>
      <c r="H51" s="14" t="n">
        <f aca="false">H50*(1+E51)</f>
        <v>78464.17804465</v>
      </c>
      <c r="I51" s="14" t="n">
        <f aca="false">F51-F50</f>
        <v>-285.364334347105</v>
      </c>
      <c r="J51" s="14" t="n">
        <f aca="false">G51-G50</f>
        <v>-326.285173308788</v>
      </c>
      <c r="K51" s="14" t="n">
        <f aca="false">H51-H50</f>
        <v>-349.830838879745</v>
      </c>
    </row>
    <row r="52" customFormat="false" ht="15" hidden="false" customHeight="false" outlineLevel="0" collapsed="false">
      <c r="A52" s="11" t="n">
        <v>46073</v>
      </c>
      <c r="B52" s="12" t="s">
        <v>40</v>
      </c>
      <c r="C52" s="13" t="n">
        <v>0.0210035690607735</v>
      </c>
      <c r="D52" s="13" t="n">
        <v>0.0212033736805935</v>
      </c>
      <c r="E52" s="13" t="n">
        <v>0.017515674753632</v>
      </c>
      <c r="F52" s="14" t="n">
        <f aca="false">F51*(1+C52)</f>
        <v>72847.4509589554</v>
      </c>
      <c r="G52" s="14" t="n">
        <f aca="false">G51*(1+D52)</f>
        <v>77840.132896552</v>
      </c>
      <c r="H52" s="14" t="n">
        <f aca="false">H51*(1+E52)</f>
        <v>79838.5310670911</v>
      </c>
      <c r="I52" s="14" t="n">
        <f aca="false">F52-F51</f>
        <v>1498.58091928634</v>
      </c>
      <c r="J52" s="14" t="n">
        <f aca="false">G52-G51</f>
        <v>1616.20443849891</v>
      </c>
      <c r="K52" s="14" t="n">
        <f aca="false">H52-H51</f>
        <v>1374.35302244117</v>
      </c>
    </row>
    <row r="53" customFormat="false" ht="15" hidden="false" customHeight="false" outlineLevel="0" collapsed="false">
      <c r="A53" s="11" t="n">
        <v>46074</v>
      </c>
      <c r="B53" s="12" t="s">
        <v>41</v>
      </c>
      <c r="C53" s="13" t="n">
        <v>-0.00424415243124787</v>
      </c>
      <c r="D53" s="13" t="n">
        <v>-0.00509435980626482</v>
      </c>
      <c r="E53" s="13" t="n">
        <v>-0.0102753407141992</v>
      </c>
      <c r="F53" s="14" t="n">
        <f aca="false">F52*(1+C53)</f>
        <v>72538.2752728577</v>
      </c>
      <c r="G53" s="14" t="n">
        <f aca="false">G52*(1+D53)</f>
        <v>77443.5872522095</v>
      </c>
      <c r="H53" s="14" t="n">
        <f aca="false">H52*(1+E53)</f>
        <v>79018.1629582556</v>
      </c>
      <c r="I53" s="14" t="n">
        <f aca="false">F53-F52</f>
        <v>-309.17568609766</v>
      </c>
      <c r="J53" s="14" t="n">
        <f aca="false">G53-G52</f>
        <v>-396.545644342506</v>
      </c>
      <c r="K53" s="14" t="n">
        <f aca="false">H53-H52</f>
        <v>-820.368108835537</v>
      </c>
    </row>
    <row r="54" customFormat="false" ht="15" hidden="false" customHeight="false" outlineLevel="0" collapsed="false">
      <c r="A54" s="11" t="n">
        <v>46075</v>
      </c>
      <c r="B54" s="12" t="s">
        <v>42</v>
      </c>
      <c r="C54" s="13" t="n">
        <v>0.00426874244009412</v>
      </c>
      <c r="D54" s="13" t="n">
        <v>0.000928942730773749</v>
      </c>
      <c r="E54" s="13" t="n">
        <v>0.00100649175713108</v>
      </c>
      <c r="F54" s="14" t="n">
        <f aca="false">F53*(1+C54)</f>
        <v>72847.9224870462</v>
      </c>
      <c r="G54" s="14" t="n">
        <f aca="false">G53*(1+D54)</f>
        <v>77515.5279096325</v>
      </c>
      <c r="H54" s="14" t="n">
        <f aca="false">H53*(1+E54)</f>
        <v>79097.6940879367</v>
      </c>
      <c r="I54" s="14" t="n">
        <f aca="false">F54-F53</f>
        <v>309.647214188473</v>
      </c>
      <c r="J54" s="14" t="n">
        <f aca="false">G54-G53</f>
        <v>71.9406574229797</v>
      </c>
      <c r="K54" s="14" t="n">
        <f aca="false">H54-H53</f>
        <v>79.5311296811269</v>
      </c>
    </row>
    <row r="55" customFormat="false" ht="15" hidden="false" customHeight="false" outlineLevel="0" collapsed="false">
      <c r="A55" s="11" t="n">
        <v>46076</v>
      </c>
      <c r="B55" s="12" t="s">
        <v>43</v>
      </c>
      <c r="C55" s="13" t="n">
        <v>0.0214706483414447</v>
      </c>
      <c r="D55" s="13" t="n">
        <v>0.0241630466423908</v>
      </c>
      <c r="E55" s="13" t="n">
        <v>0.0342674769201485</v>
      </c>
      <c r="F55" s="14" t="n">
        <f aca="false">F54*(1+C55)</f>
        <v>74412.0146131704</v>
      </c>
      <c r="G55" s="14" t="n">
        <f aca="false">G54*(1+D55)</f>
        <v>79388.5392260225</v>
      </c>
      <c r="H55" s="14" t="n">
        <f aca="false">H54*(1+E55)</f>
        <v>81808.1724945321</v>
      </c>
      <c r="I55" s="14" t="n">
        <f aca="false">F55-F54</f>
        <v>1564.09212612419</v>
      </c>
      <c r="J55" s="14" t="n">
        <f aca="false">G55-G54</f>
        <v>1873.01131639</v>
      </c>
      <c r="K55" s="14" t="n">
        <f aca="false">H55-H54</f>
        <v>2710.47840659534</v>
      </c>
    </row>
    <row r="56" customFormat="false" ht="15" hidden="false" customHeight="false" outlineLevel="0" collapsed="false">
      <c r="A56" s="11" t="n">
        <v>46077</v>
      </c>
      <c r="B56" s="12" t="s">
        <v>44</v>
      </c>
      <c r="C56" s="13" t="n">
        <v>0.0765102794936549</v>
      </c>
      <c r="D56" s="13" t="n">
        <v>0.0898542807198336</v>
      </c>
      <c r="E56" s="13" t="n">
        <v>0.085871618064085</v>
      </c>
      <c r="F56" s="14" t="n">
        <f aca="false">F55*(1+C56)</f>
        <v>80105.29864891</v>
      </c>
      <c r="G56" s="14" t="n">
        <f aca="false">G55*(1+D56)</f>
        <v>86521.939315575</v>
      </c>
      <c r="H56" s="14" t="n">
        <f aca="false">H55*(1+E56)</f>
        <v>88833.1726375033</v>
      </c>
      <c r="I56" s="14" t="n">
        <f aca="false">F56-F55</f>
        <v>5693.28403573959</v>
      </c>
      <c r="J56" s="14" t="n">
        <f aca="false">G56-G55</f>
        <v>7133.40008955254</v>
      </c>
      <c r="K56" s="14" t="n">
        <f aca="false">H56-H55</f>
        <v>7025.00014297124</v>
      </c>
    </row>
    <row r="57" customFormat="false" ht="15" hidden="false" customHeight="false" outlineLevel="0" collapsed="false">
      <c r="A57" s="11" t="n">
        <v>46078</v>
      </c>
      <c r="B57" s="12" t="s">
        <v>45</v>
      </c>
      <c r="C57" s="13" t="n">
        <v>-0.0140399675053877</v>
      </c>
      <c r="D57" s="13" t="n">
        <v>-0.0190144352002593</v>
      </c>
      <c r="E57" s="13" t="n">
        <v>-0.0217724844076513</v>
      </c>
      <c r="F57" s="14" t="n">
        <f aca="false">F56*(1+C57)</f>
        <v>78980.6228588699</v>
      </c>
      <c r="G57" s="14" t="n">
        <f aca="false">G56*(1+D57)</f>
        <v>84876.7735070582</v>
      </c>
      <c r="H57" s="14" t="n">
        <f aca="false">H56*(1+E57)</f>
        <v>86899.0537713711</v>
      </c>
      <c r="I57" s="14" t="n">
        <f aca="false">F57-F56</f>
        <v>-1124.67579004007</v>
      </c>
      <c r="J57" s="14" t="n">
        <f aca="false">G57-G56</f>
        <v>-1645.16580851676</v>
      </c>
      <c r="K57" s="14" t="n">
        <f aca="false">H57-H56</f>
        <v>-1934.11886613222</v>
      </c>
    </row>
    <row r="58" customFormat="false" ht="15" hidden="false" customHeight="false" outlineLevel="0" collapsed="false">
      <c r="A58" s="11" t="n">
        <v>46079</v>
      </c>
      <c r="B58" s="12" t="s">
        <v>39</v>
      </c>
      <c r="C58" s="13" t="n">
        <v>0.0252077336018681</v>
      </c>
      <c r="D58" s="13" t="n">
        <v>0.0349190553545801</v>
      </c>
      <c r="E58" s="13" t="n">
        <v>0.036632005853635</v>
      </c>
      <c r="F58" s="14" t="n">
        <f aca="false">F57*(1+C58)</f>
        <v>80971.5453596059</v>
      </c>
      <c r="G58" s="14" t="n">
        <f aca="false">G57*(1+D58)</f>
        <v>87840.5902594694</v>
      </c>
      <c r="H58" s="14" t="n">
        <f aca="false">H57*(1+E58)</f>
        <v>90082.3404177993</v>
      </c>
      <c r="I58" s="14" t="n">
        <f aca="false">F58-F57</f>
        <v>1990.92250073601</v>
      </c>
      <c r="J58" s="14" t="n">
        <f aca="false">G58-G57</f>
        <v>2963.81675241113</v>
      </c>
      <c r="K58" s="14" t="n">
        <f aca="false">H58-H57</f>
        <v>3183.28664642821</v>
      </c>
    </row>
    <row r="59" customFormat="false" ht="15" hidden="false" customHeight="false" outlineLevel="0" collapsed="false">
      <c r="A59" s="11" t="n">
        <v>46080</v>
      </c>
      <c r="B59" s="12" t="s">
        <v>40</v>
      </c>
      <c r="C59" s="13" t="n">
        <v>-0.0096071118291009</v>
      </c>
      <c r="D59" s="13" t="n">
        <v>-0.0104701797856975</v>
      </c>
      <c r="E59" s="13" t="n">
        <v>-0.00672005369804833</v>
      </c>
      <c r="F59" s="14" t="n">
        <f aca="false">F58*(1+C59)</f>
        <v>80193.6426683611</v>
      </c>
      <c r="G59" s="14" t="n">
        <f aca="false">G58*(1+D59)</f>
        <v>86920.8834869709</v>
      </c>
      <c r="H59" s="14" t="n">
        <f aca="false">H58*(1+E59)</f>
        <v>89476.9822529458</v>
      </c>
      <c r="I59" s="14" t="n">
        <f aca="false">F59-F58</f>
        <v>-777.902691244846</v>
      </c>
      <c r="J59" s="14" t="n">
        <f aca="false">G59-G58</f>
        <v>-919.706772498437</v>
      </c>
      <c r="K59" s="14" t="n">
        <f aca="false">H59-H58</f>
        <v>-605.358164853475</v>
      </c>
    </row>
    <row r="60" customFormat="false" ht="15" hidden="false" customHeight="false" outlineLevel="0" collapsed="false">
      <c r="A60" s="11" t="n">
        <v>46081</v>
      </c>
      <c r="B60" s="12" t="s">
        <v>41</v>
      </c>
      <c r="C60" s="13" t="n">
        <v>0.00944094656144989</v>
      </c>
      <c r="D60" s="13" t="n">
        <v>0.0164018944382639</v>
      </c>
      <c r="E60" s="13" t="n">
        <v>0.0121645654866093</v>
      </c>
      <c r="F60" s="14" t="n">
        <f aca="false">F59*(1+C60)</f>
        <v>80950.7465633611</v>
      </c>
      <c r="G60" s="14" t="n">
        <f aca="false">G59*(1+D60)</f>
        <v>88346.5506424049</v>
      </c>
      <c r="H60" s="14" t="n">
        <f aca="false">H59*(1+E60)</f>
        <v>90565.430863106</v>
      </c>
      <c r="I60" s="14" t="n">
        <f aca="false">F60-F59</f>
        <v>757.103894999993</v>
      </c>
      <c r="J60" s="14" t="n">
        <f aca="false">G60-G59</f>
        <v>1425.66715543394</v>
      </c>
      <c r="K60" s="14" t="n">
        <f aca="false">H60-H59</f>
        <v>1088.44861016015</v>
      </c>
    </row>
    <row r="61" customFormat="false" ht="15" hidden="false" customHeight="false" outlineLevel="0" collapsed="false">
      <c r="A61" s="11" t="n">
        <v>46082</v>
      </c>
      <c r="B61" s="12" t="s">
        <v>42</v>
      </c>
      <c r="C61" s="13" t="n">
        <v>0.0108963685767446</v>
      </c>
      <c r="D61" s="13" t="n">
        <v>0.0078508649608382</v>
      </c>
      <c r="E61" s="13" t="n">
        <v>0.0105297865458132</v>
      </c>
      <c r="F61" s="14" t="n">
        <f aca="false">F60*(1+C61)</f>
        <v>81832.8157344781</v>
      </c>
      <c r="G61" s="14" t="n">
        <f aca="false">G60*(1+D61)</f>
        <v>89040.1474812543</v>
      </c>
      <c r="H61" s="14" t="n">
        <f aca="false">H60*(1+E61)</f>
        <v>91519.0655185241</v>
      </c>
      <c r="I61" s="14" t="n">
        <f aca="false">F61-F60</f>
        <v>882.069171117037</v>
      </c>
      <c r="J61" s="14" t="n">
        <f aca="false">G61-G60</f>
        <v>693.596838849378</v>
      </c>
      <c r="K61" s="14" t="n">
        <f aca="false">H61-H60</f>
        <v>953.634655418107</v>
      </c>
    </row>
    <row r="62" customFormat="false" ht="15" hidden="false" customHeight="false" outlineLevel="0" collapsed="false">
      <c r="A62" s="11" t="n">
        <v>46083</v>
      </c>
      <c r="B62" s="12" t="s">
        <v>43</v>
      </c>
      <c r="C62" s="13" t="n">
        <v>0.0754715820285801</v>
      </c>
      <c r="D62" s="13" t="n">
        <v>0.0876724424212195</v>
      </c>
      <c r="E62" s="13" t="n">
        <v>0.0812665234978786</v>
      </c>
      <c r="F62" s="14" t="n">
        <f aca="false">F61*(1+C62)</f>
        <v>88008.8677998125</v>
      </c>
      <c r="G62" s="14" t="n">
        <f aca="false">G61*(1+D62)</f>
        <v>96846.5146844814</v>
      </c>
      <c r="H62" s="14" t="n">
        <f aca="false">H61*(1+E62)</f>
        <v>98956.5018069891</v>
      </c>
      <c r="I62" s="14" t="n">
        <f aca="false">F62-F61</f>
        <v>6176.05206533434</v>
      </c>
      <c r="J62" s="14" t="n">
        <f aca="false">G62-G61</f>
        <v>7806.36720322714</v>
      </c>
      <c r="K62" s="14" t="n">
        <f aca="false">H62-H61</f>
        <v>7437.43628846503</v>
      </c>
    </row>
    <row r="63" customFormat="false" ht="15" hidden="false" customHeight="false" outlineLevel="0" collapsed="false">
      <c r="A63" s="11" t="n">
        <v>46084</v>
      </c>
      <c r="B63" s="12" t="s">
        <v>44</v>
      </c>
      <c r="C63" s="13" t="n">
        <v>-0.0286921437737285</v>
      </c>
      <c r="D63" s="13" t="n">
        <v>-0.0316564466112158</v>
      </c>
      <c r="E63" s="13" t="n">
        <v>-0.0385037760305671</v>
      </c>
      <c r="F63" s="14" t="n">
        <f aca="false">F62*(1+C63)</f>
        <v>85483.7047115372</v>
      </c>
      <c r="G63" s="14" t="n">
        <f aca="false">G62*(1+D63)</f>
        <v>93780.6981628898</v>
      </c>
      <c r="H63" s="14" t="n">
        <f aca="false">H62*(1+E63)</f>
        <v>95146.3028246444</v>
      </c>
      <c r="I63" s="14" t="n">
        <f aca="false">F63-F62</f>
        <v>-2525.16308827528</v>
      </c>
      <c r="J63" s="14" t="n">
        <f aca="false">G63-G62</f>
        <v>-3065.81652159161</v>
      </c>
      <c r="K63" s="14" t="n">
        <f aca="false">H63-H62</f>
        <v>-3810.19898234472</v>
      </c>
    </row>
    <row r="64" customFormat="false" ht="15" hidden="false" customHeight="false" outlineLevel="0" collapsed="false">
      <c r="A64" s="11" t="n">
        <v>46085</v>
      </c>
      <c r="B64" s="12" t="s">
        <v>45</v>
      </c>
      <c r="C64" s="13" t="n">
        <v>-0.00310863236777959</v>
      </c>
      <c r="D64" s="13" t="n">
        <v>-0.00357591790927894</v>
      </c>
      <c r="E64" s="13" t="n">
        <v>-0.00796009549348387</v>
      </c>
      <c r="F64" s="14" t="n">
        <f aca="false">F63*(1+C64)</f>
        <v>85217.9673001532</v>
      </c>
      <c r="G64" s="14" t="n">
        <f aca="false">G63*(1+D64)</f>
        <v>93445.3460847844</v>
      </c>
      <c r="H64" s="14" t="n">
        <f aca="false">H63*(1+E64)</f>
        <v>94388.9291683083</v>
      </c>
      <c r="I64" s="14" t="n">
        <f aca="false">F64-F63</f>
        <v>-265.737411383991</v>
      </c>
      <c r="J64" s="14" t="n">
        <f aca="false">G64-G63</f>
        <v>-335.352078105352</v>
      </c>
      <c r="K64" s="14" t="n">
        <f aca="false">H64-H63</f>
        <v>-757.373656336102</v>
      </c>
    </row>
    <row r="65" customFormat="false" ht="15" hidden="false" customHeight="false" outlineLevel="0" collapsed="false">
      <c r="A65" s="11" t="n">
        <v>46086</v>
      </c>
      <c r="B65" s="12" t="s">
        <v>39</v>
      </c>
      <c r="C65" s="13" t="n">
        <v>0.0248542536354015</v>
      </c>
      <c r="D65" s="13" t="n">
        <v>0.0285370225810861</v>
      </c>
      <c r="E65" s="13" t="n">
        <v>0.0287949379709351</v>
      </c>
      <c r="F65" s="14" t="n">
        <f aca="false">F64*(1+C65)</f>
        <v>87335.9962737245</v>
      </c>
      <c r="G65" s="14" t="n">
        <f aca="false">G64*(1+D65)</f>
        <v>96111.9980361033</v>
      </c>
      <c r="H65" s="14" t="n">
        <f aca="false">H64*(1+E65)</f>
        <v>97106.8525288527</v>
      </c>
      <c r="I65" s="14" t="n">
        <f aca="false">F65-F64</f>
        <v>2118.02897357136</v>
      </c>
      <c r="J65" s="14" t="n">
        <f aca="false">G65-G64</f>
        <v>2666.6519513189</v>
      </c>
      <c r="K65" s="14" t="n">
        <f aca="false">H65-H64</f>
        <v>2717.92336054443</v>
      </c>
    </row>
    <row r="66" customFormat="false" ht="15" hidden="false" customHeight="false" outlineLevel="0" collapsed="false">
      <c r="A66" s="11" t="n">
        <v>46087</v>
      </c>
      <c r="B66" s="12" t="s">
        <v>40</v>
      </c>
      <c r="C66" s="13" t="n">
        <v>-0.0155293489582779</v>
      </c>
      <c r="D66" s="13" t="n">
        <v>-0.0132652791618339</v>
      </c>
      <c r="E66" s="13" t="n">
        <v>-0.00681088782934769</v>
      </c>
      <c r="F66" s="14" t="n">
        <f aca="false">F65*(1+C66)</f>
        <v>85979.725110971</v>
      </c>
      <c r="G66" s="14" t="n">
        <f aca="false">G65*(1+D66)</f>
        <v>94837.0455513528</v>
      </c>
      <c r="H66" s="14" t="n">
        <f aca="false">H65*(1+E66)</f>
        <v>96445.4686488177</v>
      </c>
      <c r="I66" s="14" t="n">
        <f aca="false">F66-F65</f>
        <v>-1356.27116275353</v>
      </c>
      <c r="J66" s="14" t="n">
        <f aca="false">G66-G65</f>
        <v>-1274.95248475055</v>
      </c>
      <c r="K66" s="14" t="n">
        <f aca="false">H66-H65</f>
        <v>-661.38388003502</v>
      </c>
    </row>
    <row r="67" customFormat="false" ht="15" hidden="false" customHeight="false" outlineLevel="0" collapsed="false">
      <c r="A67" s="11" t="n">
        <v>46088</v>
      </c>
      <c r="B67" s="12" t="s">
        <v>41</v>
      </c>
      <c r="C67" s="13" t="n">
        <v>0.00680536234340357</v>
      </c>
      <c r="D67" s="13" t="n">
        <v>-0.00660219895586971</v>
      </c>
      <c r="E67" s="13" t="n">
        <v>-0.00467426169680905</v>
      </c>
      <c r="F67" s="14" t="n">
        <f aca="false">F66*(1+C67)</f>
        <v>86564.8482945374</v>
      </c>
      <c r="G67" s="14" t="n">
        <f aca="false">G66*(1+D67)</f>
        <v>94210.9125082359</v>
      </c>
      <c r="H67" s="14" t="n">
        <f aca="false">H66*(1+E67)</f>
        <v>95994.6572888817</v>
      </c>
      <c r="I67" s="14" t="n">
        <f aca="false">F67-F66</f>
        <v>585.123183566408</v>
      </c>
      <c r="J67" s="14" t="n">
        <f aca="false">G67-G66</f>
        <v>-626.133043116904</v>
      </c>
      <c r="K67" s="14" t="n">
        <f aca="false">H67-H66</f>
        <v>-450.811359935964</v>
      </c>
    </row>
    <row r="68" customFormat="false" ht="15" hidden="false" customHeight="false" outlineLevel="0" collapsed="false">
      <c r="A68" s="11" t="n">
        <v>46089</v>
      </c>
      <c r="B68" s="12" t="s">
        <v>42</v>
      </c>
      <c r="C68" s="13" t="n">
        <v>-0.00179529196513312</v>
      </c>
      <c r="D68" s="13" t="n">
        <v>0.000314302054918025</v>
      </c>
      <c r="E68" s="13" t="n">
        <v>0.00151779142522881</v>
      </c>
      <c r="F68" s="14" t="n">
        <f aca="false">F67*(1+C68)</f>
        <v>86409.4391179313</v>
      </c>
      <c r="G68" s="14" t="n">
        <f aca="false">G67*(1+D68)</f>
        <v>94240.5231916329</v>
      </c>
      <c r="H68" s="14" t="n">
        <f aca="false">H67*(1+E68)</f>
        <v>96140.3571565826</v>
      </c>
      <c r="I68" s="14" t="n">
        <f aca="false">F68-F67</f>
        <v>-155.409176606161</v>
      </c>
      <c r="J68" s="14" t="n">
        <f aca="false">G68-G67</f>
        <v>29.6106833970553</v>
      </c>
      <c r="K68" s="14" t="n">
        <f aca="false">H68-H67</f>
        <v>145.699867700852</v>
      </c>
    </row>
    <row r="69" customFormat="false" ht="15" hidden="false" customHeight="false" outlineLevel="0" collapsed="false">
      <c r="A69" s="11" t="n">
        <v>46090</v>
      </c>
      <c r="B69" s="12" t="s">
        <v>43</v>
      </c>
      <c r="C69" s="13" t="n">
        <v>0.00925377306377284</v>
      </c>
      <c r="D69" s="13" t="n">
        <v>0.0112523005551646</v>
      </c>
      <c r="E69" s="13" t="n">
        <v>0.00920810696885342</v>
      </c>
      <c r="F69" s="14" t="n">
        <f aca="false">F68*(1+C69)</f>
        <v>87209.0524580965</v>
      </c>
      <c r="G69" s="14" t="n">
        <f aca="false">G68*(1+D69)</f>
        <v>95300.9458830611</v>
      </c>
      <c r="H69" s="14" t="n">
        <f aca="false">H68*(1+E69)</f>
        <v>97025.6278493042</v>
      </c>
      <c r="I69" s="14" t="n">
        <f aca="false">F69-F68</f>
        <v>799.613340165219</v>
      </c>
      <c r="J69" s="14" t="n">
        <f aca="false">G69-G68</f>
        <v>1060.4226914282</v>
      </c>
      <c r="K69" s="14" t="n">
        <f aca="false">H69-H68</f>
        <v>885.270692721591</v>
      </c>
    </row>
    <row r="70" customFormat="false" ht="15" hidden="false" customHeight="false" outlineLevel="0" collapsed="false">
      <c r="A70" s="11" t="n">
        <v>46091</v>
      </c>
      <c r="B70" s="12" t="s">
        <v>44</v>
      </c>
      <c r="C70" s="13" t="n">
        <v>-0.00212006780232049</v>
      </c>
      <c r="D70" s="13" t="n">
        <v>-0.00279633882106028</v>
      </c>
      <c r="E70" s="13" t="n">
        <v>0.000208748223777922</v>
      </c>
      <c r="F70" s="14" t="n">
        <f aca="false">F69*(1+C70)</f>
        <v>87024.1633539092</v>
      </c>
      <c r="G70" s="14" t="n">
        <f aca="false">G69*(1+D70)</f>
        <v>95034.4521484046</v>
      </c>
      <c r="H70" s="14" t="n">
        <f aca="false">H69*(1+E70)</f>
        <v>97045.8817767787</v>
      </c>
      <c r="I70" s="14" t="n">
        <f aca="false">F70-F69</f>
        <v>-184.889104187299</v>
      </c>
      <c r="J70" s="14" t="n">
        <f aca="false">G70-G69</f>
        <v>-266.493734656557</v>
      </c>
      <c r="K70" s="14" t="n">
        <f aca="false">H70-H69</f>
        <v>20.2539274744922</v>
      </c>
    </row>
    <row r="71" customFormat="false" ht="15" hidden="false" customHeight="false" outlineLevel="0" collapsed="false">
      <c r="A71" s="11" t="n">
        <v>46092</v>
      </c>
      <c r="B71" s="12" t="s">
        <v>45</v>
      </c>
      <c r="C71" s="13" t="n">
        <v>0.0410306378710477</v>
      </c>
      <c r="D71" s="13" t="n">
        <v>0.0476820007380902</v>
      </c>
      <c r="E71" s="13" t="n">
        <v>0.044992996406009</v>
      </c>
      <c r="F71" s="14" t="n">
        <f aca="false">F70*(1+C71)</f>
        <v>90594.8202865143</v>
      </c>
      <c r="G71" s="14" t="n">
        <f aca="false">G70*(1+D71)</f>
        <v>99565.8849658888</v>
      </c>
      <c r="H71" s="14" t="n">
        <f aca="false">H70*(1+E71)</f>
        <v>101412.266786779</v>
      </c>
      <c r="I71" s="14" t="n">
        <f aca="false">F71-F70</f>
        <v>3570.65693260514</v>
      </c>
      <c r="J71" s="14" t="n">
        <f aca="false">G71-G70</f>
        <v>4531.43281748421</v>
      </c>
      <c r="K71" s="14" t="n">
        <f aca="false">H71-H70</f>
        <v>4366.38501000057</v>
      </c>
    </row>
    <row r="72" customFormat="false" ht="15" hidden="false" customHeight="false" outlineLevel="0" collapsed="false">
      <c r="A72" s="11" t="n">
        <v>46093</v>
      </c>
      <c r="B72" s="12" t="s">
        <v>39</v>
      </c>
      <c r="C72" s="13" t="n">
        <v>-0.0389504176990695</v>
      </c>
      <c r="D72" s="13" t="n">
        <v>-0.0435724791696532</v>
      </c>
      <c r="E72" s="13" t="n">
        <v>-0.0422056909498958</v>
      </c>
      <c r="F72" s="14" t="n">
        <f aca="false">F71*(1+C72)</f>
        <v>87066.1141949824</v>
      </c>
      <c r="G72" s="14" t="n">
        <f aca="false">G71*(1+D72)</f>
        <v>95227.5525172045</v>
      </c>
      <c r="H72" s="14" t="n">
        <f aca="false">H71*(1+E72)</f>
        <v>97132.0919962481</v>
      </c>
      <c r="I72" s="14" t="n">
        <f aca="false">F72-F71</f>
        <v>-3528.70609153187</v>
      </c>
      <c r="J72" s="14" t="n">
        <f aca="false">G72-G71</f>
        <v>-4338.33244868428</v>
      </c>
      <c r="K72" s="14" t="n">
        <f aca="false">H72-H71</f>
        <v>-4280.17479053118</v>
      </c>
    </row>
    <row r="73" customFormat="false" ht="15" hidden="false" customHeight="false" outlineLevel="0" collapsed="false">
      <c r="A73" s="11" t="n">
        <v>46094</v>
      </c>
      <c r="B73" s="12" t="s">
        <v>40</v>
      </c>
      <c r="C73" s="13" t="n">
        <v>-0.00350533842622508</v>
      </c>
      <c r="D73" s="13" t="n">
        <v>-0.00524646326546341</v>
      </c>
      <c r="E73" s="13" t="n">
        <v>-0.00416239966659112</v>
      </c>
      <c r="F73" s="14" t="n">
        <f aca="false">F72*(1+C73)</f>
        <v>86760.9179992727</v>
      </c>
      <c r="G73" s="14" t="n">
        <f aca="false">G72*(1+D73)</f>
        <v>94727.944661063</v>
      </c>
      <c r="H73" s="14" t="n">
        <f aca="false">H72*(1+E73)</f>
        <v>96727.7894089076</v>
      </c>
      <c r="I73" s="14" t="n">
        <f aca="false">F73-F72</f>
        <v>-305.196195709781</v>
      </c>
      <c r="J73" s="14" t="n">
        <f aca="false">G73-G72</f>
        <v>-499.607856141505</v>
      </c>
      <c r="K73" s="14" t="n">
        <f aca="false">H73-H72</f>
        <v>-404.302587340484</v>
      </c>
    </row>
    <row r="74" customFormat="false" ht="15" hidden="false" customHeight="false" outlineLevel="0" collapsed="false">
      <c r="A74" s="11" t="n">
        <v>46095</v>
      </c>
      <c r="B74" s="12" t="s">
        <v>41</v>
      </c>
      <c r="C74" s="13" t="n">
        <v>-0.0197232104800496</v>
      </c>
      <c r="D74" s="13" t="n">
        <v>-0.0238841324879534</v>
      </c>
      <c r="E74" s="13" t="n">
        <v>-0.0230430408284606</v>
      </c>
      <c r="F74" s="14" t="n">
        <f aca="false">F73*(1+C74)</f>
        <v>85049.7141521307</v>
      </c>
      <c r="G74" s="14" t="n">
        <f aca="false">G73*(1+D74)</f>
        <v>92465.4498804667</v>
      </c>
      <c r="H74" s="14" t="n">
        <f aca="false">H73*(1+E74)</f>
        <v>94498.8870083114</v>
      </c>
      <c r="I74" s="14" t="n">
        <f aca="false">F74-F73</f>
        <v>-1711.20384714198</v>
      </c>
      <c r="J74" s="14" t="n">
        <f aca="false">G74-G73</f>
        <v>-2262.49478059635</v>
      </c>
      <c r="K74" s="14" t="n">
        <f aca="false">H74-H73</f>
        <v>-2228.9024005962</v>
      </c>
    </row>
    <row r="75" customFormat="false" ht="15" hidden="false" customHeight="false" outlineLevel="0" collapsed="false">
      <c r="A75" s="11" t="n">
        <v>46096</v>
      </c>
      <c r="B75" s="12" t="s">
        <v>42</v>
      </c>
      <c r="C75" s="13" t="n">
        <v>-0.0328184497350381</v>
      </c>
      <c r="D75" s="13" t="n">
        <v>-0.0457878996715063</v>
      </c>
      <c r="E75" s="13" t="n">
        <v>-0.0449869195752325</v>
      </c>
      <c r="F75" s="14" t="n">
        <f aca="false">F74*(1+C75)</f>
        <v>82258.5143832496</v>
      </c>
      <c r="G75" s="14" t="n">
        <f aca="false">G74*(1+D75)</f>
        <v>88231.6511382592</v>
      </c>
      <c r="H75" s="14" t="n">
        <f aca="false">H74*(1+E75)</f>
        <v>90247.6731785195</v>
      </c>
      <c r="I75" s="14" t="n">
        <f aca="false">F75-F74</f>
        <v>-2791.19976888107</v>
      </c>
      <c r="J75" s="14" t="n">
        <f aca="false">G75-G74</f>
        <v>-4233.79874220751</v>
      </c>
      <c r="K75" s="14" t="n">
        <f aca="false">H75-H74</f>
        <v>-4251.21382979189</v>
      </c>
    </row>
    <row r="76" customFormat="false" ht="15" hidden="false" customHeight="false" outlineLevel="0" collapsed="false">
      <c r="A76" s="11" t="n">
        <v>46097</v>
      </c>
      <c r="B76" s="12" t="s">
        <v>43</v>
      </c>
      <c r="C76" s="13" t="n">
        <v>0.00590214411235857</v>
      </c>
      <c r="D76" s="13" t="n">
        <v>0.00191590694354365</v>
      </c>
      <c r="E76" s="13" t="n">
        <v>-0.00222657475876869</v>
      </c>
      <c r="F76" s="14" t="n">
        <f aca="false">F75*(1+C76)</f>
        <v>82744.0159896081</v>
      </c>
      <c r="G76" s="14" t="n">
        <f aca="false">G75*(1+D76)</f>
        <v>88400.6947713153</v>
      </c>
      <c r="H76" s="14" t="n">
        <f aca="false">H75*(1+E76)</f>
        <v>90046.7299873826</v>
      </c>
      <c r="I76" s="14" t="n">
        <f aca="false">F76-F75</f>
        <v>485.501606358463</v>
      </c>
      <c r="J76" s="14" t="n">
        <f aca="false">G76-G75</f>
        <v>169.043633056121</v>
      </c>
      <c r="K76" s="14" t="n">
        <f aca="false">H76-H75</f>
        <v>-200.943191136888</v>
      </c>
    </row>
    <row r="77" customFormat="false" ht="15" hidden="false" customHeight="false" outlineLevel="0" collapsed="false">
      <c r="A77" s="11" t="n">
        <v>46098</v>
      </c>
      <c r="B77" s="12" t="s">
        <v>44</v>
      </c>
      <c r="C77" s="13" t="n">
        <v>0.0389705727862526</v>
      </c>
      <c r="D77" s="13" t="n">
        <v>0.0427050629895327</v>
      </c>
      <c r="E77" s="13" t="n">
        <v>0.0433860454531374</v>
      </c>
      <c r="F77" s="14" t="n">
        <f aca="false">F76*(1+C77)</f>
        <v>85968.597687358</v>
      </c>
      <c r="G77" s="14" t="n">
        <f aca="false">G76*(1+D77)</f>
        <v>92175.8520098428</v>
      </c>
      <c r="H77" s="14" t="n">
        <f aca="false">H76*(1+E77)</f>
        <v>93953.5015075216</v>
      </c>
      <c r="I77" s="14" t="n">
        <f aca="false">F77-F76</f>
        <v>3224.58169774988</v>
      </c>
      <c r="J77" s="14" t="n">
        <f aca="false">G77-G76</f>
        <v>3775.15723852748</v>
      </c>
      <c r="K77" s="14" t="n">
        <f aca="false">H77-H76</f>
        <v>3906.77152013897</v>
      </c>
    </row>
    <row r="78" customFormat="false" ht="15" hidden="false" customHeight="false" outlineLevel="0" collapsed="false">
      <c r="A78" s="11" t="n">
        <v>46099</v>
      </c>
      <c r="B78" s="12" t="s">
        <v>45</v>
      </c>
      <c r="C78" s="13" t="n">
        <v>0.0440559318949557</v>
      </c>
      <c r="D78" s="13" t="n">
        <v>0.0495120600200469</v>
      </c>
      <c r="E78" s="13" t="n">
        <v>0.055788200386732</v>
      </c>
      <c r="F78" s="14" t="n">
        <f aca="false">F77*(1+C78)</f>
        <v>89756.024372177</v>
      </c>
      <c r="G78" s="14" t="n">
        <f aca="false">G77*(1+D78)</f>
        <v>96739.6683269531</v>
      </c>
      <c r="H78" s="14" t="n">
        <f aca="false">H77*(1+E78)</f>
        <v>99194.9982766583</v>
      </c>
      <c r="I78" s="14" t="n">
        <f aca="false">F78-F77</f>
        <v>3787.42668481907</v>
      </c>
      <c r="J78" s="14" t="n">
        <f aca="false">G78-G77</f>
        <v>4563.81631711029</v>
      </c>
      <c r="K78" s="14" t="n">
        <f aca="false">H78-H77</f>
        <v>5241.49676913675</v>
      </c>
    </row>
    <row r="79" customFormat="false" ht="15" hidden="false" customHeight="false" outlineLevel="0" collapsed="false">
      <c r="A79" s="11" t="n">
        <v>46100</v>
      </c>
      <c r="B79" s="12" t="s">
        <v>39</v>
      </c>
      <c r="C79" s="13" t="n">
        <v>-0.0281279813203102</v>
      </c>
      <c r="D79" s="13" t="n">
        <v>-0.0300627942760131</v>
      </c>
      <c r="E79" s="13" t="n">
        <v>-0.0258038199222956</v>
      </c>
      <c r="F79" s="14" t="n">
        <f aca="false">F78*(1+C79)</f>
        <v>87231.3685952511</v>
      </c>
      <c r="G79" s="14" t="n">
        <f aca="false">G78*(1+D79)</f>
        <v>93831.4035797101</v>
      </c>
      <c r="H79" s="14" t="n">
        <f aca="false">H78*(1+E79)</f>
        <v>96635.388403935</v>
      </c>
      <c r="I79" s="14" t="n">
        <f aca="false">F79-F78</f>
        <v>-2524.65577692589</v>
      </c>
      <c r="J79" s="14" t="n">
        <f aca="false">G79-G78</f>
        <v>-2908.26474724292</v>
      </c>
      <c r="K79" s="14" t="n">
        <f aca="false">H79-H78</f>
        <v>-2559.60987272332</v>
      </c>
    </row>
    <row r="80" customFormat="false" ht="15" hidden="false" customHeight="false" outlineLevel="0" collapsed="false">
      <c r="A80" s="11" t="n">
        <v>46101</v>
      </c>
      <c r="B80" s="12" t="s">
        <v>40</v>
      </c>
      <c r="C80" s="13" t="n">
        <v>0.0139929910969555</v>
      </c>
      <c r="D80" s="13" t="n">
        <v>-0.00682218074945832</v>
      </c>
      <c r="E80" s="13" t="n">
        <v>-0.0053233515518929</v>
      </c>
      <c r="F80" s="14" t="n">
        <f aca="false">F79*(1+C80)</f>
        <v>88451.9963593797</v>
      </c>
      <c r="G80" s="14" t="n">
        <f aca="false">G79*(1+D80)</f>
        <v>93191.268784514</v>
      </c>
      <c r="H80" s="14" t="n">
        <f aca="false">H79*(1+E80)</f>
        <v>96120.9642591071</v>
      </c>
      <c r="I80" s="14" t="n">
        <f aca="false">F80-F79</f>
        <v>1220.6277641286</v>
      </c>
      <c r="J80" s="14" t="n">
        <f aca="false">G80-G79</f>
        <v>-640.134795196151</v>
      </c>
      <c r="K80" s="14" t="n">
        <f aca="false">H80-H79</f>
        <v>-514.424144827863</v>
      </c>
    </row>
    <row r="81" customFormat="false" ht="15" hidden="false" customHeight="false" outlineLevel="0" collapsed="false">
      <c r="A81" s="11" t="n">
        <v>46102</v>
      </c>
      <c r="B81" s="12" t="s">
        <v>41</v>
      </c>
      <c r="C81" s="13" t="n">
        <v>0.0144428064434564</v>
      </c>
      <c r="D81" s="13" t="n">
        <v>0.0204031520887059</v>
      </c>
      <c r="E81" s="13" t="n">
        <v>0.0224140229992205</v>
      </c>
      <c r="F81" s="14" t="n">
        <f aca="false">F80*(1+C81)</f>
        <v>89729.4914223356</v>
      </c>
      <c r="G81" s="14" t="n">
        <f aca="false">G80*(1+D81)</f>
        <v>95092.6644148639</v>
      </c>
      <c r="H81" s="14" t="n">
        <f aca="false">H80*(1+E81)</f>
        <v>98275.421762718</v>
      </c>
      <c r="I81" s="14" t="n">
        <f aca="false">F81-F80</f>
        <v>1277.49506295583</v>
      </c>
      <c r="J81" s="14" t="n">
        <f aca="false">G81-G80</f>
        <v>1901.39563034991</v>
      </c>
      <c r="K81" s="14" t="n">
        <f aca="false">H81-H80</f>
        <v>2154.45750361087</v>
      </c>
    </row>
    <row r="82" customFormat="false" ht="15" hidden="false" customHeight="false" outlineLevel="0" collapsed="false">
      <c r="A82" s="11" t="n">
        <v>46103</v>
      </c>
      <c r="B82" s="12" t="s">
        <v>42</v>
      </c>
      <c r="C82" s="13" t="n">
        <v>0.0551964913449619</v>
      </c>
      <c r="D82" s="13" t="n">
        <v>0.0559082351260449</v>
      </c>
      <c r="E82" s="13" t="n">
        <v>0.0549040026351195</v>
      </c>
      <c r="F82" s="14" t="n">
        <f aca="false">F81*(1+C82)</f>
        <v>94682.2445190163</v>
      </c>
      <c r="G82" s="14" t="n">
        <f aca="false">G81*(1+D82)</f>
        <v>100409.127455732</v>
      </c>
      <c r="H82" s="14" t="n">
        <f aca="false">H81*(1+E82)</f>
        <v>103671.135778146</v>
      </c>
      <c r="I82" s="14" t="n">
        <f aca="false">F82-F81</f>
        <v>4952.75309668077</v>
      </c>
      <c r="J82" s="14" t="n">
        <f aca="false">G82-G81</f>
        <v>5316.4630408683</v>
      </c>
      <c r="K82" s="14" t="n">
        <f aca="false">H82-H81</f>
        <v>5395.71401542776</v>
      </c>
    </row>
    <row r="83" customFormat="false" ht="15" hidden="false" customHeight="false" outlineLevel="0" collapsed="false">
      <c r="A83" s="11" t="n">
        <v>46104</v>
      </c>
      <c r="B83" s="12" t="s">
        <v>43</v>
      </c>
      <c r="C83" s="13" t="n">
        <v>-0.0252606050459711</v>
      </c>
      <c r="D83" s="13" t="n">
        <v>-0.0293140432261244</v>
      </c>
      <c r="E83" s="13" t="n">
        <v>-0.0268107417481663</v>
      </c>
      <c r="F83" s="14" t="n">
        <f aca="false">F82*(1+C83)</f>
        <v>92290.5137353554</v>
      </c>
      <c r="G83" s="14" t="n">
        <f aca="false">G82*(1+D83)</f>
        <v>97465.7299531974</v>
      </c>
      <c r="H83" s="14" t="n">
        <f aca="false">H82*(1+E83)</f>
        <v>100891.635730059</v>
      </c>
      <c r="I83" s="14" t="n">
        <f aca="false">F83-F82</f>
        <v>-2391.73078366093</v>
      </c>
      <c r="J83" s="14" t="n">
        <f aca="false">G83-G82</f>
        <v>-2943.39750253476</v>
      </c>
      <c r="K83" s="14" t="n">
        <f aca="false">H83-H82</f>
        <v>-2779.50004808695</v>
      </c>
    </row>
    <row r="84" customFormat="false" ht="15" hidden="false" customHeight="false" outlineLevel="0" collapsed="false">
      <c r="A84" s="11" t="n">
        <v>46105</v>
      </c>
      <c r="B84" s="12" t="s">
        <v>44</v>
      </c>
      <c r="C84" s="13" t="n">
        <v>0.00727232954609658</v>
      </c>
      <c r="D84" s="13" t="n">
        <v>0.00734184309340728</v>
      </c>
      <c r="E84" s="13" t="n">
        <v>0.00541556906791042</v>
      </c>
      <c r="F84" s="14" t="n">
        <f aca="false">F83*(1+C84)</f>
        <v>92961.6807652175</v>
      </c>
      <c r="G84" s="14" t="n">
        <f aca="false">G83*(1+D84)</f>
        <v>98181.3080494982</v>
      </c>
      <c r="H84" s="14" t="n">
        <f aca="false">H83*(1+E84)</f>
        <v>101438.021351729</v>
      </c>
      <c r="I84" s="14" t="n">
        <f aca="false">F84-F83</f>
        <v>671.167029862059</v>
      </c>
      <c r="J84" s="14" t="n">
        <f aca="false">G84-G83</f>
        <v>715.578096300786</v>
      </c>
      <c r="K84" s="14" t="n">
        <f aca="false">H84-H83</f>
        <v>546.385621670605</v>
      </c>
    </row>
    <row r="85" customFormat="false" ht="15" hidden="false" customHeight="false" outlineLevel="0" collapsed="false">
      <c r="A85" s="11" t="n">
        <v>46106</v>
      </c>
      <c r="B85" s="12" t="s">
        <v>45</v>
      </c>
      <c r="C85" s="13" t="n">
        <v>0.0069001789270704</v>
      </c>
      <c r="D85" s="13" t="n">
        <v>0.0535666575087162</v>
      </c>
      <c r="E85" s="13" t="n">
        <v>0.0517524536340256</v>
      </c>
      <c r="F85" s="14" t="n">
        <f aca="false">F84*(1+C85)</f>
        <v>93603.1329958587</v>
      </c>
      <c r="G85" s="14" t="n">
        <f aca="false">G84*(1+D85)</f>
        <v>103440.552551543</v>
      </c>
      <c r="H85" s="14" t="n">
        <f aca="false">H84*(1+E85)</f>
        <v>106687.687848462</v>
      </c>
      <c r="I85" s="14" t="n">
        <f aca="false">F85-F84</f>
        <v>641.452230641196</v>
      </c>
      <c r="J85" s="14" t="n">
        <f aca="false">G85-G84</f>
        <v>5259.24450204523</v>
      </c>
      <c r="K85" s="14" t="n">
        <f aca="false">H85-H84</f>
        <v>5249.66649673267</v>
      </c>
    </row>
    <row r="86" customFormat="false" ht="15" hidden="false" customHeight="false" outlineLevel="0" collapsed="false">
      <c r="A86" s="11" t="n">
        <v>46107</v>
      </c>
      <c r="B86" s="12" t="s">
        <v>39</v>
      </c>
      <c r="C86" s="13" t="n">
        <v>-0.00573397938214321</v>
      </c>
      <c r="D86" s="13" t="n">
        <v>-0.00581774724666599</v>
      </c>
      <c r="E86" s="13" t="n">
        <v>-0.00506064296590624</v>
      </c>
      <c r="F86" s="14" t="n">
        <f aca="false">F85*(1+C86)</f>
        <v>93066.4145611564</v>
      </c>
      <c r="G86" s="14" t="n">
        <f aca="false">G85*(1+D86)</f>
        <v>102838.761561743</v>
      </c>
      <c r="H86" s="14" t="n">
        <f aca="false">H85*(1+E86)</f>
        <v>106147.779551403</v>
      </c>
      <c r="I86" s="14" t="n">
        <f aca="false">F86-F85</f>
        <v>-536.718434702256</v>
      </c>
      <c r="J86" s="14" t="n">
        <f aca="false">G86-G85</f>
        <v>-601.790989800342</v>
      </c>
      <c r="K86" s="14" t="n">
        <f aca="false">H86-H85</f>
        <v>-539.908297059126</v>
      </c>
    </row>
    <row r="87" customFormat="false" ht="15" hidden="false" customHeight="false" outlineLevel="0" collapsed="false">
      <c r="A87" s="11" t="n">
        <v>46108</v>
      </c>
      <c r="B87" s="12" t="s">
        <v>40</v>
      </c>
      <c r="C87" s="13" t="n">
        <v>-0.00309075910317541</v>
      </c>
      <c r="D87" s="13" t="n">
        <v>-0.00649431192033697</v>
      </c>
      <c r="E87" s="13" t="n">
        <v>-0.00624149973034381</v>
      </c>
      <c r="F87" s="14" t="n">
        <f aca="false">F86*(1+C87)</f>
        <v>92778.7686931516</v>
      </c>
      <c r="G87" s="14" t="n">
        <f aca="false">G86*(1+D87)</f>
        <v>102170.89456666</v>
      </c>
      <c r="H87" s="14" t="n">
        <f aca="false">H86*(1+E87)</f>
        <v>105485.258213956</v>
      </c>
      <c r="I87" s="14" t="n">
        <f aca="false">F87-F86</f>
        <v>-287.645868004794</v>
      </c>
      <c r="J87" s="14" t="n">
        <f aca="false">G87-G86</f>
        <v>-667.866995083125</v>
      </c>
      <c r="K87" s="14" t="n">
        <f aca="false">H87-H86</f>
        <v>-662.521337446684</v>
      </c>
    </row>
    <row r="88" customFormat="false" ht="15" hidden="false" customHeight="false" outlineLevel="0" collapsed="false">
      <c r="A88" s="11" t="n">
        <v>46109</v>
      </c>
      <c r="B88" s="12" t="s">
        <v>41</v>
      </c>
      <c r="C88" s="13" t="n">
        <v>-0.00609538816992122</v>
      </c>
      <c r="D88" s="13" t="n">
        <v>-0.00628198160824538</v>
      </c>
      <c r="E88" s="13" t="n">
        <v>-0.00661584741339747</v>
      </c>
      <c r="F88" s="14" t="n">
        <f aca="false">F87*(1+C88)</f>
        <v>92213.2460840395</v>
      </c>
      <c r="G88" s="14" t="n">
        <f aca="false">G87*(1+D88)</f>
        <v>101529.058886094</v>
      </c>
      <c r="H88" s="14" t="n">
        <f aca="false">H87*(1+E88)</f>
        <v>104787.38384125</v>
      </c>
      <c r="I88" s="14" t="n">
        <f aca="false">F88-F87</f>
        <v>-565.5226091121</v>
      </c>
      <c r="J88" s="14" t="n">
        <f aca="false">G88-G87</f>
        <v>-641.835680565724</v>
      </c>
      <c r="K88" s="14" t="n">
        <f aca="false">H88-H87</f>
        <v>-697.87437270637</v>
      </c>
    </row>
    <row r="89" customFormat="false" ht="15" hidden="false" customHeight="false" outlineLevel="0" collapsed="false">
      <c r="A89" s="11" t="n">
        <v>46110</v>
      </c>
      <c r="B89" s="12" t="s">
        <v>42</v>
      </c>
      <c r="C89" s="13" t="n">
        <v>0.00873320309042858</v>
      </c>
      <c r="D89" s="13" t="n">
        <v>0.0107172793717532</v>
      </c>
      <c r="E89" s="13" t="n">
        <v>0.0115608189832888</v>
      </c>
      <c r="F89" s="14" t="n">
        <f aca="false">F88*(1+C89)</f>
        <v>93018.5630897191</v>
      </c>
      <c r="G89" s="14" t="n">
        <f aca="false">G88*(1+D89)</f>
        <v>102617.174174528</v>
      </c>
      <c r="H89" s="14" t="n">
        <f aca="false">H88*(1+E89)</f>
        <v>105998.811817571</v>
      </c>
      <c r="I89" s="14" t="n">
        <f aca="false">F89-F88</f>
        <v>805.317005679579</v>
      </c>
      <c r="J89" s="14" t="n">
        <f aca="false">G89-G88</f>
        <v>1088.11528843344</v>
      </c>
      <c r="K89" s="14" t="n">
        <f aca="false">H89-H88</f>
        <v>1211.42797632109</v>
      </c>
    </row>
    <row r="90" customFormat="false" ht="15" hidden="false" customHeight="false" outlineLevel="0" collapsed="false">
      <c r="A90" s="11" t="n">
        <v>46111</v>
      </c>
      <c r="B90" s="12" t="s">
        <v>43</v>
      </c>
      <c r="C90" s="13" t="n">
        <v>-0.0087433561716827</v>
      </c>
      <c r="D90" s="13" t="n">
        <v>-0.00937166822374979</v>
      </c>
      <c r="E90" s="13" t="n">
        <v>-0.010741780270879</v>
      </c>
      <c r="F90" s="14" t="n">
        <f aca="false">F89*(1+C90)</f>
        <v>92205.2686620475</v>
      </c>
      <c r="G90" s="14" t="n">
        <f aca="false">G89*(1+D90)</f>
        <v>101655.480064105</v>
      </c>
      <c r="H90" s="14" t="n">
        <f aca="false">H89*(1+E90)</f>
        <v>104860.195872052</v>
      </c>
      <c r="I90" s="14" t="n">
        <f aca="false">F90-F89</f>
        <v>-813.294427671557</v>
      </c>
      <c r="J90" s="14" t="n">
        <f aca="false">G90-G89</f>
        <v>-961.694110422424</v>
      </c>
      <c r="K90" s="14" t="n">
        <f aca="false">H90-H89</f>
        <v>-1138.61594551858</v>
      </c>
    </row>
    <row r="91" customFormat="false" ht="15" hidden="false" customHeight="false" outlineLevel="0" collapsed="false">
      <c r="A91" s="11" t="n">
        <v>46112</v>
      </c>
      <c r="B91" s="12" t="s">
        <v>44</v>
      </c>
      <c r="C91" s="13" t="n">
        <v>-0.0325921256828579</v>
      </c>
      <c r="D91" s="13" t="n">
        <v>-0.0598147475693284</v>
      </c>
      <c r="E91" s="13" t="n">
        <v>-0.0584536633292792</v>
      </c>
      <c r="F91" s="14" t="n">
        <f aca="false">F90*(1+C91)</f>
        <v>89200.1029571924</v>
      </c>
      <c r="G91" s="14" t="n">
        <f aca="false">G90*(1+D91)</f>
        <v>95574.9831850319</v>
      </c>
      <c r="H91" s="14" t="n">
        <f aca="false">H90*(1+E91)</f>
        <v>98730.7332859052</v>
      </c>
      <c r="I91" s="14" t="n">
        <f aca="false">F91-F90</f>
        <v>-3005.16570485513</v>
      </c>
      <c r="J91" s="14" t="n">
        <f aca="false">G91-G90</f>
        <v>-6080.49687907336</v>
      </c>
      <c r="K91" s="14" t="n">
        <f aca="false">H91-H90</f>
        <v>-6129.46258614722</v>
      </c>
    </row>
    <row r="92" customFormat="false" ht="15" hidden="false" customHeight="false" outlineLevel="0" collapsed="false">
      <c r="A92" s="11" t="n">
        <v>46113</v>
      </c>
      <c r="B92" s="12" t="s">
        <v>45</v>
      </c>
      <c r="C92" s="13" t="n">
        <v>0.0222852002429036</v>
      </c>
      <c r="D92" s="13" t="n">
        <v>0.0117786275431567</v>
      </c>
      <c r="E92" s="13" t="n">
        <v>-0.000108053563568911</v>
      </c>
      <c r="F92" s="14" t="n">
        <f aca="false">F91*(1+C92)</f>
        <v>91187.9451132811</v>
      </c>
      <c r="G92" s="14" t="n">
        <f aca="false">G91*(1+D92)</f>
        <v>96700.7253144119</v>
      </c>
      <c r="H92" s="14" t="n">
        <f aca="false">H91*(1+E92)</f>
        <v>98720.0650783399</v>
      </c>
      <c r="I92" s="14" t="n">
        <f aca="false">F92-F91</f>
        <v>1987.84215608866</v>
      </c>
      <c r="J92" s="14" t="n">
        <f aca="false">G92-G91</f>
        <v>1125.74212937994</v>
      </c>
      <c r="K92" s="14" t="n">
        <f aca="false">H92-H91</f>
        <v>-10.668207565308</v>
      </c>
    </row>
    <row r="93" customFormat="false" ht="15" hidden="false" customHeight="false" outlineLevel="0" collapsed="false">
      <c r="A93" s="11" t="n">
        <v>46114</v>
      </c>
      <c r="B93" s="12" t="s">
        <v>39</v>
      </c>
      <c r="C93" s="13" t="n">
        <v>-0.00847872837667341</v>
      </c>
      <c r="D93" s="13" t="n">
        <v>-0.0124754326869547</v>
      </c>
      <c r="E93" s="13" t="n">
        <v>-0.0135223030647525</v>
      </c>
      <c r="F93" s="14" t="n">
        <f aca="false">F92*(1+C93)</f>
        <v>90414.7872954386</v>
      </c>
      <c r="G93" s="14" t="n">
        <f aca="false">G92*(1+D93)</f>
        <v>95494.3419249722</v>
      </c>
      <c r="H93" s="14" t="n">
        <f aca="false">H92*(1+E93)</f>
        <v>97385.1424397785</v>
      </c>
      <c r="I93" s="14" t="n">
        <f aca="false">F93-F92</f>
        <v>-773.157817842512</v>
      </c>
      <c r="J93" s="14" t="n">
        <f aca="false">G93-G92</f>
        <v>-1206.38338943964</v>
      </c>
      <c r="K93" s="14" t="n">
        <f aca="false">H93-H92</f>
        <v>-1334.9226385614</v>
      </c>
    </row>
    <row r="94" customFormat="false" ht="15" hidden="false" customHeight="false" outlineLevel="0" collapsed="false">
      <c r="A94" s="11" t="n">
        <v>46115</v>
      </c>
      <c r="B94" s="12" t="s">
        <v>40</v>
      </c>
      <c r="C94" s="13" t="n">
        <v>0.0130933290490232</v>
      </c>
      <c r="D94" s="13" t="n">
        <v>0.00509267022295797</v>
      </c>
      <c r="E94" s="13" t="n">
        <v>0.00430053855710461</v>
      </c>
      <c r="F94" s="14" t="n">
        <f aca="false">F93*(1+C94)</f>
        <v>91598.6178563952</v>
      </c>
      <c r="G94" s="14" t="n">
        <f aca="false">G93*(1+D94)</f>
        <v>95980.6631165545</v>
      </c>
      <c r="H94" s="14" t="n">
        <f aca="false">H93*(1+E94)</f>
        <v>97803.9509997299</v>
      </c>
      <c r="I94" s="14" t="n">
        <f aca="false">F94-F93</f>
        <v>1183.83056095662</v>
      </c>
      <c r="J94" s="14" t="n">
        <f aca="false">G94-G93</f>
        <v>486.321191582261</v>
      </c>
      <c r="K94" s="14" t="n">
        <f aca="false">H94-H93</f>
        <v>418.808559951402</v>
      </c>
    </row>
    <row r="95" customFormat="false" ht="15" hidden="false" customHeight="false" outlineLevel="0" collapsed="false">
      <c r="A95" s="11" t="n">
        <v>46116</v>
      </c>
      <c r="B95" s="12" t="s">
        <v>41</v>
      </c>
      <c r="C95" s="13" t="n">
        <v>-0.00618080425980605</v>
      </c>
      <c r="D95" s="13" t="n">
        <v>0.0364490598700778</v>
      </c>
      <c r="E95" s="13" t="n">
        <v>0.0343630422902962</v>
      </c>
      <c r="F95" s="14" t="n">
        <f aca="false">F94*(1+C95)</f>
        <v>91032.464728956</v>
      </c>
      <c r="G95" s="14" t="n">
        <f aca="false">G94*(1+D95)</f>
        <v>99479.0680528595</v>
      </c>
      <c r="H95" s="14" t="n">
        <f aca="false">H94*(1+E95)</f>
        <v>101164.792304092</v>
      </c>
      <c r="I95" s="14" t="n">
        <f aca="false">F95-F94</f>
        <v>-566.15312743916</v>
      </c>
      <c r="J95" s="14" t="n">
        <f aca="false">G95-G94</f>
        <v>3498.40493630506</v>
      </c>
      <c r="K95" s="14" t="n">
        <f aca="false">H95-H94</f>
        <v>3360.84130436179</v>
      </c>
    </row>
    <row r="96" customFormat="false" ht="15" hidden="false" customHeight="false" outlineLevel="0" collapsed="false">
      <c r="A96" s="11" t="n">
        <v>46117</v>
      </c>
      <c r="B96" s="12" t="s">
        <v>42</v>
      </c>
      <c r="C96" s="13" t="n">
        <v>-0.0291567561983158</v>
      </c>
      <c r="D96" s="13" t="n">
        <v>-0.0338312214859317</v>
      </c>
      <c r="E96" s="13" t="n">
        <v>-0.0330973382996704</v>
      </c>
      <c r="F96" s="14" t="n">
        <f aca="false">F95*(1+C96)</f>
        <v>88378.2533487221</v>
      </c>
      <c r="G96" s="14" t="n">
        <f aca="false">G95*(1+D96)</f>
        <v>96113.5696683492</v>
      </c>
      <c r="H96" s="14" t="n">
        <f aca="false">H95*(1+E96)</f>
        <v>97816.5069491873</v>
      </c>
      <c r="I96" s="14" t="n">
        <f aca="false">F96-F95</f>
        <v>-2654.21138023396</v>
      </c>
      <c r="J96" s="14" t="n">
        <f aca="false">G96-G95</f>
        <v>-3365.49838451036</v>
      </c>
      <c r="K96" s="14" t="n">
        <f aca="false">H96-H95</f>
        <v>-3348.28535490442</v>
      </c>
    </row>
    <row r="97" customFormat="false" ht="15" hidden="false" customHeight="false" outlineLevel="0" collapsed="false">
      <c r="A97" s="11" t="n">
        <v>46118</v>
      </c>
      <c r="B97" s="12" t="s">
        <v>43</v>
      </c>
      <c r="C97" s="13" t="n">
        <v>-0.0327576884952905</v>
      </c>
      <c r="D97" s="13" t="n">
        <v>-0.0347177267831413</v>
      </c>
      <c r="E97" s="13" t="n">
        <v>-0.0323768231127568</v>
      </c>
      <c r="F97" s="14" t="n">
        <f aca="false">F96*(1+C97)</f>
        <v>85483.1860557668</v>
      </c>
      <c r="G97" s="14" t="n">
        <f aca="false">G96*(1+D97)</f>
        <v>92776.725016451</v>
      </c>
      <c r="H97" s="14" t="n">
        <f aca="false">H96*(1+E97)</f>
        <v>94649.5192061857</v>
      </c>
      <c r="I97" s="14" t="n">
        <f aca="false">F97-F96</f>
        <v>-2895.0672929553</v>
      </c>
      <c r="J97" s="14" t="n">
        <f aca="false">G97-G96</f>
        <v>-3336.84465189817</v>
      </c>
      <c r="K97" s="14" t="n">
        <f aca="false">H97-H96</f>
        <v>-3166.98774300158</v>
      </c>
    </row>
    <row r="98" customFormat="false" ht="15" hidden="false" customHeight="false" outlineLevel="0" collapsed="false">
      <c r="A98" s="11" t="n">
        <v>46119</v>
      </c>
      <c r="B98" s="12" t="s">
        <v>44</v>
      </c>
      <c r="C98" s="13" t="n">
        <v>0.00971207683919495</v>
      </c>
      <c r="D98" s="13" t="n">
        <v>0.00899060740858269</v>
      </c>
      <c r="E98" s="13" t="n">
        <v>0.00518522438109971</v>
      </c>
      <c r="F98" s="14" t="n">
        <f aca="false">F97*(1+C98)</f>
        <v>86313.4053271996</v>
      </c>
      <c r="G98" s="14" t="n">
        <f aca="false">G97*(1+D98)</f>
        <v>93610.844127728</v>
      </c>
      <c r="H98" s="14" t="n">
        <f aca="false">H97*(1+E98)</f>
        <v>95140.298200833</v>
      </c>
      <c r="I98" s="14" t="n">
        <f aca="false">F98-F97</f>
        <v>830.219271432812</v>
      </c>
      <c r="J98" s="14" t="n">
        <f aca="false">G98-G97</f>
        <v>834.11911127693</v>
      </c>
      <c r="K98" s="14" t="n">
        <f aca="false">H98-H97</f>
        <v>490.778994647277</v>
      </c>
    </row>
    <row r="99" customFormat="false" ht="15" hidden="false" customHeight="false" outlineLevel="0" collapsed="false">
      <c r="A99" s="11" t="n">
        <v>46120</v>
      </c>
      <c r="B99" s="12" t="s">
        <v>45</v>
      </c>
      <c r="C99" s="13" t="n">
        <v>0.020946563910499</v>
      </c>
      <c r="D99" s="13" t="n">
        <v>0.0266625099719971</v>
      </c>
      <c r="E99" s="13" t="n">
        <v>0.0308485690471712</v>
      </c>
      <c r="F99" s="14" t="n">
        <f aca="false">F98*(1+C99)</f>
        <v>88121.3745882186</v>
      </c>
      <c r="G99" s="14" t="n">
        <f aca="false">G98*(1+D99)</f>
        <v>96106.7441927706</v>
      </c>
      <c r="H99" s="14" t="n">
        <f aca="false">H98*(1+E99)</f>
        <v>98075.2402590498</v>
      </c>
      <c r="I99" s="14" t="n">
        <f aca="false">F99-F98</f>
        <v>1807.96926101898</v>
      </c>
      <c r="J99" s="14" t="n">
        <f aca="false">G99-G98</f>
        <v>2495.9000650426</v>
      </c>
      <c r="K99" s="14" t="n">
        <f aca="false">H99-H98</f>
        <v>2934.94205821685</v>
      </c>
    </row>
    <row r="100" customFormat="false" ht="15" hidden="false" customHeight="false" outlineLevel="0" collapsed="false">
      <c r="A100" s="11" t="n">
        <v>46121</v>
      </c>
      <c r="B100" s="12" t="s">
        <v>39</v>
      </c>
      <c r="C100" s="13" t="n">
        <v>0.00670311013259523</v>
      </c>
      <c r="D100" s="13" t="n">
        <v>0.0196405829951335</v>
      </c>
      <c r="E100" s="13" t="n">
        <v>0.0179315424090789</v>
      </c>
      <c r="F100" s="14" t="n">
        <f aca="false">F99*(1+C100)</f>
        <v>88712.0618671191</v>
      </c>
      <c r="G100" s="14" t="n">
        <f aca="false">G99*(1+D100)</f>
        <v>97994.3366784807</v>
      </c>
      <c r="H100" s="14" t="n">
        <f aca="false">H99*(1+E100)</f>
        <v>99833.8805890356</v>
      </c>
      <c r="I100" s="14" t="n">
        <f aca="false">F100-F99</f>
        <v>590.687278900499</v>
      </c>
      <c r="J100" s="14" t="n">
        <f aca="false">G100-G99</f>
        <v>1887.59248571018</v>
      </c>
      <c r="K100" s="14" t="n">
        <f aca="false">H100-H99</f>
        <v>1758.64032998575</v>
      </c>
    </row>
    <row r="101" customFormat="false" ht="15" hidden="false" customHeight="false" outlineLevel="0" collapsed="false">
      <c r="A101" s="11" t="n">
        <v>46122</v>
      </c>
      <c r="B101" s="12" t="s">
        <v>40</v>
      </c>
      <c r="C101" s="13" t="n">
        <v>-0.0138089311973484</v>
      </c>
      <c r="D101" s="13" t="n">
        <v>0.0154730131933624</v>
      </c>
      <c r="E101" s="13" t="n">
        <v>0.0188008249491242</v>
      </c>
      <c r="F101" s="14" t="n">
        <f aca="false">F100*(1+C101)</f>
        <v>87487.0431084211</v>
      </c>
      <c r="G101" s="14" t="n">
        <f aca="false">G100*(1+D101)</f>
        <v>99510.6043427817</v>
      </c>
      <c r="H101" s="14" t="n">
        <f aca="false">H100*(1+E101)</f>
        <v>101710.839901982</v>
      </c>
      <c r="I101" s="14" t="n">
        <f aca="false">F101-F100</f>
        <v>-1225.01875869796</v>
      </c>
      <c r="J101" s="14" t="n">
        <f aca="false">G101-G100</f>
        <v>1516.26766430092</v>
      </c>
      <c r="K101" s="14" t="n">
        <f aca="false">H101-H100</f>
        <v>1876.95931294623</v>
      </c>
    </row>
    <row r="102" customFormat="false" ht="15" hidden="false" customHeight="false" outlineLevel="0" collapsed="false">
      <c r="A102" s="11" t="n">
        <v>46123</v>
      </c>
      <c r="B102" s="12" t="s">
        <v>41</v>
      </c>
      <c r="C102" s="13" t="n">
        <v>0.00106949767578218</v>
      </c>
      <c r="D102" s="13" t="n">
        <v>0.0173231196655173</v>
      </c>
      <c r="E102" s="13" t="n">
        <v>0.0167838560907762</v>
      </c>
      <c r="F102" s="14" t="n">
        <f aca="false">F101*(1+C102)</f>
        <v>87580.6102976866</v>
      </c>
      <c r="G102" s="14" t="n">
        <f aca="false">G101*(1+D102)</f>
        <v>101234.4384498</v>
      </c>
      <c r="H102" s="14" t="n">
        <f aca="false">H101*(1+E102)</f>
        <v>103417.940001769</v>
      </c>
      <c r="I102" s="14" t="n">
        <f aca="false">F102-F101</f>
        <v>93.5671892655082</v>
      </c>
      <c r="J102" s="14" t="n">
        <f aca="false">G102-G101</f>
        <v>1723.83410701795</v>
      </c>
      <c r="K102" s="14" t="n">
        <f aca="false">H102-H101</f>
        <v>1707.10009978684</v>
      </c>
    </row>
    <row r="103" customFormat="false" ht="15" hidden="false" customHeight="false" outlineLevel="0" collapsed="false">
      <c r="A103" s="11" t="n">
        <v>46124</v>
      </c>
      <c r="B103" s="12" t="s">
        <v>42</v>
      </c>
      <c r="C103" s="13" t="n">
        <v>0.024444558870288</v>
      </c>
      <c r="D103" s="13" t="n">
        <v>0.0346885268774279</v>
      </c>
      <c r="E103" s="13" t="n">
        <v>0.0348769163720465</v>
      </c>
      <c r="F103" s="14" t="n">
        <f aca="false">F102*(1+C103)</f>
        <v>89721.4796820041</v>
      </c>
      <c r="G103" s="14" t="n">
        <f aca="false">G102*(1+D103)</f>
        <v>104746.111988887</v>
      </c>
      <c r="H103" s="14" t="n">
        <f aca="false">H102*(1+E103)</f>
        <v>107024.83884658</v>
      </c>
      <c r="I103" s="14" t="n">
        <f aca="false">F103-F102</f>
        <v>2140.86938431754</v>
      </c>
      <c r="J103" s="14" t="n">
        <f aca="false">G103-G102</f>
        <v>3511.67353908721</v>
      </c>
      <c r="K103" s="14" t="n">
        <f aca="false">H103-H102</f>
        <v>3606.89884481102</v>
      </c>
    </row>
    <row r="104" customFormat="false" ht="15" hidden="false" customHeight="false" outlineLevel="0" collapsed="false">
      <c r="A104" s="11" t="n">
        <v>46125</v>
      </c>
      <c r="B104" s="12" t="s">
        <v>43</v>
      </c>
      <c r="C104" s="13" t="n">
        <v>-0.0153723575669764</v>
      </c>
      <c r="D104" s="13" t="n">
        <v>-0.0166609774850067</v>
      </c>
      <c r="E104" s="13" t="n">
        <v>-0.019069647272935</v>
      </c>
      <c r="F104" s="14" t="n">
        <f aca="false">F103*(1+C104)</f>
        <v>88342.2490148942</v>
      </c>
      <c r="G104" s="14" t="n">
        <f aca="false">G103*(1+D104)</f>
        <v>103000.939375398</v>
      </c>
      <c r="H104" s="14" t="n">
        <f aca="false">H103*(1+E104)</f>
        <v>104983.912920333</v>
      </c>
      <c r="I104" s="14" t="n">
        <f aca="false">F104-F103</f>
        <v>-1379.23066710998</v>
      </c>
      <c r="J104" s="14" t="n">
        <f aca="false">G104-G103</f>
        <v>-1745.17261348883</v>
      </c>
      <c r="K104" s="14" t="n">
        <f aca="false">H104-H103</f>
        <v>-2040.92592624697</v>
      </c>
    </row>
    <row r="105" customFormat="false" ht="15" hidden="false" customHeight="false" outlineLevel="0" collapsed="false">
      <c r="A105" s="11" t="n">
        <v>46126</v>
      </c>
      <c r="B105" s="12" t="s">
        <v>44</v>
      </c>
      <c r="C105" s="13" t="n">
        <v>0.0442612578236319</v>
      </c>
      <c r="D105" s="13" t="n">
        <v>0.0298788465909228</v>
      </c>
      <c r="E105" s="13" t="n">
        <v>0.0299032852286928</v>
      </c>
      <c r="F105" s="14" t="n">
        <f aca="false">F104*(1+C105)</f>
        <v>92252.3880752619</v>
      </c>
      <c r="G105" s="14" t="n">
        <f aca="false">G104*(1+D105)</f>
        <v>106078.488641716</v>
      </c>
      <c r="H105" s="14" t="n">
        <f aca="false">H104*(1+E105)</f>
        <v>108123.276812814</v>
      </c>
      <c r="I105" s="14" t="n">
        <f aca="false">F105-F104</f>
        <v>3910.13906036771</v>
      </c>
      <c r="J105" s="14" t="n">
        <f aca="false">G105-G104</f>
        <v>3077.54926631846</v>
      </c>
      <c r="K105" s="14" t="n">
        <f aca="false">H105-H104</f>
        <v>3139.36389248095</v>
      </c>
    </row>
    <row r="106" customFormat="false" ht="15" hidden="false" customHeight="false" outlineLevel="0" collapsed="false">
      <c r="A106" s="11" t="n">
        <v>46127</v>
      </c>
      <c r="B106" s="12" t="s">
        <v>45</v>
      </c>
      <c r="C106" s="13" t="n">
        <v>-0.0067302017847321</v>
      </c>
      <c r="D106" s="13" t="n">
        <v>-0.00517781726953121</v>
      </c>
      <c r="E106" s="13" t="n">
        <v>-0.00562825682973521</v>
      </c>
      <c r="F106" s="14" t="n">
        <f aca="false">F105*(1+C106)</f>
        <v>91631.510888392</v>
      </c>
      <c r="G106" s="14" t="n">
        <f aca="false">G105*(1+D106)</f>
        <v>105529.233611302</v>
      </c>
      <c r="H106" s="14" t="n">
        <f aca="false">H105*(1+E106)</f>
        <v>107514.731241639</v>
      </c>
      <c r="I106" s="14" t="n">
        <f aca="false">F106-F105</f>
        <v>-620.877186869926</v>
      </c>
      <c r="J106" s="14" t="n">
        <f aca="false">G106-G105</f>
        <v>-549.255030414861</v>
      </c>
      <c r="K106" s="14" t="n">
        <f aca="false">H106-H105</f>
        <v>-608.545571175069</v>
      </c>
    </row>
    <row r="107" customFormat="false" ht="15" hidden="false" customHeight="false" outlineLevel="0" collapsed="false">
      <c r="A107" s="11" t="n">
        <v>46128</v>
      </c>
      <c r="B107" s="12" t="s">
        <v>39</v>
      </c>
      <c r="C107" s="13" t="n">
        <v>0.0287405031926921</v>
      </c>
      <c r="D107" s="13" t="n">
        <v>0.0353426470527266</v>
      </c>
      <c r="E107" s="13" t="n">
        <v>0.0366531307042042</v>
      </c>
      <c r="F107" s="14" t="n">
        <f aca="false">F106*(1+C107)</f>
        <v>94265.046619631</v>
      </c>
      <c r="G107" s="14" t="n">
        <f aca="false">G106*(1+D107)</f>
        <v>109258.916068571</v>
      </c>
      <c r="H107" s="14" t="n">
        <f aca="false">H106*(1+E107)</f>
        <v>111455.482738466</v>
      </c>
      <c r="I107" s="14" t="n">
        <f aca="false">F107-F106</f>
        <v>2633.53573123904</v>
      </c>
      <c r="J107" s="14" t="n">
        <f aca="false">G107-G106</f>
        <v>3729.68245726895</v>
      </c>
      <c r="K107" s="14" t="n">
        <f aca="false">H107-H106</f>
        <v>3940.75149682716</v>
      </c>
    </row>
    <row r="108" customFormat="false" ht="15" hidden="false" customHeight="false" outlineLevel="0" collapsed="false">
      <c r="A108" s="11" t="n">
        <v>46129</v>
      </c>
      <c r="B108" s="12" t="s">
        <v>40</v>
      </c>
      <c r="C108" s="13" t="n">
        <v>0.0623438642059837</v>
      </c>
      <c r="D108" s="13" t="n">
        <v>0.0794089069289747</v>
      </c>
      <c r="E108" s="13" t="n">
        <v>0.0774384279052058</v>
      </c>
      <c r="F108" s="14" t="n">
        <f aca="false">F107*(1+C108)</f>
        <v>100141.893885456</v>
      </c>
      <c r="G108" s="14" t="n">
        <f aca="false">G107*(1+D108)</f>
        <v>117935.04716582</v>
      </c>
      <c r="H108" s="14" t="n">
        <f aca="false">H107*(1+E108)</f>
        <v>120086.420103148</v>
      </c>
      <c r="I108" s="14" t="n">
        <f aca="false">F108-F107</f>
        <v>5876.847265825</v>
      </c>
      <c r="J108" s="14" t="n">
        <f aca="false">G108-G107</f>
        <v>8676.13109724977</v>
      </c>
      <c r="K108" s="14" t="n">
        <f aca="false">H108-H107</f>
        <v>8630.93736468258</v>
      </c>
    </row>
    <row r="109" customFormat="false" ht="15" hidden="false" customHeight="false" outlineLevel="0" collapsed="false">
      <c r="A109" s="11" t="n">
        <v>46130</v>
      </c>
      <c r="B109" s="12" t="s">
        <v>41</v>
      </c>
      <c r="C109" s="13" t="n">
        <v>0.0292704955686236</v>
      </c>
      <c r="D109" s="13" t="n">
        <v>0.0211186468016782</v>
      </c>
      <c r="E109" s="13" t="n">
        <v>0.0208509165408283</v>
      </c>
      <c r="F109" s="14" t="n">
        <f aca="false">F108*(1+C109)</f>
        <v>103073.096746664</v>
      </c>
      <c r="G109" s="14" t="n">
        <f aca="false">G108*(1+D109)</f>
        <v>120425.675772455</v>
      </c>
      <c r="H109" s="14" t="n">
        <f aca="false">H108*(1+E109)</f>
        <v>122590.332026406</v>
      </c>
      <c r="I109" s="14" t="n">
        <f aca="false">F109-F108</f>
        <v>2931.20286120781</v>
      </c>
      <c r="J109" s="14" t="n">
        <f aca="false">G109-G108</f>
        <v>2490.62860663421</v>
      </c>
      <c r="K109" s="14" t="n">
        <f aca="false">H109-H108</f>
        <v>2503.91192325761</v>
      </c>
    </row>
    <row r="110" customFormat="false" ht="15" hidden="false" customHeight="false" outlineLevel="0" collapsed="false">
      <c r="A110" s="11" t="n">
        <v>46131</v>
      </c>
      <c r="B110" s="12" t="s">
        <v>42</v>
      </c>
      <c r="C110" s="13" t="n">
        <v>0.00446229349993765</v>
      </c>
      <c r="D110" s="13" t="n">
        <v>0.00708169841636374</v>
      </c>
      <c r="E110" s="13" t="n">
        <v>0.00516778120104019</v>
      </c>
      <c r="F110" s="14" t="n">
        <f aca="false">F109*(1+C110)</f>
        <v>103533.039156295</v>
      </c>
      <c r="G110" s="14" t="n">
        <f aca="false">G109*(1+D110)</f>
        <v>121278.494089862</v>
      </c>
      <c r="H110" s="14" t="n">
        <f aca="false">H109*(1+E110)</f>
        <v>123223.852039681</v>
      </c>
      <c r="I110" s="14" t="n">
        <f aca="false">F110-F109</f>
        <v>459.942409631083</v>
      </c>
      <c r="J110" s="14" t="n">
        <f aca="false">G110-G109</f>
        <v>852.81831740732</v>
      </c>
      <c r="K110" s="14" t="n">
        <f aca="false">H110-H109</f>
        <v>633.520013275338</v>
      </c>
    </row>
    <row r="111" customFormat="false" ht="15" hidden="false" customHeight="false" outlineLevel="0" collapsed="false">
      <c r="A111" s="11" t="n">
        <v>46132</v>
      </c>
      <c r="B111" s="12" t="s">
        <v>43</v>
      </c>
      <c r="C111" s="13" t="n">
        <v>0.00255413151232031</v>
      </c>
      <c r="D111" s="13" t="n">
        <v>0.00630778995432921</v>
      </c>
      <c r="E111" s="13" t="n">
        <v>0.0045000601736449</v>
      </c>
      <c r="F111" s="14" t="n">
        <f aca="false">F110*(1+C111)</f>
        <v>103797.47615417</v>
      </c>
      <c r="G111" s="14" t="n">
        <f aca="false">G110*(1+D111)</f>
        <v>122043.493356558</v>
      </c>
      <c r="H111" s="14" t="n">
        <f aca="false">H110*(1+E111)</f>
        <v>123778.366788688</v>
      </c>
      <c r="I111" s="14" t="n">
        <f aca="false">F111-F110</f>
        <v>264.436997875382</v>
      </c>
      <c r="J111" s="14" t="n">
        <f aca="false">G111-G110</f>
        <v>764.999266696192</v>
      </c>
      <c r="K111" s="14" t="n">
        <f aca="false">H111-H110</f>
        <v>554.514749006878</v>
      </c>
    </row>
    <row r="112" customFormat="false" ht="15" hidden="false" customHeight="false" outlineLevel="0" collapsed="false">
      <c r="A112" s="11" t="n">
        <v>46133</v>
      </c>
      <c r="B112" s="12" t="s">
        <v>44</v>
      </c>
      <c r="C112" s="13" t="n">
        <v>-0.00454195406019226</v>
      </c>
      <c r="D112" s="13" t="n">
        <v>-0.0136737955010549</v>
      </c>
      <c r="E112" s="13" t="n">
        <v>-0.0136615368478777</v>
      </c>
      <c r="F112" s="14" t="n">
        <f aca="false">F111*(1+C112)</f>
        <v>103326.032785914</v>
      </c>
      <c r="G112" s="14" t="n">
        <f aca="false">G111*(1+D112)</f>
        <v>120374.695586166</v>
      </c>
      <c r="H112" s="14" t="n">
        <f aca="false">H111*(1+E112)</f>
        <v>122087.364069834</v>
      </c>
      <c r="I112" s="14" t="n">
        <f aca="false">F112-F111</f>
        <v>-471.44336825615</v>
      </c>
      <c r="J112" s="14" t="n">
        <f aca="false">G112-G111</f>
        <v>-1668.79777039193</v>
      </c>
      <c r="K112" s="14" t="n">
        <f aca="false">H112-H111</f>
        <v>-1691.00271885379</v>
      </c>
    </row>
    <row r="113" customFormat="false" ht="15" hidden="false" customHeight="false" outlineLevel="0" collapsed="false">
      <c r="A113" s="11" t="n">
        <v>46134</v>
      </c>
      <c r="B113" s="12" t="s">
        <v>45</v>
      </c>
      <c r="C113" s="13" t="n">
        <v>-0.00154607204406121</v>
      </c>
      <c r="D113" s="13" t="n">
        <v>-0.00486474295697112</v>
      </c>
      <c r="E113" s="13" t="n">
        <v>-0.00389362281884644</v>
      </c>
      <c r="F113" s="14" t="n">
        <f aca="false">F112*(1+C113)</f>
        <v>103166.2832952</v>
      </c>
      <c r="G113" s="14" t="n">
        <f aca="false">G112*(1+D113)</f>
        <v>119789.103633616</v>
      </c>
      <c r="H113" s="14" t="n">
        <f aca="false">H112*(1+E113)</f>
        <v>121612.001923199</v>
      </c>
      <c r="I113" s="14" t="n">
        <f aca="false">F113-F112</f>
        <v>-159.74949071405</v>
      </c>
      <c r="J113" s="14" t="n">
        <f aca="false">G113-G112</f>
        <v>-585.591952550341</v>
      </c>
      <c r="K113" s="14" t="n">
        <f aca="false">H113-H112</f>
        <v>-475.362146635118</v>
      </c>
    </row>
    <row r="114" customFormat="false" ht="15" hidden="false" customHeight="false" outlineLevel="0" collapsed="false">
      <c r="A114" s="11" t="n">
        <v>46135</v>
      </c>
      <c r="B114" s="12" t="s">
        <v>39</v>
      </c>
      <c r="C114" s="13" t="n">
        <v>0.0158857863355506</v>
      </c>
      <c r="D114" s="13" t="n">
        <v>0.0194886588857696</v>
      </c>
      <c r="E114" s="13" t="n">
        <v>0.0182081422847193</v>
      </c>
      <c r="F114" s="14" t="n">
        <f aca="false">F113*(1+C114)</f>
        <v>104805.16082866</v>
      </c>
      <c r="G114" s="14" t="n">
        <f aca="false">G113*(1+D114)</f>
        <v>122123.632612563</v>
      </c>
      <c r="H114" s="14" t="n">
        <f aca="false">H113*(1+E114)</f>
        <v>123826.330557746</v>
      </c>
      <c r="I114" s="14" t="n">
        <f aca="false">F114-F113</f>
        <v>1638.87753346043</v>
      </c>
      <c r="J114" s="14" t="n">
        <f aca="false">G114-G113</f>
        <v>2334.52897894765</v>
      </c>
      <c r="K114" s="14" t="n">
        <f aca="false">H114-H113</f>
        <v>2214.32863454717</v>
      </c>
    </row>
    <row r="115" customFormat="false" ht="15" hidden="false" customHeight="false" outlineLevel="0" collapsed="false">
      <c r="A115" s="11" t="n">
        <v>46136</v>
      </c>
      <c r="B115" s="12" t="s">
        <v>40</v>
      </c>
      <c r="C115" s="13" t="n">
        <v>-0.00738699971945339</v>
      </c>
      <c r="D115" s="13" t="n">
        <v>-0.00892471647812723</v>
      </c>
      <c r="E115" s="13" t="n">
        <v>-0.00750595265589839</v>
      </c>
      <c r="F115" s="14" t="n">
        <f aca="false">F114*(1+C115)</f>
        <v>104030.965135022</v>
      </c>
      <c r="G115" s="14" t="n">
        <f aca="false">G114*(1+D115)</f>
        <v>121033.713816217</v>
      </c>
      <c r="H115" s="14" t="n">
        <f aca="false">H114*(1+E115)</f>
        <v>122896.895983026</v>
      </c>
      <c r="I115" s="14" t="n">
        <f aca="false">F115-F114</f>
        <v>-774.195693638583</v>
      </c>
      <c r="J115" s="14" t="n">
        <f aca="false">G115-G114</f>
        <v>-1089.9187963461</v>
      </c>
      <c r="K115" s="14" t="n">
        <f aca="false">H115-H114</f>
        <v>-929.434574720071</v>
      </c>
    </row>
    <row r="116" customFormat="false" ht="15" hidden="false" customHeight="false" outlineLevel="0" collapsed="false">
      <c r="A116" s="11" t="n">
        <v>46137</v>
      </c>
      <c r="B116" s="12" t="s">
        <v>41</v>
      </c>
      <c r="C116" s="13" t="n">
        <v>0.0316344079433167</v>
      </c>
      <c r="D116" s="13" t="n">
        <v>0.0337264153842558</v>
      </c>
      <c r="E116" s="13" t="n">
        <v>0.0349597840306568</v>
      </c>
      <c r="F116" s="14" t="n">
        <f aca="false">F115*(1+C116)</f>
        <v>107321.92312484</v>
      </c>
      <c r="G116" s="14" t="n">
        <f aca="false">G115*(1+D116)</f>
        <v>125115.747123882</v>
      </c>
      <c r="H116" s="14" t="n">
        <f aca="false">H115*(1+E116)</f>
        <v>127193.344924631</v>
      </c>
      <c r="I116" s="14" t="n">
        <f aca="false">F116-F115</f>
        <v>3290.95798981823</v>
      </c>
      <c r="J116" s="14" t="n">
        <f aca="false">G116-G115</f>
        <v>4082.03330766488</v>
      </c>
      <c r="K116" s="14" t="n">
        <f aca="false">H116-H115</f>
        <v>4296.4489416047</v>
      </c>
    </row>
    <row r="117" customFormat="false" ht="15" hidden="false" customHeight="false" outlineLevel="0" collapsed="false">
      <c r="A117" s="11" t="n">
        <v>46138</v>
      </c>
      <c r="B117" s="12" t="s">
        <v>42</v>
      </c>
      <c r="C117" s="13" t="n">
        <v>0.00484456450167747</v>
      </c>
      <c r="D117" s="13" t="n">
        <v>0.00593945388511904</v>
      </c>
      <c r="E117" s="13" t="n">
        <v>0.00499777418609253</v>
      </c>
      <c r="F117" s="14" t="n">
        <f aca="false">F116*(1+C117)</f>
        <v>107841.851103863</v>
      </c>
      <c r="G117" s="14" t="n">
        <f aca="false">G116*(1+D117)</f>
        <v>125858.866334227</v>
      </c>
      <c r="H117" s="14" t="n">
        <f aca="false">H116*(1+E117)</f>
        <v>127829.028540538</v>
      </c>
      <c r="I117" s="14" t="n">
        <f aca="false">F117-F116</f>
        <v>519.927979022366</v>
      </c>
      <c r="J117" s="14" t="n">
        <f aca="false">G117-G116</f>
        <v>743.119210344506</v>
      </c>
      <c r="K117" s="14" t="n">
        <f aca="false">H117-H116</f>
        <v>635.683615907081</v>
      </c>
    </row>
    <row r="118" customFormat="false" ht="15" hidden="false" customHeight="false" outlineLevel="0" collapsed="false">
      <c r="A118" s="11" t="n">
        <v>46139</v>
      </c>
      <c r="B118" s="12" t="s">
        <v>43</v>
      </c>
      <c r="C118" s="13" t="n">
        <v>0.0147316646108118</v>
      </c>
      <c r="D118" s="13" t="n">
        <v>0.0192923270890819</v>
      </c>
      <c r="E118" s="13" t="n">
        <v>0.0193815584729012</v>
      </c>
      <c r="F118" s="14" t="n">
        <f aca="false">F117*(1+C118)</f>
        <v>109430.541085334</v>
      </c>
      <c r="G118" s="14" t="n">
        <f aca="false">G117*(1+D118)</f>
        <v>128286.976750608</v>
      </c>
      <c r="H118" s="14" t="n">
        <f aca="false">H117*(1+E118)</f>
        <v>130306.554331731</v>
      </c>
      <c r="I118" s="14" t="n">
        <f aca="false">F118-F117</f>
        <v>1588.68998147121</v>
      </c>
      <c r="J118" s="14" t="n">
        <f aca="false">G118-G117</f>
        <v>2428.11041638094</v>
      </c>
      <c r="K118" s="14" t="n">
        <f aca="false">H118-H117</f>
        <v>2477.52579119259</v>
      </c>
    </row>
    <row r="119" customFormat="false" ht="15" hidden="false" customHeight="false" outlineLevel="0" collapsed="false">
      <c r="A119" s="11" t="n">
        <v>46140</v>
      </c>
      <c r="B119" s="12" t="s">
        <v>44</v>
      </c>
      <c r="C119" s="13" t="n">
        <v>0.00390812425374931</v>
      </c>
      <c r="D119" s="13" t="n">
        <v>0.0039016966345278</v>
      </c>
      <c r="E119" s="13" t="n">
        <v>0.00418546989801164</v>
      </c>
      <c r="F119" s="14" t="n">
        <f aca="false">F118*(1+C119)</f>
        <v>109858.20923705</v>
      </c>
      <c r="G119" s="14" t="n">
        <f aca="false">G118*(1+D119)</f>
        <v>128787.513616049</v>
      </c>
      <c r="H119" s="14" t="n">
        <f aca="false">H118*(1+E119)</f>
        <v>130851.9484924</v>
      </c>
      <c r="I119" s="14" t="n">
        <f aca="false">F119-F118</f>
        <v>427.668151716498</v>
      </c>
      <c r="J119" s="14" t="n">
        <f aca="false">G119-G118</f>
        <v>500.536865441594</v>
      </c>
      <c r="K119" s="14" t="n">
        <f aca="false">H119-H118</f>
        <v>545.394160669093</v>
      </c>
    </row>
    <row r="120" customFormat="false" ht="15" hidden="false" customHeight="false" outlineLevel="0" collapsed="false">
      <c r="A120" s="11" t="n">
        <v>46141</v>
      </c>
      <c r="B120" s="12" t="s">
        <v>45</v>
      </c>
      <c r="C120" s="13" t="n">
        <v>-0.00272919984626496</v>
      </c>
      <c r="D120" s="13" t="n">
        <v>-0.00174989591966612</v>
      </c>
      <c r="E120" s="13" t="n">
        <v>0.00226379297739191</v>
      </c>
      <c r="F120" s="14" t="n">
        <f aca="false">F119*(1+C120)</f>
        <v>109558.38422929</v>
      </c>
      <c r="G120" s="14" t="n">
        <f aca="false">G119*(1+D120)</f>
        <v>128562.148871469</v>
      </c>
      <c r="H120" s="14" t="n">
        <f aca="false">H119*(1+E120)</f>
        <v>131148.170214475</v>
      </c>
      <c r="I120" s="14" t="n">
        <f aca="false">F120-F119</f>
        <v>-299.825007760708</v>
      </c>
      <c r="J120" s="14" t="n">
        <f aca="false">G120-G119</f>
        <v>-225.364744580671</v>
      </c>
      <c r="K120" s="14" t="n">
        <f aca="false">H120-H119</f>
        <v>296.221722075134</v>
      </c>
    </row>
    <row r="121" customFormat="false" ht="15" hidden="false" customHeight="false" outlineLevel="0" collapsed="false">
      <c r="A121" s="11" t="n">
        <v>46142</v>
      </c>
      <c r="B121" s="12" t="s">
        <v>39</v>
      </c>
      <c r="C121" s="13" t="n">
        <v>0.026608600588087</v>
      </c>
      <c r="D121" s="13" t="n">
        <v>0.0307214403890492</v>
      </c>
      <c r="E121" s="13" t="n">
        <v>0.0290922544794204</v>
      </c>
      <c r="F121" s="14" t="n">
        <f aca="false">F120*(1+C121)</f>
        <v>112473.579516323</v>
      </c>
      <c r="G121" s="14" t="n">
        <f aca="false">G120*(1+D121)</f>
        <v>132511.763264311</v>
      </c>
      <c r="H121" s="14" t="n">
        <f aca="false">H120*(1+E121)</f>
        <v>134963.566156865</v>
      </c>
      <c r="I121" s="14" t="n">
        <f aca="false">F121-F120</f>
        <v>2915.19528703333</v>
      </c>
      <c r="J121" s="14" t="n">
        <f aca="false">G121-G120</f>
        <v>3949.61439284288</v>
      </c>
      <c r="K121" s="14" t="n">
        <f aca="false">H121-H120</f>
        <v>3815.39594238985</v>
      </c>
    </row>
    <row r="122" customFormat="false" ht="15" hidden="false" customHeight="false" outlineLevel="0" collapsed="false">
      <c r="A122" s="11" t="n">
        <v>46143</v>
      </c>
      <c r="B122" s="12" t="s">
        <v>40</v>
      </c>
      <c r="C122" s="13" t="n">
        <v>0.0170870224771901</v>
      </c>
      <c r="D122" s="13" t="n">
        <v>0.0164186951657074</v>
      </c>
      <c r="E122" s="13" t="n">
        <v>0.0147085610285661</v>
      </c>
      <c r="F122" s="14" t="n">
        <f aca="false">F121*(1+C122)</f>
        <v>114395.418097608</v>
      </c>
      <c r="G122" s="14" t="n">
        <f aca="false">G121*(1+D122)</f>
        <v>134687.433511219</v>
      </c>
      <c r="H122" s="14" t="n">
        <f aca="false">H121*(1+E122)</f>
        <v>136948.686006316</v>
      </c>
      <c r="I122" s="14" t="n">
        <f aca="false">F122-F121</f>
        <v>1921.83858128542</v>
      </c>
      <c r="J122" s="14" t="n">
        <f aca="false">G122-G121</f>
        <v>2175.67024690713</v>
      </c>
      <c r="K122" s="14" t="n">
        <f aca="false">H122-H121</f>
        <v>1985.11984945115</v>
      </c>
    </row>
    <row r="123" customFormat="false" ht="15" hidden="false" customHeight="false" outlineLevel="0" collapsed="false">
      <c r="A123" s="11" t="n">
        <v>46144</v>
      </c>
      <c r="B123" s="12" t="s">
        <v>41</v>
      </c>
      <c r="C123" s="13" t="n">
        <v>0.00763888820217673</v>
      </c>
      <c r="D123" s="13" t="n">
        <v>0.009017480088426</v>
      </c>
      <c r="E123" s="13" t="n">
        <v>0.00943751365842492</v>
      </c>
      <c r="F123" s="14" t="n">
        <f aca="false">F122*(1+C123)</f>
        <v>115269.271907297</v>
      </c>
      <c r="G123" s="14" t="n">
        <f aca="false">G122*(1+D123)</f>
        <v>135901.974761067</v>
      </c>
      <c r="H123" s="14" t="n">
        <f aca="false">H122*(1+E123)</f>
        <v>138241.141101004</v>
      </c>
      <c r="I123" s="14" t="n">
        <f aca="false">F123-F122</f>
        <v>873.853809688895</v>
      </c>
      <c r="J123" s="14" t="n">
        <f aca="false">G123-G122</f>
        <v>1214.54124984861</v>
      </c>
      <c r="K123" s="14" t="n">
        <f aca="false">H123-H122</f>
        <v>1292.45509468793</v>
      </c>
    </row>
    <row r="124" customFormat="false" ht="15" hidden="false" customHeight="false" outlineLevel="0" collapsed="false">
      <c r="A124" s="11" t="n">
        <v>46145</v>
      </c>
      <c r="B124" s="12" t="s">
        <v>42</v>
      </c>
      <c r="C124" s="13" t="n">
        <v>0.000327758775876985</v>
      </c>
      <c r="D124" s="13" t="n">
        <v>0.00115103703634158</v>
      </c>
      <c r="E124" s="13" t="n">
        <v>0.00313168987704502</v>
      </c>
      <c r="F124" s="14" t="n">
        <f aca="false">F123*(1+C124)</f>
        <v>115307.052422754</v>
      </c>
      <c r="G124" s="14" t="n">
        <f aca="false">G123*(1+D124)</f>
        <v>136058.402967329</v>
      </c>
      <c r="H124" s="14" t="n">
        <f aca="false">H123*(1+E124)</f>
        <v>138674.069483181</v>
      </c>
      <c r="I124" s="14" t="n">
        <f aca="false">F124-F123</f>
        <v>37.7805154565722</v>
      </c>
      <c r="J124" s="14" t="n">
        <f aca="false">G124-G123</f>
        <v>156.428206261946</v>
      </c>
      <c r="K124" s="14" t="n">
        <f aca="false">H124-H123</f>
        <v>432.928382177168</v>
      </c>
    </row>
    <row r="125" customFormat="false" ht="15" hidden="false" customHeight="false" outlineLevel="0" collapsed="false">
      <c r="A125" s="11" t="n">
        <v>46146</v>
      </c>
      <c r="B125" s="12" t="s">
        <v>43</v>
      </c>
      <c r="C125" s="13" t="n">
        <v>0.0108801142362106</v>
      </c>
      <c r="D125" s="13" t="n">
        <v>0.012980179625812</v>
      </c>
      <c r="E125" s="13" t="n">
        <v>0.0120976565786166</v>
      </c>
      <c r="F125" s="14" t="n">
        <f aca="false">F124*(1+C125)</f>
        <v>116561.606325354</v>
      </c>
      <c r="G125" s="14" t="n">
        <f aca="false">G124*(1+D125)</f>
        <v>137824.465477446</v>
      </c>
      <c r="H125" s="14" t="n">
        <f aca="false">H124*(1+E125)</f>
        <v>140351.700752148</v>
      </c>
      <c r="I125" s="14" t="n">
        <f aca="false">F125-F124</f>
        <v>1254.55390260027</v>
      </c>
      <c r="J125" s="14" t="n">
        <f aca="false">G125-G124</f>
        <v>1766.06251011704</v>
      </c>
      <c r="K125" s="14" t="n">
        <f aca="false">H125-H124</f>
        <v>1677.63126896674</v>
      </c>
    </row>
    <row r="126" customFormat="false" ht="15" hidden="false" customHeight="false" outlineLevel="0" collapsed="false">
      <c r="A126" s="11" t="n">
        <v>46147</v>
      </c>
      <c r="B126" s="12" t="s">
        <v>44</v>
      </c>
      <c r="C126" s="13" t="n">
        <v>0.0152585512815607</v>
      </c>
      <c r="D126" s="13" t="n">
        <v>0.008624623487885</v>
      </c>
      <c r="E126" s="13" t="n">
        <v>0.00592163924945391</v>
      </c>
      <c r="F126" s="14" t="n">
        <f aca="false">F125*(1+C126)</f>
        <v>118340.167572931</v>
      </c>
      <c r="G126" s="14" t="n">
        <f aca="false">G125*(1+D126)</f>
        <v>139013.149599608</v>
      </c>
      <c r="H126" s="14" t="n">
        <f aca="false">H125*(1+E126)</f>
        <v>141182.812892049</v>
      </c>
      <c r="I126" s="14" t="n">
        <f aca="false">F126-F125</f>
        <v>1778.56124757652</v>
      </c>
      <c r="J126" s="14" t="n">
        <f aca="false">G126-G125</f>
        <v>1188.684122162</v>
      </c>
      <c r="K126" s="14" t="n">
        <f aca="false">H126-H125</f>
        <v>831.112139901525</v>
      </c>
    </row>
    <row r="127" customFormat="false" ht="15" hidden="false" customHeight="false" outlineLevel="0" collapsed="false">
      <c r="A127" s="11" t="n">
        <v>46148</v>
      </c>
      <c r="B127" s="12" t="s">
        <v>45</v>
      </c>
      <c r="C127" s="13" t="n">
        <v>0.014477200025507</v>
      </c>
      <c r="D127" s="13" t="n">
        <v>0.0124372293362502</v>
      </c>
      <c r="E127" s="13" t="n">
        <v>0.0115514845645259</v>
      </c>
      <c r="F127" s="14" t="n">
        <f aca="false">F126*(1+C127)</f>
        <v>120053.401849936</v>
      </c>
      <c r="G127" s="14" t="n">
        <f aca="false">G126*(1+D127)</f>
        <v>140742.088021933</v>
      </c>
      <c r="H127" s="14" t="n">
        <f aca="false">H126*(1+E127)</f>
        <v>142813.683975948</v>
      </c>
      <c r="I127" s="14" t="n">
        <f aca="false">F127-F126</f>
        <v>1713.23427700535</v>
      </c>
      <c r="J127" s="14" t="n">
        <f aca="false">G127-G126</f>
        <v>1728.93842232478</v>
      </c>
      <c r="K127" s="14" t="n">
        <f aca="false">H127-H126</f>
        <v>1630.87108389885</v>
      </c>
    </row>
    <row r="128" customFormat="false" ht="15" hidden="false" customHeight="false" outlineLevel="0" collapsed="false">
      <c r="A128" s="11" t="n">
        <v>46149</v>
      </c>
      <c r="B128" s="12" t="s">
        <v>39</v>
      </c>
      <c r="C128" s="13" t="n">
        <v>0.0206902052465917</v>
      </c>
      <c r="D128" s="13" t="n">
        <v>0.0193038819739648</v>
      </c>
      <c r="E128" s="13" t="n">
        <v>0.0185003435288628</v>
      </c>
      <c r="F128" s="14" t="n">
        <f aca="false">F127*(1+C128)</f>
        <v>122537.331374763</v>
      </c>
      <c r="G128" s="14" t="n">
        <f aca="false">G127*(1+D128)</f>
        <v>143458.956677878</v>
      </c>
      <c r="H128" s="14" t="n">
        <f aca="false">H127*(1+E128)</f>
        <v>145455.786190126</v>
      </c>
      <c r="I128" s="14" t="n">
        <f aca="false">F128-F127</f>
        <v>2483.92952482674</v>
      </c>
      <c r="J128" s="14" t="n">
        <f aca="false">G128-G127</f>
        <v>2716.86865594477</v>
      </c>
      <c r="K128" s="14" t="n">
        <f aca="false">H128-H127</f>
        <v>2642.10221417749</v>
      </c>
    </row>
    <row r="129" customFormat="false" ht="15" hidden="false" customHeight="false" outlineLevel="0" collapsed="false">
      <c r="A129" s="11" t="n">
        <v>46150</v>
      </c>
      <c r="B129" s="12" t="s">
        <v>40</v>
      </c>
      <c r="C129" s="13" t="n">
        <v>0.00248662401217814</v>
      </c>
      <c r="D129" s="13" t="n">
        <v>0.00319815508593891</v>
      </c>
      <c r="E129" s="13" t="n">
        <v>2.154966114572E-005</v>
      </c>
      <c r="F129" s="14" t="n">
        <f aca="false">F128*(1+C129)</f>
        <v>122842.035645347</v>
      </c>
      <c r="G129" s="14" t="n">
        <f aca="false">G128*(1+D129)</f>
        <v>143917.760669801</v>
      </c>
      <c r="H129" s="14" t="n">
        <f aca="false">H128*(1+E129)</f>
        <v>145458.92071303</v>
      </c>
      <c r="I129" s="14" t="n">
        <f aca="false">F129-F128</f>
        <v>304.704270584713</v>
      </c>
      <c r="J129" s="14" t="n">
        <f aca="false">G129-G128</f>
        <v>458.803991922847</v>
      </c>
      <c r="K129" s="14" t="n">
        <f aca="false">H129-H128</f>
        <v>3.13452290408895</v>
      </c>
    </row>
    <row r="130" customFormat="false" ht="15" hidden="false" customHeight="false" outlineLevel="0" collapsed="false">
      <c r="A130" s="11" t="n">
        <v>46151</v>
      </c>
      <c r="B130" s="12" t="s">
        <v>41</v>
      </c>
      <c r="C130" s="13" t="n">
        <v>0.0116775244980735</v>
      </c>
      <c r="D130" s="13" t="n">
        <v>0.0116049529224316</v>
      </c>
      <c r="E130" s="13" t="n">
        <v>0.0139838608949484</v>
      </c>
      <c r="F130" s="14" t="n">
        <f aca="false">F129*(1+C130)</f>
        <v>124276.526525989</v>
      </c>
      <c r="G130" s="14" t="n">
        <f aca="false">G129*(1+D130)</f>
        <v>145587.919507075</v>
      </c>
      <c r="H130" s="14" t="n">
        <f aca="false">H129*(1+E130)</f>
        <v>147492.99802621</v>
      </c>
      <c r="I130" s="14" t="n">
        <f aca="false">F130-F129</f>
        <v>1434.49088064177</v>
      </c>
      <c r="J130" s="14" t="n">
        <f aca="false">G130-G129</f>
        <v>1670.15883727482</v>
      </c>
      <c r="K130" s="14" t="n">
        <f aca="false">H130-H129</f>
        <v>2034.07731318034</v>
      </c>
    </row>
    <row r="131" customFormat="false" ht="15" hidden="false" customHeight="false" outlineLevel="0" collapsed="false">
      <c r="A131" s="11" t="n">
        <v>46152</v>
      </c>
      <c r="B131" s="12" t="s">
        <v>42</v>
      </c>
      <c r="C131" s="13" t="n">
        <v>-0.00914468313181238</v>
      </c>
      <c r="D131" s="13" t="n">
        <v>-0.0101518865194147</v>
      </c>
      <c r="E131" s="13" t="n">
        <v>-0.0119359713358172</v>
      </c>
      <c r="F131" s="14" t="n">
        <f aca="false">F130*(1+C131)</f>
        <v>123140.057070187</v>
      </c>
      <c r="G131" s="14" t="n">
        <f aca="false">G130*(1+D131)</f>
        <v>144109.927469642</v>
      </c>
      <c r="H131" s="14" t="n">
        <f aca="false">H130*(1+E131)</f>
        <v>145732.525829535</v>
      </c>
      <c r="I131" s="14" t="n">
        <f aca="false">F131-F130</f>
        <v>-1136.46945580245</v>
      </c>
      <c r="J131" s="14" t="n">
        <f aca="false">G131-G130</f>
        <v>-1477.99203743352</v>
      </c>
      <c r="K131" s="14" t="n">
        <f aca="false">H131-H130</f>
        <v>-1760.47219667459</v>
      </c>
    </row>
    <row r="132" customFormat="false" ht="15" hidden="false" customHeight="false" outlineLevel="0" collapsed="false">
      <c r="A132" s="11" t="n">
        <v>46153</v>
      </c>
      <c r="B132" s="12" t="s">
        <v>43</v>
      </c>
      <c r="C132" s="13" t="n">
        <v>-0.00201870262692139</v>
      </c>
      <c r="D132" s="13" t="n">
        <v>-0.00439926282483978</v>
      </c>
      <c r="E132" s="13" t="n">
        <v>-0.0043064696394436</v>
      </c>
      <c r="F132" s="14" t="n">
        <f aca="false">F131*(1+C132)</f>
        <v>122891.4739135</v>
      </c>
      <c r="G132" s="14" t="n">
        <f aca="false">G131*(1+D132)</f>
        <v>143475.950023034</v>
      </c>
      <c r="H132" s="14" t="n">
        <f aca="false">H131*(1+E132)</f>
        <v>145104.933131571</v>
      </c>
      <c r="I132" s="14" t="n">
        <f aca="false">F132-F131</f>
        <v>-248.583156686829</v>
      </c>
      <c r="J132" s="14" t="n">
        <f aca="false">G132-G131</f>
        <v>-633.977446607547</v>
      </c>
      <c r="K132" s="14" t="n">
        <f aca="false">H132-H131</f>
        <v>-627.592697964312</v>
      </c>
    </row>
    <row r="133" customFormat="false" ht="15" hidden="false" customHeight="false" outlineLevel="0" collapsed="false">
      <c r="A133" s="11" t="n">
        <v>46154</v>
      </c>
      <c r="B133" s="12" t="s">
        <v>44</v>
      </c>
      <c r="C133" s="13" t="n">
        <v>-0.00980856876872377</v>
      </c>
      <c r="D133" s="13" t="n">
        <v>-0.00777720662938038</v>
      </c>
      <c r="E133" s="13" t="n">
        <v>-0.00905212215032394</v>
      </c>
      <c r="F133" s="14" t="n">
        <f aca="false">F132*(1+C133)</f>
        <v>121686.084440529</v>
      </c>
      <c r="G133" s="14" t="n">
        <f aca="false">G132*(1+D133)</f>
        <v>142360.107913359</v>
      </c>
      <c r="H133" s="14" t="n">
        <f aca="false">H132*(1+E133)</f>
        <v>143791.42555225</v>
      </c>
      <c r="I133" s="14" t="n">
        <f aca="false">F133-F132</f>
        <v>-1205.38947297038</v>
      </c>
      <c r="J133" s="14" t="n">
        <f aca="false">G133-G132</f>
        <v>-1115.84210967581</v>
      </c>
      <c r="K133" s="14" t="n">
        <f aca="false">H133-H132</f>
        <v>-1313.50757932157</v>
      </c>
    </row>
    <row r="134" customFormat="false" ht="15" hidden="false" customHeight="false" outlineLevel="0" collapsed="false">
      <c r="A134" s="11" t="n">
        <v>46155</v>
      </c>
      <c r="B134" s="12" t="s">
        <v>45</v>
      </c>
      <c r="C134" s="13" t="n">
        <v>-0.0073013000176364</v>
      </c>
      <c r="D134" s="13" t="n">
        <v>-0.00715558866012903</v>
      </c>
      <c r="E134" s="13" t="n">
        <v>-0.00893313441696311</v>
      </c>
      <c r="F134" s="14" t="n">
        <f aca="false">F133*(1+C134)</f>
        <v>120797.617830058</v>
      </c>
      <c r="G134" s="14" t="n">
        <f aca="false">G133*(1+D134)</f>
        <v>141341.437539519</v>
      </c>
      <c r="H134" s="14" t="n">
        <f aca="false">H133*(1+E134)</f>
        <v>142506.917419785</v>
      </c>
      <c r="I134" s="14" t="n">
        <f aca="false">F134-F133</f>
        <v>-888.466610471747</v>
      </c>
      <c r="J134" s="14" t="n">
        <f aca="false">G134-G133</f>
        <v>-1018.67037383956</v>
      </c>
      <c r="K134" s="14" t="n">
        <f aca="false">H134-H133</f>
        <v>-1284.50813246498</v>
      </c>
    </row>
    <row r="135" customFormat="false" ht="15" hidden="false" customHeight="false" outlineLevel="0" collapsed="false">
      <c r="A135" s="11" t="n">
        <v>46156</v>
      </c>
      <c r="B135" s="12" t="s">
        <v>39</v>
      </c>
      <c r="C135" s="13" t="n">
        <v>0.00813765787119014</v>
      </c>
      <c r="D135" s="13" t="n">
        <v>0.00681201390649466</v>
      </c>
      <c r="E135" s="13" t="n">
        <v>0.00921877162008038</v>
      </c>
      <c r="F135" s="14" t="n">
        <f aca="false">F134*(1+C135)</f>
        <v>121780.627515613</v>
      </c>
      <c r="G135" s="14" t="n">
        <f aca="false">G134*(1+D135)</f>
        <v>142304.257377602</v>
      </c>
      <c r="H135" s="14" t="n">
        <f aca="false">H134*(1+E135)</f>
        <v>143820.656145759</v>
      </c>
      <c r="I135" s="14" t="n">
        <f aca="false">F135-F134</f>
        <v>983.009685555779</v>
      </c>
      <c r="J135" s="14" t="n">
        <f aca="false">G135-G134</f>
        <v>962.819838083145</v>
      </c>
      <c r="K135" s="14" t="n">
        <f aca="false">H135-H134</f>
        <v>1313.73872597466</v>
      </c>
    </row>
    <row r="136" customFormat="false" ht="15" hidden="false" customHeight="false" outlineLevel="0" collapsed="false">
      <c r="A136" s="11" t="n">
        <v>46157</v>
      </c>
      <c r="B136" s="12" t="s">
        <v>40</v>
      </c>
      <c r="C136" s="13" t="n">
        <v>-0.00664488916615719</v>
      </c>
      <c r="D136" s="13" t="n">
        <v>-0.00443682830811932</v>
      </c>
      <c r="E136" s="13" t="n">
        <v>-0.00574167679104978</v>
      </c>
      <c r="F136" s="14" t="n">
        <f aca="false">F135*(1+C136)</f>
        <v>120971.408743187</v>
      </c>
      <c r="G136" s="14" t="n">
        <f aca="false">G135*(1+D136)</f>
        <v>141672.877820103</v>
      </c>
      <c r="H136" s="14" t="n">
        <f aca="false">H135*(1+E136)</f>
        <v>142994.884422294</v>
      </c>
      <c r="I136" s="14" t="n">
        <f aca="false">F136-F135</f>
        <v>-809.218772426335</v>
      </c>
      <c r="J136" s="14" t="n">
        <f aca="false">G136-G135</f>
        <v>-631.379557498847</v>
      </c>
      <c r="K136" s="14" t="n">
        <f aca="false">H136-H135</f>
        <v>-825.771723465645</v>
      </c>
    </row>
    <row r="137" customFormat="false" ht="15" hidden="false" customHeight="false" outlineLevel="0" collapsed="false">
      <c r="A137" s="11" t="n">
        <v>46158</v>
      </c>
      <c r="B137" s="12" t="s">
        <v>41</v>
      </c>
      <c r="C137" s="13" t="n">
        <v>-0.0163955859724956</v>
      </c>
      <c r="D137" s="13" t="n">
        <v>-0.0117954931907579</v>
      </c>
      <c r="E137" s="13" t="n">
        <v>-0.0160182870464624</v>
      </c>
      <c r="F137" s="14" t="n">
        <f aca="false">F136*(1+C137)</f>
        <v>118988.011610924</v>
      </c>
      <c r="G137" s="14" t="n">
        <f aca="false">G136*(1+D137)</f>
        <v>140001.776354461</v>
      </c>
      <c r="H137" s="14" t="n">
        <f aca="false">H136*(1+E137)</f>
        <v>140704.351317442</v>
      </c>
      <c r="I137" s="14" t="n">
        <f aca="false">F137-F136</f>
        <v>-1983.39713226282</v>
      </c>
      <c r="J137" s="14" t="n">
        <f aca="false">G137-G136</f>
        <v>-1671.1014656421</v>
      </c>
      <c r="K137" s="14" t="n">
        <f aca="false">H137-H136</f>
        <v>-2290.53310485202</v>
      </c>
    </row>
    <row r="138" customFormat="false" ht="15" hidden="false" customHeight="false" outlineLevel="0" collapsed="false">
      <c r="A138" s="11" t="n">
        <v>46159</v>
      </c>
      <c r="B138" s="12" t="s">
        <v>42</v>
      </c>
      <c r="C138" s="13" t="n">
        <v>0.00581930331863023</v>
      </c>
      <c r="D138" s="13" t="n">
        <v>0.00597315385942549</v>
      </c>
      <c r="E138" s="13" t="n">
        <v>0.00816130505153133</v>
      </c>
      <c r="F138" s="14" t="n">
        <f aca="false">F137*(1+C138)</f>
        <v>119680.438941769</v>
      </c>
      <c r="G138" s="14" t="n">
        <f aca="false">G137*(1+D138)</f>
        <v>140838.028505219</v>
      </c>
      <c r="H138" s="14" t="n">
        <f aca="false">H137*(1+E138)</f>
        <v>141852.682450621</v>
      </c>
      <c r="I138" s="14" t="n">
        <f aca="false">F138-F137</f>
        <v>692.427330844657</v>
      </c>
      <c r="J138" s="14" t="n">
        <f aca="false">G138-G137</f>
        <v>836.252150758053</v>
      </c>
      <c r="K138" s="14" t="n">
        <f aca="false">H138-H137</f>
        <v>1148.33113317945</v>
      </c>
    </row>
    <row r="139" customFormat="false" ht="15" hidden="false" customHeight="false" outlineLevel="0" collapsed="false">
      <c r="A139" s="11" t="n">
        <v>46160</v>
      </c>
      <c r="B139" s="12" t="s">
        <v>43</v>
      </c>
      <c r="C139" s="13" t="n">
        <v>0.00128529447082937</v>
      </c>
      <c r="D139" s="13" t="n">
        <v>0.00158574177553005</v>
      </c>
      <c r="E139" s="13" t="n">
        <v>0.00217869508069445</v>
      </c>
      <c r="F139" s="14" t="n">
        <f aca="false">F138*(1+C139)</f>
        <v>119834.263548207</v>
      </c>
      <c r="G139" s="14" t="n">
        <f aca="false">G138*(1+D139)</f>
        <v>141061.361250603</v>
      </c>
      <c r="H139" s="14" t="n">
        <f aca="false">H138*(1+E139)</f>
        <v>142161.73619206</v>
      </c>
      <c r="I139" s="14" t="n">
        <f aca="false">F139-F138</f>
        <v>153.824606438298</v>
      </c>
      <c r="J139" s="14" t="n">
        <f aca="false">G139-G138</f>
        <v>223.332745384017</v>
      </c>
      <c r="K139" s="14" t="n">
        <f aca="false">H139-H138</f>
        <v>309.05374143846</v>
      </c>
    </row>
    <row r="140" customFormat="false" ht="15" hidden="false" customHeight="false" outlineLevel="0" collapsed="false">
      <c r="A140" s="11" t="n">
        <v>46161</v>
      </c>
      <c r="B140" s="12" t="s">
        <v>44</v>
      </c>
      <c r="C140" s="13" t="n">
        <v>0.015785397266588</v>
      </c>
      <c r="D140" s="13" t="n">
        <v>0.0130324465325743</v>
      </c>
      <c r="E140" s="13" t="n">
        <v>0.0178157468709276</v>
      </c>
      <c r="F140" s="14" t="n">
        <f aca="false">F139*(1+C140)</f>
        <v>121725.895004465</v>
      </c>
      <c r="G140" s="14" t="n">
        <f aca="false">G139*(1+D140)</f>
        <v>142899.735898914</v>
      </c>
      <c r="H140" s="14" t="n">
        <f aca="false">H139*(1+E140)</f>
        <v>144694.453698789</v>
      </c>
      <c r="I140" s="14" t="n">
        <f aca="false">F140-F139</f>
        <v>1891.63145625746</v>
      </c>
      <c r="J140" s="14" t="n">
        <f aca="false">G140-G139</f>
        <v>1838.37464831065</v>
      </c>
      <c r="K140" s="14" t="n">
        <f aca="false">H140-H139</f>
        <v>2532.7175067293</v>
      </c>
    </row>
    <row r="141" customFormat="false" ht="15" hidden="false" customHeight="false" outlineLevel="0" collapsed="false">
      <c r="A141" s="11" t="n">
        <v>46162</v>
      </c>
      <c r="B141" s="12" t="s">
        <v>45</v>
      </c>
      <c r="C141" s="13" t="n">
        <v>0.0358675814899933</v>
      </c>
      <c r="D141" s="13" t="n">
        <v>0.027444468418855</v>
      </c>
      <c r="E141" s="13" t="n">
        <v>0.0368959560396637</v>
      </c>
      <c r="F141" s="14" t="n">
        <f aca="false">F140*(1+C141)</f>
        <v>126091.90846298</v>
      </c>
      <c r="G141" s="14" t="n">
        <f aca="false">G140*(1+D141)</f>
        <v>146821.543187854</v>
      </c>
      <c r="H141" s="14" t="n">
        <f aca="false">H140*(1+E141)</f>
        <v>150033.093901642</v>
      </c>
      <c r="I141" s="14" t="n">
        <f aca="false">F141-F140</f>
        <v>4366.01345851499</v>
      </c>
      <c r="J141" s="14" t="n">
        <f aca="false">G141-G140</f>
        <v>3921.80728894044</v>
      </c>
      <c r="K141" s="14" t="n">
        <f aca="false">H141-H140</f>
        <v>5338.64020285368</v>
      </c>
    </row>
    <row r="142" customFormat="false" ht="15" hidden="false" customHeight="false" outlineLevel="0" collapsed="false">
      <c r="A142" s="11" t="n">
        <v>46163</v>
      </c>
      <c r="B142" s="12" t="s">
        <v>39</v>
      </c>
      <c r="C142" s="13" t="n">
        <v>0.0143316548170296</v>
      </c>
      <c r="D142" s="13" t="n">
        <v>0.0100152517380036</v>
      </c>
      <c r="E142" s="13" t="n">
        <v>0.0138790457853974</v>
      </c>
      <c r="F142" s="14" t="n">
        <f aca="false">F141*(1+C142)</f>
        <v>127899.014170292</v>
      </c>
      <c r="G142" s="14" t="n">
        <f aca="false">G141*(1+D142)</f>
        <v>148291.997903443</v>
      </c>
      <c r="H142" s="14" t="n">
        <f aca="false">H141*(1+E142)</f>
        <v>152115.410081228</v>
      </c>
      <c r="I142" s="14" t="n">
        <f aca="false">F142-F141</f>
        <v>1807.10570731192</v>
      </c>
      <c r="J142" s="14" t="n">
        <f aca="false">G142-G141</f>
        <v>1470.45471558854</v>
      </c>
      <c r="K142" s="14" t="n">
        <f aca="false">H142-H141</f>
        <v>2082.31617958573</v>
      </c>
    </row>
    <row r="143" customFormat="false" ht="15" hidden="false" customHeight="false" outlineLevel="0" collapsed="false">
      <c r="A143" s="11" t="n">
        <v>46164</v>
      </c>
      <c r="B143" s="12" t="s">
        <v>40</v>
      </c>
      <c r="C143" s="13" t="n">
        <v>-0.00748387985304855</v>
      </c>
      <c r="D143" s="13" t="n">
        <v>-0.00329845115830359</v>
      </c>
      <c r="E143" s="13" t="n">
        <v>-0.00694737849779422</v>
      </c>
      <c r="F143" s="14" t="n">
        <f aca="false">F142*(1+C143)</f>
        <v>126941.833314918</v>
      </c>
      <c r="G143" s="14" t="n">
        <f aca="false">G142*(1+D143)</f>
        <v>147802.863991191</v>
      </c>
      <c r="H143" s="14" t="n">
        <f aca="false">H142*(1+E143)</f>
        <v>151058.606752047</v>
      </c>
      <c r="I143" s="14" t="n">
        <f aca="false">F143-F142</f>
        <v>-957.180855373823</v>
      </c>
      <c r="J143" s="14" t="n">
        <f aca="false">G143-G142</f>
        <v>-489.133912251767</v>
      </c>
      <c r="K143" s="14" t="n">
        <f aca="false">H143-H142</f>
        <v>-1056.80332918148</v>
      </c>
    </row>
    <row r="144" customFormat="false" ht="15" hidden="false" customHeight="false" outlineLevel="0" collapsed="false">
      <c r="A144" s="11" t="n">
        <v>46165</v>
      </c>
      <c r="B144" s="12" t="s">
        <v>41</v>
      </c>
      <c r="C144" s="13" t="n">
        <v>0.00414877790792878</v>
      </c>
      <c r="D144" s="13" t="n">
        <v>0.00278813365266271</v>
      </c>
      <c r="E144" s="13" t="n">
        <v>0.00338549356504696</v>
      </c>
      <c r="F144" s="14" t="n">
        <f aca="false">F143*(1+C144)</f>
        <v>127468.486788567</v>
      </c>
      <c r="G144" s="14" t="n">
        <f aca="false">G143*(1+D144)</f>
        <v>148214.958130245</v>
      </c>
      <c r="H144" s="14" t="n">
        <f aca="false">H143*(1+E144)</f>
        <v>151570.014693151</v>
      </c>
      <c r="I144" s="14" t="n">
        <f aca="false">F144-F143</f>
        <v>526.653473648912</v>
      </c>
      <c r="J144" s="14" t="n">
        <f aca="false">G144-G143</f>
        <v>412.094139053777</v>
      </c>
      <c r="K144" s="14" t="n">
        <f aca="false">H144-H143</f>
        <v>511.407941104029</v>
      </c>
    </row>
    <row r="145" customFormat="false" ht="15" hidden="false" customHeight="false" outlineLevel="0" collapsed="false">
      <c r="A145" s="11" t="n">
        <v>46166</v>
      </c>
      <c r="B145" s="12" t="s">
        <v>42</v>
      </c>
      <c r="C145" s="13" t="n">
        <v>0.0166549672620303</v>
      </c>
      <c r="D145" s="13" t="n">
        <v>0.0133528240570416</v>
      </c>
      <c r="E145" s="13" t="n">
        <v>0.0180892072595649</v>
      </c>
      <c r="F145" s="14" t="n">
        <f aca="false">F144*(1+C145)</f>
        <v>129591.470262971</v>
      </c>
      <c r="G145" s="14" t="n">
        <f aca="false">G144*(1+D145)</f>
        <v>150194.04638878</v>
      </c>
      <c r="H145" s="14" t="n">
        <f aca="false">H144*(1+E145)</f>
        <v>154311.79610327</v>
      </c>
      <c r="I145" s="14" t="n">
        <f aca="false">F145-F144</f>
        <v>2122.98347440413</v>
      </c>
      <c r="J145" s="14" t="n">
        <f aca="false">G145-G144</f>
        <v>1979.08825853493</v>
      </c>
      <c r="K145" s="14" t="n">
        <f aca="false">H145-H144</f>
        <v>2741.7814101197</v>
      </c>
    </row>
    <row r="146" customFormat="false" ht="15" hidden="false" customHeight="false" outlineLevel="0" collapsed="false">
      <c r="A146" s="11" t="n">
        <v>46167</v>
      </c>
      <c r="B146" s="12" t="s">
        <v>43</v>
      </c>
      <c r="C146" s="13" t="n">
        <v>-0.00528195224996403</v>
      </c>
      <c r="D146" s="13" t="n">
        <v>-0.00169774875586024</v>
      </c>
      <c r="E146" s="13" t="n">
        <v>-0.00258193565792596</v>
      </c>
      <c r="F146" s="14" t="n">
        <f aca="false">F145*(1+C146)</f>
        <v>128906.974305039</v>
      </c>
      <c r="G146" s="14" t="n">
        <f aca="false">G145*(1+D146)</f>
        <v>149939.054633386</v>
      </c>
      <c r="H146" s="14" t="n">
        <f aca="false">H145*(1+E146)</f>
        <v>153913.372974473</v>
      </c>
      <c r="I146" s="14" t="n">
        <f aca="false">F146-F145</f>
        <v>-684.495957931649</v>
      </c>
      <c r="J146" s="14" t="n">
        <f aca="false">G146-G145</f>
        <v>-254.991755394178</v>
      </c>
      <c r="K146" s="14" t="n">
        <f aca="false">H146-H145</f>
        <v>-398.423128797644</v>
      </c>
    </row>
    <row r="147" customFormat="false" ht="15" hidden="false" customHeight="false" outlineLevel="0" collapsed="false">
      <c r="A147" s="11" t="n">
        <v>46168</v>
      </c>
      <c r="B147" s="12" t="s">
        <v>44</v>
      </c>
      <c r="C147" s="13" t="n">
        <v>-0.018031873562482</v>
      </c>
      <c r="D147" s="13" t="n">
        <v>-0.0057508331713818</v>
      </c>
      <c r="E147" s="13" t="n">
        <v>-0.00811272526365239</v>
      </c>
      <c r="F147" s="14" t="n">
        <f aca="false">F146*(1+C147)</f>
        <v>126582.540043049</v>
      </c>
      <c r="G147" s="14" t="n">
        <f aca="false">G146*(1+D147)</f>
        <v>149076.780144314</v>
      </c>
      <c r="H147" s="14" t="n">
        <f aca="false">H146*(1+E147)</f>
        <v>152664.716065129</v>
      </c>
      <c r="I147" s="14" t="n">
        <f aca="false">F147-F146</f>
        <v>-2324.43426199059</v>
      </c>
      <c r="J147" s="14" t="n">
        <f aca="false">G147-G146</f>
        <v>-862.274489071308</v>
      </c>
      <c r="K147" s="14" t="n">
        <f aca="false">H147-H146</f>
        <v>-1248.65690934396</v>
      </c>
    </row>
    <row r="148" customFormat="false" ht="15" hidden="false" customHeight="false" outlineLevel="0" collapsed="false">
      <c r="A148" s="11" t="n">
        <v>46169</v>
      </c>
      <c r="B148" s="12" t="s">
        <v>45</v>
      </c>
      <c r="C148" s="13" t="n">
        <v>-0.0121715197085752</v>
      </c>
      <c r="D148" s="13" t="n">
        <v>-0.0195588757689044</v>
      </c>
      <c r="E148" s="13" t="n">
        <v>-0.0267066430696774</v>
      </c>
      <c r="F148" s="14" t="n">
        <f aca="false">F147*(1+C148)</f>
        <v>125041.838162153</v>
      </c>
      <c r="G148" s="14" t="n">
        <f aca="false">G147*(1+D148)</f>
        <v>146161.005921443</v>
      </c>
      <c r="H148" s="14" t="n">
        <f aca="false">H147*(1+E148)</f>
        <v>148587.553983844</v>
      </c>
      <c r="I148" s="14" t="n">
        <f aca="false">F148-F147</f>
        <v>-1540.70188089546</v>
      </c>
      <c r="J148" s="14" t="n">
        <f aca="false">G148-G147</f>
        <v>-2915.77422287094</v>
      </c>
      <c r="K148" s="14" t="n">
        <f aca="false">H148-H147</f>
        <v>-4077.16208128503</v>
      </c>
    </row>
    <row r="149" customFormat="false" ht="15" hidden="false" customHeight="false" outlineLevel="0" collapsed="false">
      <c r="A149" s="11" t="n">
        <v>46170</v>
      </c>
      <c r="B149" s="12" t="s">
        <v>39</v>
      </c>
      <c r="C149" s="13" t="n">
        <v>-0.0103641917256928</v>
      </c>
      <c r="D149" s="13" t="n">
        <v>-0.00159969732442822</v>
      </c>
      <c r="E149" s="13" t="n">
        <v>-0.00214345601852392</v>
      </c>
      <c r="F149" s="14" t="n">
        <f aca="false">F148*(1+C149)</f>
        <v>123745.880577708</v>
      </c>
      <c r="G149" s="14" t="n">
        <f aca="false">G148*(1+D149)</f>
        <v>145927.192551335</v>
      </c>
      <c r="H149" s="14" t="n">
        <f aca="false">H148*(1+E149)</f>
        <v>148269.063096979</v>
      </c>
      <c r="I149" s="14" t="n">
        <f aca="false">F149-F148</f>
        <v>-1295.9575844456</v>
      </c>
      <c r="J149" s="14" t="n">
        <f aca="false">G149-G148</f>
        <v>-233.813370108284</v>
      </c>
      <c r="K149" s="14" t="n">
        <f aca="false">H149-H148</f>
        <v>-318.490886864427</v>
      </c>
    </row>
    <row r="150" customFormat="false" ht="15" hidden="false" customHeight="false" outlineLevel="0" collapsed="false">
      <c r="A150" s="11" t="n">
        <v>46171</v>
      </c>
      <c r="B150" s="12" t="s">
        <v>40</v>
      </c>
      <c r="C150" s="13" t="n">
        <v>0.0123667835073839</v>
      </c>
      <c r="D150" s="13" t="n">
        <v>0.0105739122355912</v>
      </c>
      <c r="E150" s="13" t="n">
        <v>0.0142785198332281</v>
      </c>
      <c r="F150" s="14" t="n">
        <f aca="false">F149*(1+C150)</f>
        <v>125276.219092743</v>
      </c>
      <c r="G150" s="14" t="n">
        <f aca="false">G149*(1+D150)</f>
        <v>147470.213878159</v>
      </c>
      <c r="H150" s="14" t="n">
        <f aca="false">H149*(1+E150)</f>
        <v>150386.125855064</v>
      </c>
      <c r="I150" s="14" t="n">
        <f aca="false">F150-F149</f>
        <v>1530.3385150351</v>
      </c>
      <c r="J150" s="14" t="n">
        <f aca="false">G150-G149</f>
        <v>1543.02132682403</v>
      </c>
      <c r="K150" s="14" t="n">
        <f aca="false">H150-H149</f>
        <v>2117.06275808436</v>
      </c>
    </row>
    <row r="151" customFormat="false" ht="15" hidden="false" customHeight="false" outlineLevel="0" collapsed="false">
      <c r="A151" s="11" t="n">
        <v>46172</v>
      </c>
      <c r="B151" s="12" t="s">
        <v>41</v>
      </c>
      <c r="C151" s="13" t="n">
        <v>0.0152748649821439</v>
      </c>
      <c r="D151" s="13" t="n">
        <v>0.0179589894369142</v>
      </c>
      <c r="E151" s="13" t="n">
        <v>0.0243037986427264</v>
      </c>
      <c r="F151" s="14" t="n">
        <f aca="false">F150*(1+C151)</f>
        <v>127189.796424858</v>
      </c>
      <c r="G151" s="14" t="n">
        <f aca="false">G150*(1+D151)</f>
        <v>150118.629891456</v>
      </c>
      <c r="H151" s="14" t="n">
        <f aca="false">H150*(1+E151)</f>
        <v>154041.079976505</v>
      </c>
      <c r="I151" s="14" t="n">
        <f aca="false">F151-F150</f>
        <v>1913.57733211512</v>
      </c>
      <c r="J151" s="14" t="n">
        <f aca="false">G151-G150</f>
        <v>2648.41601329736</v>
      </c>
      <c r="K151" s="14" t="n">
        <f aca="false">H151-H150</f>
        <v>3654.95412144117</v>
      </c>
    </row>
    <row r="152" customFormat="false" ht="15" hidden="false" customHeight="false" outlineLevel="0" collapsed="false">
      <c r="A152" s="11" t="n">
        <v>46173</v>
      </c>
      <c r="B152" s="12" t="s">
        <v>42</v>
      </c>
      <c r="C152" s="13" t="n">
        <v>0.0414753190433873</v>
      </c>
      <c r="D152" s="13" t="n">
        <v>0.0348180365842171</v>
      </c>
      <c r="E152" s="13" t="n">
        <v>0.0476425314751691</v>
      </c>
      <c r="F152" s="14" t="n">
        <f aca="false">F151*(1+C152)</f>
        <v>132465.033810642</v>
      </c>
      <c r="G152" s="14" t="n">
        <f aca="false">G151*(1+D152)</f>
        <v>155345.46583899</v>
      </c>
      <c r="H152" s="14" t="n">
        <f aca="false">H151*(1+E152)</f>
        <v>161379.986977755</v>
      </c>
      <c r="I152" s="14" t="n">
        <f aca="false">F152-F151</f>
        <v>5275.23738578444</v>
      </c>
      <c r="J152" s="14" t="n">
        <f aca="false">G152-G151</f>
        <v>5226.83594753328</v>
      </c>
      <c r="K152" s="14" t="n">
        <f aca="false">H152-H151</f>
        <v>7338.90700124967</v>
      </c>
    </row>
    <row r="153" customFormat="false" ht="15" hidden="false" customHeight="false" outlineLevel="0" collapsed="false">
      <c r="A153" s="11" t="n">
        <v>46174</v>
      </c>
      <c r="B153" s="12" t="s">
        <v>43</v>
      </c>
      <c r="C153" s="13" t="n">
        <v>-0.0174665878212434</v>
      </c>
      <c r="D153" s="13" t="n">
        <v>-0.0173725739407477</v>
      </c>
      <c r="E153" s="13" t="n">
        <v>-0.023137002890781</v>
      </c>
      <c r="F153" s="14" t="n">
        <f aca="false">F152*(1+C153)</f>
        <v>130151.321664345</v>
      </c>
      <c r="G153" s="14" t="n">
        <f aca="false">G152*(1+D153)</f>
        <v>152646.715247342</v>
      </c>
      <c r="H153" s="14" t="n">
        <f aca="false">H152*(1+E153)</f>
        <v>157646.137752536</v>
      </c>
      <c r="I153" s="14" t="n">
        <f aca="false">F153-F152</f>
        <v>-2313.71214629756</v>
      </c>
      <c r="J153" s="14" t="n">
        <f aca="false">G153-G152</f>
        <v>-2698.75059164775</v>
      </c>
      <c r="K153" s="14" t="n">
        <f aca="false">H153-H152</f>
        <v>-3733.84922521852</v>
      </c>
    </row>
    <row r="154" customFormat="false" ht="15" hidden="false" customHeight="false" outlineLevel="0" collapsed="false">
      <c r="A154" s="11" t="n">
        <v>46175</v>
      </c>
      <c r="B154" s="12" t="s">
        <v>44</v>
      </c>
      <c r="C154" s="13" t="n">
        <v>0.00058408504923807</v>
      </c>
      <c r="D154" s="13" t="n">
        <v>0.0352302439909916</v>
      </c>
      <c r="E154" s="13" t="n">
        <v>0.0464769228309198</v>
      </c>
      <c r="F154" s="14" t="n">
        <f aca="false">F153*(1+C154)</f>
        <v>130227.341105467</v>
      </c>
      <c r="G154" s="14" t="n">
        <f aca="false">G153*(1+D154)</f>
        <v>158024.496269929</v>
      </c>
      <c r="H154" s="14" t="n">
        <f aca="false">H153*(1+E154)</f>
        <v>164973.045131453</v>
      </c>
      <c r="I154" s="14" t="n">
        <f aca="false">F154-F153</f>
        <v>76.019441122713</v>
      </c>
      <c r="J154" s="14" t="n">
        <f aca="false">G154-G153</f>
        <v>5377.78102258727</v>
      </c>
      <c r="K154" s="14" t="n">
        <f aca="false">H154-H153</f>
        <v>7326.90737891718</v>
      </c>
    </row>
    <row r="155" customFormat="false" ht="15" hidden="false" customHeight="false" outlineLevel="0" collapsed="false">
      <c r="A155" s="11" t="n">
        <v>46176</v>
      </c>
      <c r="B155" s="12" t="s">
        <v>45</v>
      </c>
      <c r="C155" s="13" t="n">
        <v>0.0288091744322052</v>
      </c>
      <c r="D155" s="13" t="n">
        <v>0.0265608421687492</v>
      </c>
      <c r="E155" s="13" t="n">
        <v>0.0374330407141419</v>
      </c>
      <c r="F155" s="14" t="n">
        <f aca="false">F154*(1+C155)</f>
        <v>133979.083291217</v>
      </c>
      <c r="G155" s="14" t="n">
        <f aca="false">G154*(1+D155)</f>
        <v>162221.759974151</v>
      </c>
      <c r="H155" s="14" t="n">
        <f aca="false">H154*(1+E155)</f>
        <v>171148.487846595</v>
      </c>
      <c r="I155" s="14" t="n">
        <f aca="false">F155-F154</f>
        <v>3751.7421857497</v>
      </c>
      <c r="J155" s="14" t="n">
        <f aca="false">G155-G154</f>
        <v>4197.26370422167</v>
      </c>
      <c r="K155" s="14" t="n">
        <f aca="false">H155-H154</f>
        <v>6175.44271514166</v>
      </c>
    </row>
    <row r="156" customFormat="false" ht="15" hidden="false" customHeight="false" outlineLevel="0" collapsed="false">
      <c r="A156" s="11" t="n">
        <v>46177</v>
      </c>
      <c r="B156" s="12" t="s">
        <v>39</v>
      </c>
      <c r="C156" s="13" t="n">
        <v>0.0190863552191027</v>
      </c>
      <c r="D156" s="13" t="n">
        <v>0.00834342485942515</v>
      </c>
      <c r="E156" s="13" t="n">
        <v>0.0115320795792346</v>
      </c>
      <c r="F156" s="14" t="n">
        <f aca="false">F155*(1+C156)</f>
        <v>136536.255666843</v>
      </c>
      <c r="G156" s="14" t="n">
        <f aca="false">G155*(1+D156)</f>
        <v>163575.245039059</v>
      </c>
      <c r="H156" s="14" t="n">
        <f aca="false">H155*(1+E156)</f>
        <v>173122.185828308</v>
      </c>
      <c r="I156" s="14" t="n">
        <f aca="false">F156-F155</f>
        <v>2557.17237562593</v>
      </c>
      <c r="J156" s="14" t="n">
        <f aca="false">G156-G155</f>
        <v>1353.48506490805</v>
      </c>
      <c r="K156" s="14" t="n">
        <f aca="false">H156-H155</f>
        <v>1973.69798171261</v>
      </c>
    </row>
    <row r="157" customFormat="false" ht="15" hidden="false" customHeight="false" outlineLevel="0" collapsed="false">
      <c r="A157" s="11" t="n">
        <v>46178</v>
      </c>
      <c r="B157" s="12" t="s">
        <v>40</v>
      </c>
      <c r="C157" s="13" t="n">
        <v>-0.0193165950580039</v>
      </c>
      <c r="D157" s="13" t="n">
        <v>-0.0195527024634325</v>
      </c>
      <c r="E157" s="13" t="n">
        <v>-0.0281225924801669</v>
      </c>
      <c r="F157" s="14" t="n">
        <f aca="false">F156*(1+C157)</f>
        <v>133898.84010539</v>
      </c>
      <c r="G157" s="14" t="n">
        <f aca="false">G156*(1+D157)</f>
        <v>160376.906942427</v>
      </c>
      <c r="H157" s="14" t="n">
        <f aca="false">H156*(1+E157)</f>
        <v>168253.541146982</v>
      </c>
      <c r="I157" s="14" t="n">
        <f aca="false">F157-F156</f>
        <v>-2637.41556145251</v>
      </c>
      <c r="J157" s="14" t="n">
        <f aca="false">G157-G156</f>
        <v>-3198.33809663178</v>
      </c>
      <c r="K157" s="14" t="n">
        <f aca="false">H157-H156</f>
        <v>-4868.64468132521</v>
      </c>
    </row>
    <row r="158" customFormat="false" ht="15" hidden="false" customHeight="false" outlineLevel="0" collapsed="false">
      <c r="A158" s="11" t="n">
        <v>46179</v>
      </c>
      <c r="B158" s="12" t="s">
        <v>41</v>
      </c>
      <c r="C158" s="13" t="n">
        <v>0.0423272237738196</v>
      </c>
      <c r="D158" s="13" t="n">
        <v>0.0465234786526374</v>
      </c>
      <c r="E158" s="13" t="n">
        <v>0.0644355568768812</v>
      </c>
      <c r="F158" s="14" t="n">
        <f aca="false">F157*(1+C158)</f>
        <v>139566.406273586</v>
      </c>
      <c r="G158" s="14" t="n">
        <f aca="false">G157*(1+D158)</f>
        <v>167838.198548939</v>
      </c>
      <c r="H158" s="14" t="n">
        <f aca="false">H157*(1+E158)</f>
        <v>179095.051767295</v>
      </c>
      <c r="I158" s="14" t="n">
        <f aca="false">F158-F157</f>
        <v>5667.56616819577</v>
      </c>
      <c r="J158" s="14" t="n">
        <f aca="false">G158-G157</f>
        <v>7461.29160651204</v>
      </c>
      <c r="K158" s="14" t="n">
        <f aca="false">H158-H157</f>
        <v>10841.510620313</v>
      </c>
    </row>
    <row r="159" customFormat="false" ht="15" hidden="false" customHeight="false" outlineLevel="0" collapsed="false">
      <c r="A159" s="11" t="n">
        <v>46180</v>
      </c>
      <c r="B159" s="12" t="s">
        <v>42</v>
      </c>
      <c r="C159" s="13" t="n">
        <v>-0.0188325272071576</v>
      </c>
      <c r="D159" s="13" t="n">
        <v>-0.00626300675149416</v>
      </c>
      <c r="E159" s="13" t="n">
        <v>-0.00905837795208174</v>
      </c>
      <c r="F159" s="14" t="n">
        <f aca="false">F158*(1+C159)</f>
        <v>136938.018130234</v>
      </c>
      <c r="G159" s="14" t="n">
        <f aca="false">G158*(1+D159)</f>
        <v>166787.026778269</v>
      </c>
      <c r="H159" s="14" t="n">
        <f aca="false">H158*(1+E159)</f>
        <v>177472.74109904</v>
      </c>
      <c r="I159" s="14" t="n">
        <f aca="false">F159-F158</f>
        <v>-2628.38814335252</v>
      </c>
      <c r="J159" s="14" t="n">
        <f aca="false">G159-G158</f>
        <v>-1051.17177067063</v>
      </c>
      <c r="K159" s="14" t="n">
        <f aca="false">H159-H158</f>
        <v>-1622.31066825581</v>
      </c>
    </row>
    <row r="160" customFormat="false" ht="15" hidden="false" customHeight="false" outlineLevel="0" collapsed="false">
      <c r="A160" s="11" t="n">
        <v>46181</v>
      </c>
      <c r="B160" s="12" t="s">
        <v>43</v>
      </c>
      <c r="C160" s="13" t="n">
        <v>-0.0267577357517609</v>
      </c>
      <c r="D160" s="13" t="n">
        <v>-0.0331839328142499</v>
      </c>
      <c r="E160" s="13" t="n">
        <v>-0.0453774256490015</v>
      </c>
      <c r="F160" s="14" t="n">
        <f aca="false">F159*(1+C160)</f>
        <v>133273.866826735</v>
      </c>
      <c r="G160" s="14" t="n">
        <f aca="false">G159*(1+D160)</f>
        <v>161252.37728737</v>
      </c>
      <c r="H160" s="14" t="n">
        <f aca="false">H159*(1+E160)</f>
        <v>169419.484985093</v>
      </c>
      <c r="I160" s="14" t="n">
        <f aca="false">F160-F159</f>
        <v>-3664.15130349866</v>
      </c>
      <c r="J160" s="14" t="n">
        <f aca="false">G160-G159</f>
        <v>-5534.64949089856</v>
      </c>
      <c r="K160" s="14" t="n">
        <f aca="false">H160-H159</f>
        <v>-8053.25611394615</v>
      </c>
    </row>
    <row r="161" customFormat="false" ht="15" hidden="false" customHeight="false" outlineLevel="0" collapsed="false">
      <c r="A161" s="11" t="n">
        <v>46182</v>
      </c>
      <c r="B161" s="12" t="s">
        <v>44</v>
      </c>
      <c r="C161" s="13" t="n">
        <v>-0.00609848821610076</v>
      </c>
      <c r="D161" s="13" t="n">
        <v>-0.00604181383929271</v>
      </c>
      <c r="E161" s="13" t="n">
        <v>-0.00562146478774019</v>
      </c>
      <c r="F161" s="14" t="n">
        <f aca="false">F160*(1+C161)</f>
        <v>132461.097720378</v>
      </c>
      <c r="G161" s="14" t="n">
        <f aca="false">G160*(1+D161)</f>
        <v>160278.120442656</v>
      </c>
      <c r="H161" s="14" t="n">
        <f aca="false">H160*(1+E161)</f>
        <v>168467.099315893</v>
      </c>
      <c r="I161" s="14" t="n">
        <f aca="false">F161-F160</f>
        <v>-812.769106357038</v>
      </c>
      <c r="J161" s="14" t="n">
        <f aca="false">G161-G160</f>
        <v>-974.256844713673</v>
      </c>
      <c r="K161" s="14" t="n">
        <f aca="false">H161-H160</f>
        <v>-952.385669200769</v>
      </c>
    </row>
    <row r="162" customFormat="false" ht="15" hidden="false" customHeight="false" outlineLevel="0" collapsed="false">
      <c r="A162" s="11" t="n">
        <v>46183</v>
      </c>
      <c r="B162" s="12" t="s">
        <v>45</v>
      </c>
      <c r="C162" s="13" t="n">
        <v>-0.00284215916640568</v>
      </c>
      <c r="D162" s="13" t="n">
        <v>-0.00166901050188962</v>
      </c>
      <c r="E162" s="13" t="n">
        <v>-0.00140767531036273</v>
      </c>
      <c r="F162" s="14" t="n">
        <f aca="false">F161*(1+C162)</f>
        <v>132084.6221973</v>
      </c>
      <c r="G162" s="14" t="n">
        <f aca="false">G161*(1+D162)</f>
        <v>160010.614576414</v>
      </c>
      <c r="H162" s="14" t="n">
        <f aca="false">H161*(1+E162)</f>
        <v>168229.952339577</v>
      </c>
      <c r="I162" s="14" t="n">
        <f aca="false">F162-F161</f>
        <v>-376.475523078116</v>
      </c>
      <c r="J162" s="14" t="n">
        <f aca="false">G162-G161</f>
        <v>-267.505866241932</v>
      </c>
      <c r="K162" s="14" t="n">
        <f aca="false">H162-H161</f>
        <v>-237.146976315387</v>
      </c>
    </row>
    <row r="163" customFormat="false" ht="15" hidden="false" customHeight="false" outlineLevel="0" collapsed="false">
      <c r="A163" s="11" t="n">
        <v>46184</v>
      </c>
      <c r="B163" s="12" t="s">
        <v>39</v>
      </c>
      <c r="C163" s="13" t="n">
        <v>0.00420487703844297</v>
      </c>
      <c r="D163" s="13" t="n">
        <v>0.00738858413797303</v>
      </c>
      <c r="E163" s="13" t="n">
        <v>0.0159424405910929</v>
      </c>
      <c r="F163" s="14" t="n">
        <f aca="false">F162*(1+C163)</f>
        <v>132640.021792309</v>
      </c>
      <c r="G163" s="14" t="n">
        <f aca="false">G162*(1+D163)</f>
        <v>161192.866465181</v>
      </c>
      <c r="H163" s="14" t="n">
        <f aca="false">H162*(1+E163)</f>
        <v>170911.948360393</v>
      </c>
      <c r="I163" s="14" t="n">
        <f aca="false">F163-F162</f>
        <v>555.399595008814</v>
      </c>
      <c r="J163" s="14" t="n">
        <f aca="false">G163-G162</f>
        <v>1182.25188876662</v>
      </c>
      <c r="K163" s="14" t="n">
        <f aca="false">H163-H162</f>
        <v>2681.99602081609</v>
      </c>
    </row>
    <row r="164" customFormat="false" ht="15" hidden="false" customHeight="false" outlineLevel="0" collapsed="false">
      <c r="A164" s="11" t="n">
        <v>46185</v>
      </c>
      <c r="B164" s="12" t="s">
        <v>40</v>
      </c>
      <c r="C164" s="13" t="n">
        <v>0.00780278615725927</v>
      </c>
      <c r="D164" s="13" t="n">
        <v>0.0102152521248793</v>
      </c>
      <c r="E164" s="13" t="n">
        <v>0.0168105837469335</v>
      </c>
      <c r="F164" s="14" t="n">
        <f aca="false">F163*(1+C164)</f>
        <v>133674.983518248</v>
      </c>
      <c r="G164" s="14" t="n">
        <f aca="false">G163*(1+D164)</f>
        <v>162839.492236855</v>
      </c>
      <c r="H164" s="14" t="n">
        <f aca="false">H163*(1+E164)</f>
        <v>173785.077981657</v>
      </c>
      <c r="I164" s="14" t="n">
        <f aca="false">F164-F163</f>
        <v>1034.96172593959</v>
      </c>
      <c r="J164" s="14" t="n">
        <f aca="false">G164-G163</f>
        <v>1646.62577167383</v>
      </c>
      <c r="K164" s="14" t="n">
        <f aca="false">H164-H163</f>
        <v>2873.12962126394</v>
      </c>
    </row>
    <row r="165" customFormat="false" ht="15" hidden="false" customHeight="false" outlineLevel="0" collapsed="false">
      <c r="A165" s="11" t="n">
        <v>46186</v>
      </c>
      <c r="B165" s="12" t="s">
        <v>41</v>
      </c>
      <c r="C165" s="13" t="n">
        <v>-0.00917420639463257</v>
      </c>
      <c r="D165" s="13" t="n">
        <v>-0.00787015046536309</v>
      </c>
      <c r="E165" s="13" t="n">
        <v>-0.0110105615555862</v>
      </c>
      <c r="F165" s="14" t="n">
        <f aca="false">F164*(1+C165)</f>
        <v>132448.621629653</v>
      </c>
      <c r="G165" s="14" t="n">
        <f aca="false">G164*(1+D165)</f>
        <v>161557.920931248</v>
      </c>
      <c r="H165" s="14" t="n">
        <f aca="false">H164*(1+E165)</f>
        <v>171871.606683098</v>
      </c>
      <c r="I165" s="14" t="n">
        <f aca="false">F165-F164</f>
        <v>-1226.36188859551</v>
      </c>
      <c r="J165" s="14" t="n">
        <f aca="false">G165-G164</f>
        <v>-1281.57130560739</v>
      </c>
      <c r="K165" s="14" t="n">
        <f aca="false">H165-H164</f>
        <v>-1913.47129855937</v>
      </c>
    </row>
    <row r="166" customFormat="false" ht="15" hidden="false" customHeight="false" outlineLevel="0" collapsed="false">
      <c r="A166" s="11" t="n">
        <v>46187</v>
      </c>
      <c r="B166" s="12" t="s">
        <v>42</v>
      </c>
      <c r="C166" s="13" t="n">
        <v>0.0281756696149668</v>
      </c>
      <c r="D166" s="13" t="n">
        <v>0.0236667258074408</v>
      </c>
      <c r="E166" s="13" t="n">
        <v>0.032448612806368</v>
      </c>
      <c r="F166" s="14" t="n">
        <f aca="false">F165*(1+C166)</f>
        <v>136180.450233648</v>
      </c>
      <c r="G166" s="14" t="n">
        <f aca="false">G165*(1+D166)</f>
        <v>165381.467947948</v>
      </c>
      <c r="H166" s="14" t="n">
        <f aca="false">H165*(1+E166)</f>
        <v>177448.601900766</v>
      </c>
      <c r="I166" s="14" t="n">
        <f aca="false">F166-F165</f>
        <v>3731.82860399483</v>
      </c>
      <c r="J166" s="14" t="n">
        <f aca="false">G166-G165</f>
        <v>3823.54701670003</v>
      </c>
      <c r="K166" s="14" t="n">
        <f aca="false">H166-H165</f>
        <v>5576.99521766818</v>
      </c>
    </row>
    <row r="167" customFormat="false" ht="15" hidden="false" customHeight="false" outlineLevel="0" collapsed="false">
      <c r="A167" s="11" t="n">
        <v>46188</v>
      </c>
      <c r="B167" s="12" t="s">
        <v>43</v>
      </c>
      <c r="C167" s="13" t="n">
        <v>0.000355105433157588</v>
      </c>
      <c r="D167" s="13" t="n">
        <v>0.0027042228914333</v>
      </c>
      <c r="E167" s="13" t="n">
        <v>0.00393728257972402</v>
      </c>
      <c r="F167" s="14" t="n">
        <f aca="false">F166*(1+C167)</f>
        <v>136228.808651415</v>
      </c>
      <c r="G167" s="14" t="n">
        <f aca="false">G166*(1+D167)</f>
        <v>165828.696299391</v>
      </c>
      <c r="H167" s="14" t="n">
        <f aca="false">H166*(1+E167)</f>
        <v>178147.267189826</v>
      </c>
      <c r="I167" s="14" t="n">
        <f aca="false">F167-F166</f>
        <v>48.3584177678276</v>
      </c>
      <c r="J167" s="14" t="n">
        <f aca="false">G167-G166</f>
        <v>447.228351443686</v>
      </c>
      <c r="K167" s="14" t="n">
        <f aca="false">H167-H166</f>
        <v>698.665289060242</v>
      </c>
    </row>
    <row r="168" customFormat="false" ht="15" hidden="false" customHeight="false" outlineLevel="0" collapsed="false">
      <c r="A168" s="11" t="n">
        <v>46189</v>
      </c>
      <c r="B168" s="12" t="s">
        <v>44</v>
      </c>
      <c r="C168" s="13" t="n">
        <v>0.00530338391548457</v>
      </c>
      <c r="D168" s="13" t="n">
        <v>0.0055630502362072</v>
      </c>
      <c r="E168" s="13" t="n">
        <v>0.0074600417118564</v>
      </c>
      <c r="F168" s="14" t="n">
        <f aca="false">F167*(1+C168)</f>
        <v>136951.282324043</v>
      </c>
      <c r="G168" s="14" t="n">
        <f aca="false">G167*(1+D168)</f>
        <v>166751.209667509</v>
      </c>
      <c r="H168" s="14" t="n">
        <f aca="false">H167*(1+E168)</f>
        <v>179476.253233916</v>
      </c>
      <c r="I168" s="14" t="n">
        <f aca="false">F168-F167</f>
        <v>722.47367262753</v>
      </c>
      <c r="J168" s="14" t="n">
        <f aca="false">G168-G167</f>
        <v>922.513368118263</v>
      </c>
      <c r="K168" s="14" t="n">
        <f aca="false">H168-H167</f>
        <v>1328.98604408934</v>
      </c>
    </row>
    <row r="169" customFormat="false" ht="15" hidden="false" customHeight="false" outlineLevel="0" collapsed="false">
      <c r="A169" s="11" t="n">
        <v>46190</v>
      </c>
      <c r="B169" s="12" t="s">
        <v>45</v>
      </c>
      <c r="C169" s="13" t="n">
        <v>-0.0131502783326901</v>
      </c>
      <c r="D169" s="13" t="n">
        <v>-0.00403603630955379</v>
      </c>
      <c r="E169" s="13" t="n">
        <v>0.00150699469098966</v>
      </c>
      <c r="F169" s="14" t="n">
        <f aca="false">F168*(1+C169)</f>
        <v>135150.334843463</v>
      </c>
      <c r="G169" s="14" t="n">
        <f aca="false">G168*(1+D169)</f>
        <v>166078.195730629</v>
      </c>
      <c r="H169" s="14" t="n">
        <f aca="false">H168*(1+E169)</f>
        <v>179746.722994698</v>
      </c>
      <c r="I169" s="14" t="n">
        <f aca="false">F169-F168</f>
        <v>-1800.94748057998</v>
      </c>
      <c r="J169" s="14" t="n">
        <f aca="false">G169-G168</f>
        <v>-673.013936880074</v>
      </c>
      <c r="K169" s="14" t="n">
        <f aca="false">H169-H168</f>
        <v>270.469760782202</v>
      </c>
    </row>
    <row r="170" customFormat="false" ht="15" hidden="false" customHeight="false" outlineLevel="0" collapsed="false">
      <c r="A170" s="11" t="n">
        <v>46191</v>
      </c>
      <c r="B170" s="12" t="s">
        <v>39</v>
      </c>
      <c r="C170" s="13" t="n">
        <v>-0.00565174829575937</v>
      </c>
      <c r="D170" s="13" t="n">
        <v>-0.0011038194626528</v>
      </c>
      <c r="E170" s="13" t="n">
        <v>0.00424883723864911</v>
      </c>
      <c r="F170" s="14" t="n">
        <f aca="false">F169*(1+C170)</f>
        <v>134386.49916884</v>
      </c>
      <c r="G170" s="14" t="n">
        <f aca="false">G169*(1+D170)</f>
        <v>165894.87538586</v>
      </c>
      <c r="H170" s="14" t="n">
        <f aca="false">H169*(1+E170)</f>
        <v>180510.437564883</v>
      </c>
      <c r="I170" s="14" t="n">
        <f aca="false">F170-F169</f>
        <v>-763.835674622853</v>
      </c>
      <c r="J170" s="14" t="n">
        <f aca="false">G170-G169</f>
        <v>-183.320344769745</v>
      </c>
      <c r="K170" s="14" t="n">
        <f aca="false">H170-H169</f>
        <v>763.714570185024</v>
      </c>
    </row>
    <row r="171" customFormat="false" ht="15" hidden="false" customHeight="false" outlineLevel="0" collapsed="false">
      <c r="A171" s="11" t="n">
        <v>46192</v>
      </c>
      <c r="B171" s="12" t="s">
        <v>40</v>
      </c>
      <c r="C171" s="13" t="n">
        <v>0.0229173107914802</v>
      </c>
      <c r="D171" s="13" t="n">
        <v>0.0162032218139195</v>
      </c>
      <c r="E171" s="13" t="n">
        <v>0.0240073294815307</v>
      </c>
      <c r="F171" s="14" t="n">
        <f aca="false">F170*(1+C171)</f>
        <v>137466.276336471</v>
      </c>
      <c r="G171" s="14" t="n">
        <f aca="false">G170*(1+D171)</f>
        <v>168582.906849529</v>
      </c>
      <c r="H171" s="14" t="n">
        <f aca="false">H170*(1+E171)</f>
        <v>184844.011114358</v>
      </c>
      <c r="I171" s="14" t="n">
        <f aca="false">F171-F170</f>
        <v>3079.77716763131</v>
      </c>
      <c r="J171" s="14" t="n">
        <f aca="false">G171-G170</f>
        <v>2688.03146366961</v>
      </c>
      <c r="K171" s="14" t="n">
        <f aca="false">H171-H170</f>
        <v>4333.5735494754</v>
      </c>
    </row>
    <row r="172" customFormat="false" ht="15" hidden="false" customHeight="false" outlineLevel="0" collapsed="false">
      <c r="A172" s="11" t="n">
        <v>46193</v>
      </c>
      <c r="B172" s="12" t="s">
        <v>41</v>
      </c>
      <c r="C172" s="13" t="n">
        <v>0.00292667739926589</v>
      </c>
      <c r="D172" s="13" t="n">
        <v>0.00132916874337259</v>
      </c>
      <c r="E172" s="13" t="n">
        <v>0.0021376326693681</v>
      </c>
      <c r="F172" s="14" t="n">
        <f aca="false">F171*(1+C172)</f>
        <v>137868.595780587</v>
      </c>
      <c r="G172" s="14" t="n">
        <f aca="false">G171*(1+D172)</f>
        <v>168806.981979981</v>
      </c>
      <c r="H172" s="14" t="n">
        <f aca="false">H171*(1+E172)</f>
        <v>185239.139711253</v>
      </c>
      <c r="I172" s="14" t="n">
        <f aca="false">F172-F171</f>
        <v>402.319444115215</v>
      </c>
      <c r="J172" s="14" t="n">
        <f aca="false">G172-G171</f>
        <v>224.075130451267</v>
      </c>
      <c r="K172" s="14" t="n">
        <f aca="false">H172-H171</f>
        <v>395.128596895083</v>
      </c>
    </row>
    <row r="173" customFormat="false" ht="15" hidden="false" customHeight="false" outlineLevel="0" collapsed="false">
      <c r="A173" s="11" t="n">
        <v>46194</v>
      </c>
      <c r="B173" s="12" t="s">
        <v>42</v>
      </c>
      <c r="C173" s="13" t="n">
        <v>-0.00399732022124261</v>
      </c>
      <c r="D173" s="13" t="n">
        <v>-0.000700557503391039</v>
      </c>
      <c r="E173" s="13" t="n">
        <v>-0.000886467447864037</v>
      </c>
      <c r="F173" s="14" t="n">
        <f aca="false">F172*(1+C173)</f>
        <v>137317.490854799</v>
      </c>
      <c r="G173" s="14" t="n">
        <f aca="false">G172*(1+D173)</f>
        <v>168688.72298213</v>
      </c>
      <c r="H173" s="14" t="n">
        <f aca="false">H172*(1+E173)</f>
        <v>185074.931243829</v>
      </c>
      <c r="I173" s="14" t="n">
        <f aca="false">F173-F172</f>
        <v>-551.104925788066</v>
      </c>
      <c r="J173" s="14" t="n">
        <f aca="false">G173-G172</f>
        <v>-118.258997850877</v>
      </c>
      <c r="K173" s="14" t="n">
        <f aca="false">H173-H172</f>
        <v>-164.208467424352</v>
      </c>
    </row>
    <row r="174" customFormat="false" ht="15" hidden="false" customHeight="false" outlineLevel="0" collapsed="false">
      <c r="A174" s="11" t="n">
        <v>46195</v>
      </c>
      <c r="B174" s="12" t="s">
        <v>43</v>
      </c>
      <c r="C174" s="13" t="n">
        <v>0.00283183434133272</v>
      </c>
      <c r="D174" s="13" t="n">
        <v>-0.00995869253167355</v>
      </c>
      <c r="E174" s="13" t="n">
        <v>-0.0135200634362987</v>
      </c>
      <c r="F174" s="14" t="n">
        <f aca="false">F173*(1+C174)</f>
        <v>137706.351241067</v>
      </c>
      <c r="G174" s="14" t="n">
        <f aca="false">G173*(1+D174)</f>
        <v>167008.80385639</v>
      </c>
      <c r="H174" s="14" t="n">
        <f aca="false">H173*(1+E174)</f>
        <v>182572.706432944</v>
      </c>
      <c r="I174" s="14" t="n">
        <f aca="false">F174-F173</f>
        <v>388.860386268265</v>
      </c>
      <c r="J174" s="14" t="n">
        <f aca="false">G174-G173</f>
        <v>-1679.91912573969</v>
      </c>
      <c r="K174" s="14" t="n">
        <f aca="false">H174-H173</f>
        <v>-2502.22481088518</v>
      </c>
    </row>
    <row r="175" customFormat="false" ht="15" hidden="false" customHeight="false" outlineLevel="0" collapsed="false">
      <c r="A175" s="11" t="n">
        <v>46196</v>
      </c>
      <c r="B175" s="12" t="s">
        <v>44</v>
      </c>
      <c r="C175" s="13" t="n">
        <v>0.00898927074442857</v>
      </c>
      <c r="D175" s="13" t="n">
        <v>0.00495735523046579</v>
      </c>
      <c r="E175" s="13" t="n">
        <v>0.00680128632706536</v>
      </c>
      <c r="F175" s="14" t="n">
        <f aca="false">F174*(1+C175)</f>
        <v>138944.2309156</v>
      </c>
      <c r="G175" s="14" t="n">
        <f aca="false">G174*(1+D175)</f>
        <v>167836.725823721</v>
      </c>
      <c r="H175" s="14" t="n">
        <f aca="false">H174*(1+E175)</f>
        <v>183814.435684902</v>
      </c>
      <c r="I175" s="14" t="n">
        <f aca="false">F175-F174</f>
        <v>1237.87967453332</v>
      </c>
      <c r="J175" s="14" t="n">
        <f aca="false">G175-G174</f>
        <v>827.92196733132</v>
      </c>
      <c r="K175" s="14" t="n">
        <f aca="false">H175-H174</f>
        <v>1241.7292519577</v>
      </c>
    </row>
    <row r="176" customFormat="false" ht="15" hidden="false" customHeight="false" outlineLevel="0" collapsed="false">
      <c r="A176" s="11" t="n">
        <v>46197</v>
      </c>
      <c r="B176" s="12" t="s">
        <v>45</v>
      </c>
      <c r="C176" s="13" t="n">
        <v>0.0210820026806298</v>
      </c>
      <c r="D176" s="13" t="n">
        <v>0.0160435258586407</v>
      </c>
      <c r="E176" s="13" t="n">
        <v>0.0220581765839776</v>
      </c>
      <c r="F176" s="14" t="n">
        <f aca="false">F175*(1+C176)</f>
        <v>141873.453564221</v>
      </c>
      <c r="G176" s="14" t="n">
        <f aca="false">G175*(1+D176)</f>
        <v>170529.418674504</v>
      </c>
      <c r="H176" s="14" t="n">
        <f aca="false">H175*(1+E176)</f>
        <v>187869.046965923</v>
      </c>
      <c r="I176" s="14" t="n">
        <f aca="false">F176-F175</f>
        <v>2929.22264862072</v>
      </c>
      <c r="J176" s="14" t="n">
        <f aca="false">G176-G175</f>
        <v>2692.69285078245</v>
      </c>
      <c r="K176" s="14" t="n">
        <f aca="false">H176-H175</f>
        <v>4054.61128102176</v>
      </c>
    </row>
    <row r="177" customFormat="false" ht="15" hidden="false" customHeight="false" outlineLevel="0" collapsed="false">
      <c r="A177" s="11" t="n">
        <v>46198</v>
      </c>
      <c r="B177" s="12" t="s">
        <v>39</v>
      </c>
      <c r="C177" s="13" t="n">
        <v>0.0607037173820914</v>
      </c>
      <c r="D177" s="13" t="n">
        <v>0.0525064351477556</v>
      </c>
      <c r="E177" s="13" t="n">
        <v>0.0719148518923384</v>
      </c>
      <c r="F177" s="14" t="n">
        <f aca="false">F176*(1+C177)</f>
        <v>150485.699593405</v>
      </c>
      <c r="G177" s="14" t="n">
        <f aca="false">G176*(1+D177)</f>
        <v>179483.310536921</v>
      </c>
      <c r="H177" s="14" t="n">
        <f aca="false">H176*(1+E177)</f>
        <v>201379.621653632</v>
      </c>
      <c r="I177" s="14" t="n">
        <f aca="false">F177-F176</f>
        <v>8612.24602918371</v>
      </c>
      <c r="J177" s="14" t="n">
        <f aca="false">G177-G176</f>
        <v>8953.89186241728</v>
      </c>
      <c r="K177" s="14" t="n">
        <f aca="false">H177-H176</f>
        <v>13510.5746877092</v>
      </c>
    </row>
    <row r="178" customFormat="false" ht="15" hidden="false" customHeight="false" outlineLevel="0" collapsed="false">
      <c r="A178" s="11" t="n">
        <v>46199</v>
      </c>
      <c r="B178" s="12" t="s">
        <v>40</v>
      </c>
      <c r="C178" s="13" t="n">
        <v>0.0121765765099466</v>
      </c>
      <c r="D178" s="13" t="n">
        <v>0.014189619001283</v>
      </c>
      <c r="E178" s="13" t="n">
        <v>0.0185649286010515</v>
      </c>
      <c r="F178" s="14" t="n">
        <f aca="false">F177*(1+C178)</f>
        <v>152318.100228157</v>
      </c>
      <c r="G178" s="14" t="n">
        <f aca="false">G177*(1+D178)</f>
        <v>182030.110330529</v>
      </c>
      <c r="H178" s="14" t="n">
        <f aca="false">H177*(1+E178)</f>
        <v>205118.219951339</v>
      </c>
      <c r="I178" s="14" t="n">
        <f aca="false">F178-F177</f>
        <v>1832.40063475195</v>
      </c>
      <c r="J178" s="14" t="n">
        <f aca="false">G178-G177</f>
        <v>2546.79979360785</v>
      </c>
      <c r="K178" s="14" t="n">
        <f aca="false">H178-H177</f>
        <v>3738.59829770643</v>
      </c>
    </row>
    <row r="179" customFormat="false" ht="15" hidden="false" customHeight="false" outlineLevel="0" collapsed="false">
      <c r="A179" s="11" t="n">
        <v>46200</v>
      </c>
      <c r="B179" s="12" t="s">
        <v>41</v>
      </c>
      <c r="C179" s="13" t="n">
        <v>-0.0183938729259043</v>
      </c>
      <c r="D179" s="13" t="n">
        <v>-0.0174110207171084</v>
      </c>
      <c r="E179" s="13" t="n">
        <v>-0.0232017870528235</v>
      </c>
      <c r="F179" s="14" t="n">
        <f aca="false">F178*(1+C179)</f>
        <v>149516.380448245</v>
      </c>
      <c r="G179" s="14" t="n">
        <f aca="false">G178*(1+D179)</f>
        <v>178860.780308427</v>
      </c>
      <c r="H179" s="14" t="n">
        <f aca="false">H178*(1+E179)</f>
        <v>200359.110691374</v>
      </c>
      <c r="I179" s="14" t="n">
        <f aca="false">F179-F178</f>
        <v>-2801.71977991186</v>
      </c>
      <c r="J179" s="14" t="n">
        <f aca="false">G179-G178</f>
        <v>-3169.33002210237</v>
      </c>
      <c r="K179" s="14" t="n">
        <f aca="false">H179-H178</f>
        <v>-4759.10925996519</v>
      </c>
    </row>
    <row r="180" customFormat="false" ht="15" hidden="false" customHeight="false" outlineLevel="0" collapsed="false">
      <c r="A180" s="11" t="n">
        <v>46201</v>
      </c>
      <c r="B180" s="12" t="s">
        <v>42</v>
      </c>
      <c r="C180" s="13" t="n">
        <v>0.027715998668653</v>
      </c>
      <c r="D180" s="13" t="n">
        <v>0.0101638923443429</v>
      </c>
      <c r="E180" s="13" t="n">
        <v>0.0141444877713245</v>
      </c>
      <c r="F180" s="14" t="n">
        <f aca="false">F179*(1+C180)</f>
        <v>153660.37624969</v>
      </c>
      <c r="G180" s="14" t="n">
        <f aca="false">G179*(1+D180)</f>
        <v>180678.702024107</v>
      </c>
      <c r="H180" s="14" t="n">
        <f aca="false">H179*(1+E180)</f>
        <v>203193.087682421</v>
      </c>
      <c r="I180" s="14" t="n">
        <f aca="false">F180-F179</f>
        <v>4143.99580144536</v>
      </c>
      <c r="J180" s="14" t="n">
        <f aca="false">G180-G179</f>
        <v>1817.92171567999</v>
      </c>
      <c r="K180" s="14" t="n">
        <f aca="false">H180-H179</f>
        <v>2833.97699104756</v>
      </c>
    </row>
    <row r="181" customFormat="false" ht="15" hidden="false" customHeight="false" outlineLevel="0" collapsed="false">
      <c r="A181" s="11" t="n">
        <v>46202</v>
      </c>
      <c r="B181" s="12" t="s">
        <v>43</v>
      </c>
      <c r="C181" s="13" t="n">
        <v>0.0199103139117587</v>
      </c>
      <c r="D181" s="13" t="n">
        <v>0.0107234139681032</v>
      </c>
      <c r="E181" s="13" t="n">
        <v>0.0149947911047526</v>
      </c>
      <c r="F181" s="14" t="n">
        <f aca="false">F180*(1+C181)</f>
        <v>156719.80257662</v>
      </c>
      <c r="G181" s="14" t="n">
        <f aca="false">G180*(1+D181)</f>
        <v>182616.194541131</v>
      </c>
      <c r="H181" s="14" t="n">
        <f aca="false">H180*(1+E181)</f>
        <v>206239.925586149</v>
      </c>
      <c r="I181" s="14" t="n">
        <f aca="false">F181-F180</f>
        <v>3059.42632693029</v>
      </c>
      <c r="J181" s="14" t="n">
        <f aca="false">G181-G180</f>
        <v>1937.49251702405</v>
      </c>
      <c r="K181" s="14" t="n">
        <f aca="false">H181-H180</f>
        <v>3046.83790372757</v>
      </c>
    </row>
    <row r="182" customFormat="false" ht="15" hidden="false" customHeight="false" outlineLevel="0" collapsed="false">
      <c r="A182" s="11" t="n">
        <v>46203</v>
      </c>
      <c r="B182" s="12" t="s">
        <v>44</v>
      </c>
      <c r="C182" s="13" t="n">
        <v>0.027941056769483</v>
      </c>
      <c r="D182" s="13" t="n">
        <v>0.0391475263603406</v>
      </c>
      <c r="E182" s="13" t="n">
        <v>0.0567683722709586</v>
      </c>
      <c r="F182" s="14" t="n">
        <f aca="false">F181*(1+C182)</f>
        <v>161098.719477316</v>
      </c>
      <c r="G182" s="14" t="n">
        <f aca="false">G181*(1+D182)</f>
        <v>189765.166830755</v>
      </c>
      <c r="H182" s="14" t="n">
        <f aca="false">H181*(1+E182)</f>
        <v>217947.830458958</v>
      </c>
      <c r="I182" s="14" t="n">
        <f aca="false">F182-F181</f>
        <v>4378.91690069553</v>
      </c>
      <c r="J182" s="14" t="n">
        <f aca="false">G182-G181</f>
        <v>7148.97228962401</v>
      </c>
      <c r="K182" s="14" t="n">
        <f aca="false">H182-H181</f>
        <v>11707.9048728093</v>
      </c>
    </row>
    <row r="183" customFormat="false" ht="15" hidden="false" customHeight="false" outlineLevel="0" collapsed="false">
      <c r="A183" s="11" t="n">
        <v>46204</v>
      </c>
      <c r="B183" s="12" t="s">
        <v>45</v>
      </c>
      <c r="C183" s="13" t="n">
        <v>-0.0289273129722933</v>
      </c>
      <c r="D183" s="13" t="n">
        <v>-0.0286044653481246</v>
      </c>
      <c r="E183" s="13" t="n">
        <v>-0.0388289827375619</v>
      </c>
      <c r="F183" s="14" t="n">
        <f aca="false">F182*(1+C183)</f>
        <v>156438.56639956</v>
      </c>
      <c r="G183" s="14" t="n">
        <f aca="false">G182*(1+D183)</f>
        <v>184337.035691863</v>
      </c>
      <c r="H183" s="14" t="n">
        <f aca="false">H182*(1+E183)</f>
        <v>209485.137912378</v>
      </c>
      <c r="I183" s="14" t="n">
        <f aca="false">F183-F182</f>
        <v>-4660.153077756</v>
      </c>
      <c r="J183" s="14" t="n">
        <f aca="false">G183-G182</f>
        <v>-5428.13113889139</v>
      </c>
      <c r="K183" s="14" t="n">
        <f aca="false">H183-H182</f>
        <v>-8462.69254657996</v>
      </c>
    </row>
    <row r="184" customFormat="false" ht="15" hidden="false" customHeight="false" outlineLevel="0" collapsed="false">
      <c r="A184" s="11" t="n">
        <v>46205</v>
      </c>
      <c r="B184" s="12" t="s">
        <v>39</v>
      </c>
      <c r="C184" s="13" t="n">
        <v>0.0181415764339336</v>
      </c>
      <c r="D184" s="13" t="n">
        <v>0.0173098913831829</v>
      </c>
      <c r="E184" s="13" t="n">
        <v>0.0215342876998519</v>
      </c>
      <c r="F184" s="14" t="n">
        <f aca="false">F183*(1+C184)</f>
        <v>159276.608609113</v>
      </c>
      <c r="G184" s="14" t="n">
        <f aca="false">G183*(1+D184)</f>
        <v>187527.889757587</v>
      </c>
      <c r="H184" s="14" t="n">
        <f aca="false">H183*(1+E184)</f>
        <v>213996.251141026</v>
      </c>
      <c r="I184" s="14" t="n">
        <f aca="false">F184-F183</f>
        <v>2838.0422095526</v>
      </c>
      <c r="J184" s="14" t="n">
        <f aca="false">G184-G183</f>
        <v>3190.85406572404</v>
      </c>
      <c r="K184" s="14" t="n">
        <f aca="false">H184-H183</f>
        <v>4511.11322864829</v>
      </c>
    </row>
    <row r="185" customFormat="false" ht="15" hidden="false" customHeight="false" outlineLevel="0" collapsed="false">
      <c r="A185" s="11" t="n">
        <v>46206</v>
      </c>
      <c r="B185" s="12" t="s">
        <v>40</v>
      </c>
      <c r="C185" s="13" t="n">
        <v>-0.0303891258256275</v>
      </c>
      <c r="D185" s="13" t="n">
        <v>-0.0263980768306947</v>
      </c>
      <c r="E185" s="13" t="n">
        <v>-0.0360955776252554</v>
      </c>
      <c r="F185" s="14" t="n">
        <f aca="false">F184*(1+C185)</f>
        <v>154436.331709011</v>
      </c>
      <c r="G185" s="14" t="n">
        <f aca="false">G184*(1+D185)</f>
        <v>182577.514115868</v>
      </c>
      <c r="H185" s="14" t="n">
        <f aca="false">H184*(1+E185)</f>
        <v>206271.932846452</v>
      </c>
      <c r="I185" s="14" t="n">
        <f aca="false">F185-F184</f>
        <v>-4840.27690010157</v>
      </c>
      <c r="J185" s="14" t="n">
        <f aca="false">G185-G184</f>
        <v>-4950.37564171883</v>
      </c>
      <c r="K185" s="14" t="n">
        <f aca="false">H185-H184</f>
        <v>-7724.31829457457</v>
      </c>
    </row>
    <row r="186" customFormat="false" ht="15" hidden="false" customHeight="false" outlineLevel="0" collapsed="false">
      <c r="A186" s="11" t="n">
        <v>46207</v>
      </c>
      <c r="B186" s="12" t="s">
        <v>41</v>
      </c>
      <c r="C186" s="13" t="n">
        <v>-0.0112190054727938</v>
      </c>
      <c r="D186" s="13" t="n">
        <v>0.0229791508316198</v>
      </c>
      <c r="E186" s="13" t="n">
        <v>0.0316719199277478</v>
      </c>
      <c r="F186" s="14" t="n">
        <f aca="false">F185*(1+C186)</f>
        <v>152703.709658369</v>
      </c>
      <c r="G186" s="14" t="n">
        <f aca="false">G185*(1+D186)</f>
        <v>186772.990351199</v>
      </c>
      <c r="H186" s="14" t="n">
        <f aca="false">H185*(1+E186)</f>
        <v>212804.960986907</v>
      </c>
      <c r="I186" s="14" t="n">
        <f aca="false">F186-F185</f>
        <v>-1732.6220506416</v>
      </c>
      <c r="J186" s="14" t="n">
        <f aca="false">G186-G185</f>
        <v>4195.47623533072</v>
      </c>
      <c r="K186" s="14" t="n">
        <f aca="false">H186-H185</f>
        <v>6533.02814045458</v>
      </c>
    </row>
    <row r="187" customFormat="false" ht="15" hidden="false" customHeight="false" outlineLevel="0" collapsed="false">
      <c r="A187" s="11" t="n">
        <v>46208</v>
      </c>
      <c r="B187" s="12" t="s">
        <v>42</v>
      </c>
      <c r="C187" s="13" t="n">
        <v>0.00561117258401478</v>
      </c>
      <c r="D187" s="13" t="n">
        <v>0.00462627861799222</v>
      </c>
      <c r="E187" s="13" t="n">
        <v>0.00655448888575635</v>
      </c>
      <c r="F187" s="14" t="n">
        <f aca="false">F186*(1+C187)</f>
        <v>153560.556527482</v>
      </c>
      <c r="G187" s="14" t="n">
        <f aca="false">G186*(1+D187)</f>
        <v>187637.054242879</v>
      </c>
      <c r="H187" s="14" t="n">
        <f aca="false">H186*(1+E187)</f>
        <v>214199.788738529</v>
      </c>
      <c r="I187" s="14" t="n">
        <f aca="false">F187-F186</f>
        <v>856.846869112371</v>
      </c>
      <c r="J187" s="14" t="n">
        <f aca="false">G187-G186</f>
        <v>864.063891680213</v>
      </c>
      <c r="K187" s="14" t="n">
        <f aca="false">H187-H186</f>
        <v>1394.82775162248</v>
      </c>
    </row>
    <row r="188" customFormat="false" ht="15" hidden="false" customHeight="false" outlineLevel="0" collapsed="false">
      <c r="A188" s="11" t="n">
        <v>46209</v>
      </c>
      <c r="B188" s="12" t="s">
        <v>43</v>
      </c>
      <c r="C188" s="13" t="n">
        <v>0.0185053735242595</v>
      </c>
      <c r="D188" s="13" t="n">
        <v>0.0156365502703252</v>
      </c>
      <c r="E188" s="13" t="n">
        <v>0.0212162195234433</v>
      </c>
      <c r="F188" s="14" t="n">
        <f aca="false">F187*(1+C188)</f>
        <v>156402.251984616</v>
      </c>
      <c r="G188" s="14" t="n">
        <f aca="false">G187*(1+D188)</f>
        <v>190571.050474124</v>
      </c>
      <c r="H188" s="14" t="n">
        <f aca="false">H187*(1+E188)</f>
        <v>218744.298478281</v>
      </c>
      <c r="I188" s="14" t="n">
        <f aca="false">F188-F187</f>
        <v>2841.69545713422</v>
      </c>
      <c r="J188" s="14" t="n">
        <f aca="false">G188-G187</f>
        <v>2933.99623124453</v>
      </c>
      <c r="K188" s="14" t="n">
        <f aca="false">H188-H187</f>
        <v>4544.50973975181</v>
      </c>
    </row>
    <row r="189" customFormat="false" ht="15" hidden="false" customHeight="false" outlineLevel="0" collapsed="false">
      <c r="A189" s="11" t="n">
        <v>46210</v>
      </c>
      <c r="B189" s="12" t="s">
        <v>44</v>
      </c>
      <c r="C189" s="13" t="n">
        <v>-0.0266993198940841</v>
      </c>
      <c r="D189" s="13" t="n">
        <v>-0.0319988773121908</v>
      </c>
      <c r="E189" s="13" t="n">
        <v>-0.0415312005719338</v>
      </c>
      <c r="F189" s="14" t="n">
        <f aca="false">F188*(1+C189)</f>
        <v>152226.418226724</v>
      </c>
      <c r="G189" s="14" t="n">
        <f aca="false">G188*(1+D189)</f>
        <v>184472.990810747</v>
      </c>
      <c r="H189" s="14" t="n">
        <f aca="false">H188*(1+E189)</f>
        <v>209659.585144212</v>
      </c>
      <c r="I189" s="14" t="n">
        <f aca="false">F189-F188</f>
        <v>-4175.8337578924</v>
      </c>
      <c r="J189" s="14" t="n">
        <f aca="false">G189-G188</f>
        <v>-6098.0596633768</v>
      </c>
      <c r="K189" s="14" t="n">
        <f aca="false">H189-H188</f>
        <v>-9084.71333406842</v>
      </c>
    </row>
    <row r="190" customFormat="false" ht="15" hidden="false" customHeight="false" outlineLevel="0" collapsed="false">
      <c r="A190" s="11" t="n">
        <v>46211</v>
      </c>
      <c r="B190" s="12" t="s">
        <v>45</v>
      </c>
      <c r="C190" s="13" t="n">
        <v>0.00391184311591686</v>
      </c>
      <c r="D190" s="13" t="n">
        <v>0.00465947086688946</v>
      </c>
      <c r="E190" s="13" t="n">
        <v>-0.00760032372344282</v>
      </c>
      <c r="F190" s="14" t="n">
        <f aca="false">F189*(1+C190)</f>
        <v>152821.904092924</v>
      </c>
      <c r="G190" s="14" t="n">
        <f aca="false">G189*(1+D190)</f>
        <v>185332.537337158</v>
      </c>
      <c r="H190" s="14" t="n">
        <f aca="false">H189*(1+E190)</f>
        <v>208066.104425394</v>
      </c>
      <c r="I190" s="14" t="n">
        <f aca="false">F190-F189</f>
        <v>595.485866200877</v>
      </c>
      <c r="J190" s="14" t="n">
        <f aca="false">G190-G189</f>
        <v>859.546526410646</v>
      </c>
      <c r="K190" s="14" t="n">
        <f aca="false">H190-H189</f>
        <v>-1593.48071881873</v>
      </c>
    </row>
    <row r="191" customFormat="false" ht="15" hidden="false" customHeight="false" outlineLevel="0" collapsed="false">
      <c r="A191" s="11" t="n">
        <v>46212</v>
      </c>
      <c r="B191" s="12" t="s">
        <v>39</v>
      </c>
      <c r="C191" s="13" t="n">
        <v>-0.0284100277238949</v>
      </c>
      <c r="D191" s="13" t="n">
        <v>-0.0284465892643922</v>
      </c>
      <c r="E191" s="13" t="n">
        <v>-0.0375944469295885</v>
      </c>
      <c r="F191" s="14" t="n">
        <f aca="false">F190*(1+C191)</f>
        <v>148480.229560826</v>
      </c>
      <c r="G191" s="14" t="n">
        <f aca="false">G190*(1+D191)</f>
        <v>180060.4587702</v>
      </c>
      <c r="H191" s="14" t="n">
        <f aca="false">H190*(1+E191)</f>
        <v>200243.974304727</v>
      </c>
      <c r="I191" s="14" t="n">
        <f aca="false">F191-F190</f>
        <v>-4341.67453209838</v>
      </c>
      <c r="J191" s="14" t="n">
        <f aca="false">G191-G190</f>
        <v>-5272.07856695776</v>
      </c>
      <c r="K191" s="14" t="n">
        <f aca="false">H191-H190</f>
        <v>-7822.1301206667</v>
      </c>
    </row>
    <row r="192" customFormat="false" ht="15" hidden="false" customHeight="false" outlineLevel="0" collapsed="false">
      <c r="A192" s="11" t="n">
        <v>46213</v>
      </c>
      <c r="B192" s="12" t="s">
        <v>40</v>
      </c>
      <c r="C192" s="13" t="n">
        <v>-0.00654600797139987</v>
      </c>
      <c r="D192" s="13" t="n">
        <v>-0.00379618425917077</v>
      </c>
      <c r="E192" s="13" t="n">
        <v>-0.00503376947382831</v>
      </c>
      <c r="F192" s="14" t="n">
        <f aca="false">F191*(1+C192)</f>
        <v>147508.276794526</v>
      </c>
      <c r="G192" s="14" t="n">
        <f aca="false">G191*(1+D192)</f>
        <v>179376.916090917</v>
      </c>
      <c r="H192" s="14" t="n">
        <f aca="false">H191*(1+E192)</f>
        <v>199235.992299554</v>
      </c>
      <c r="I192" s="14" t="n">
        <f aca="false">F192-F191</f>
        <v>-971.95276630047</v>
      </c>
      <c r="J192" s="14" t="n">
        <f aca="false">G192-G191</f>
        <v>-683.542679282487</v>
      </c>
      <c r="K192" s="14" t="n">
        <f aca="false">H192-H191</f>
        <v>-1007.98200517319</v>
      </c>
    </row>
    <row r="193" customFormat="false" ht="15" hidden="false" customHeight="false" outlineLevel="0" collapsed="false">
      <c r="A193" s="11" t="n">
        <v>46214</v>
      </c>
      <c r="B193" s="12" t="s">
        <v>41</v>
      </c>
      <c r="C193" s="13" t="n">
        <v>0.0141148395089975</v>
      </c>
      <c r="D193" s="13" t="n">
        <v>0.0100338420348319</v>
      </c>
      <c r="E193" s="13" t="n">
        <v>0.0141162319742954</v>
      </c>
      <c r="F193" s="14" t="n">
        <f aca="false">F192*(1+C193)</f>
        <v>149590.332447729</v>
      </c>
      <c r="G193" s="14" t="n">
        <f aca="false">G192*(1+D193)</f>
        <v>181176.755731669</v>
      </c>
      <c r="H193" s="14" t="n">
        <f aca="false">H192*(1+E193)</f>
        <v>202048.453784483</v>
      </c>
      <c r="I193" s="14" t="n">
        <f aca="false">F193-F192</f>
        <v>2082.05565320348</v>
      </c>
      <c r="J193" s="14" t="n">
        <f aca="false">G193-G192</f>
        <v>1799.83964075154</v>
      </c>
      <c r="K193" s="14" t="n">
        <f aca="false">H193-H192</f>
        <v>2812.46148492943</v>
      </c>
    </row>
    <row r="194" customFormat="false" ht="15" hidden="false" customHeight="false" outlineLevel="0" collapsed="false">
      <c r="A194" s="11" t="n">
        <v>46215</v>
      </c>
      <c r="B194" s="12" t="s">
        <v>42</v>
      </c>
      <c r="C194" s="13" t="n">
        <v>0.0209593039154943</v>
      </c>
      <c r="D194" s="13" t="n">
        <v>0.0177015823059546</v>
      </c>
      <c r="E194" s="13" t="n">
        <v>0.0241113797622503</v>
      </c>
      <c r="F194" s="14" t="n">
        <f aca="false">F193*(1+C194)</f>
        <v>152725.641688321</v>
      </c>
      <c r="G194" s="14" t="n">
        <f aca="false">G193*(1+D194)</f>
        <v>184383.870985179</v>
      </c>
      <c r="H194" s="14" t="n">
        <f aca="false">H193*(1+E194)</f>
        <v>206920.120784056</v>
      </c>
      <c r="I194" s="14" t="n">
        <f aca="false">F194-F193</f>
        <v>3135.30924059177</v>
      </c>
      <c r="J194" s="14" t="n">
        <f aca="false">G194-G193</f>
        <v>3207.11525350995</v>
      </c>
      <c r="K194" s="14" t="n">
        <f aca="false">H194-H193</f>
        <v>4871.66699957315</v>
      </c>
    </row>
    <row r="195" customFormat="false" ht="15" hidden="false" customHeight="false" outlineLevel="0" collapsed="false">
      <c r="A195" s="11" t="n">
        <v>46216</v>
      </c>
      <c r="B195" s="12" t="s">
        <v>43</v>
      </c>
      <c r="C195" s="13" t="n">
        <v>-0.00604037884980918</v>
      </c>
      <c r="D195" s="13" t="n">
        <v>0.00262394322192742</v>
      </c>
      <c r="E195" s="13" t="n">
        <v>0.00402389812760188</v>
      </c>
      <c r="F195" s="14" t="n">
        <f aca="false">F194*(1+C195)</f>
        <v>151803.120952443</v>
      </c>
      <c r="G195" s="14" t="n">
        <f aca="false">G194*(1+D195)</f>
        <v>184867.683793683</v>
      </c>
      <c r="H195" s="14" t="n">
        <f aca="false">H194*(1+E195)</f>
        <v>207752.746270642</v>
      </c>
      <c r="I195" s="14" t="n">
        <f aca="false">F195-F194</f>
        <v>-922.520735877653</v>
      </c>
      <c r="J195" s="14" t="n">
        <f aca="false">G195-G194</f>
        <v>483.812808504328</v>
      </c>
      <c r="K195" s="14" t="n">
        <f aca="false">H195-H194</f>
        <v>832.625486586127</v>
      </c>
    </row>
    <row r="196" customFormat="false" ht="15" hidden="false" customHeight="false" outlineLevel="0" collapsed="false">
      <c r="A196" s="11" t="n">
        <v>46217</v>
      </c>
      <c r="B196" s="12" t="s">
        <v>44</v>
      </c>
      <c r="C196" s="13" t="n">
        <v>0.0362640581784948</v>
      </c>
      <c r="D196" s="13" t="n">
        <v>0.0165349996256464</v>
      </c>
      <c r="E196" s="13" t="n">
        <v>0.0221838399051174</v>
      </c>
      <c r="F196" s="14" t="n">
        <f aca="false">F195*(1+C196)</f>
        <v>157308.11816234</v>
      </c>
      <c r="G196" s="14" t="n">
        <f aca="false">G195*(1+D196)</f>
        <v>187924.470876006</v>
      </c>
      <c r="H196" s="14" t="n">
        <f aca="false">H195*(1+E196)</f>
        <v>212361.499933759</v>
      </c>
      <c r="I196" s="14" t="n">
        <f aca="false">F196-F195</f>
        <v>5504.99720989648</v>
      </c>
      <c r="J196" s="14" t="n">
        <f aca="false">G196-G195</f>
        <v>3056.78708232264</v>
      </c>
      <c r="K196" s="14" t="n">
        <f aca="false">H196-H195</f>
        <v>4608.75366311643</v>
      </c>
    </row>
    <row r="197" customFormat="false" ht="15" hidden="false" customHeight="false" outlineLevel="0" collapsed="false">
      <c r="A197" s="11" t="n">
        <v>46218</v>
      </c>
      <c r="B197" s="12" t="s">
        <v>45</v>
      </c>
      <c r="C197" s="13" t="n">
        <v>0.0188103652534669</v>
      </c>
      <c r="D197" s="13" t="n">
        <v>0.0112052989549297</v>
      </c>
      <c r="E197" s="13" t="n">
        <v>0.0154685521360247</v>
      </c>
      <c r="F197" s="14" t="n">
        <f aca="false">F196*(1+C197)</f>
        <v>160267.141322309</v>
      </c>
      <c r="G197" s="14" t="n">
        <f aca="false">G196*(1+D197)</f>
        <v>190030.220753118</v>
      </c>
      <c r="H197" s="14" t="n">
        <f aca="false">H196*(1+E197)</f>
        <v>215646.424867169</v>
      </c>
      <c r="I197" s="14" t="n">
        <f aca="false">F197-F196</f>
        <v>2959.02315996913</v>
      </c>
      <c r="J197" s="14" t="n">
        <f aca="false">G197-G196</f>
        <v>2105.7498771126</v>
      </c>
      <c r="K197" s="14" t="n">
        <f aca="false">H197-H196</f>
        <v>3284.92493340976</v>
      </c>
    </row>
    <row r="198" customFormat="false" ht="15" hidden="false" customHeight="false" outlineLevel="0" collapsed="false">
      <c r="A198" s="11" t="n">
        <v>46219</v>
      </c>
      <c r="B198" s="12" t="s">
        <v>39</v>
      </c>
      <c r="C198" s="13" t="n">
        <v>-0.0193488764184784</v>
      </c>
      <c r="D198" s="13" t="n">
        <v>-0.016833349222016</v>
      </c>
      <c r="E198" s="13" t="n">
        <v>-0.022525227804742</v>
      </c>
      <c r="F198" s="14" t="n">
        <f aca="false">F197*(1+C198)</f>
        <v>157166.152210921</v>
      </c>
      <c r="G198" s="14" t="n">
        <f aca="false">G197*(1+D198)</f>
        <v>186831.375684444</v>
      </c>
      <c r="H198" s="14" t="n">
        <f aca="false">H197*(1+E198)</f>
        <v>210788.940021757</v>
      </c>
      <c r="I198" s="14" t="n">
        <f aca="false">F198-F197</f>
        <v>-3100.98911138816</v>
      </c>
      <c r="J198" s="14" t="n">
        <f aca="false">G198-G197</f>
        <v>-3198.84506867404</v>
      </c>
      <c r="K198" s="14" t="n">
        <f aca="false">H198-H197</f>
        <v>-4857.48484541118</v>
      </c>
    </row>
    <row r="199" customFormat="false" ht="15" hidden="false" customHeight="false" outlineLevel="0" collapsed="false">
      <c r="A199" s="11" t="n">
        <v>46220</v>
      </c>
      <c r="B199" s="12" t="s">
        <v>40</v>
      </c>
      <c r="C199" s="13" t="n">
        <v>0.0296312071058826</v>
      </c>
      <c r="D199" s="13" t="n">
        <v>0.0233786814357035</v>
      </c>
      <c r="E199" s="13" t="n">
        <v>0.0322079480217848</v>
      </c>
      <c r="F199" s="14" t="n">
        <f aca="false">F198*(1+C199)</f>
        <v>161823.175017117</v>
      </c>
      <c r="G199" s="14" t="n">
        <f aca="false">G198*(1+D199)</f>
        <v>191199.246898765</v>
      </c>
      <c r="H199" s="14" t="n">
        <f aca="false">H198*(1+E199)</f>
        <v>217578.019245545</v>
      </c>
      <c r="I199" s="14" t="n">
        <f aca="false">F199-F198</f>
        <v>4657.02280619647</v>
      </c>
      <c r="J199" s="14" t="n">
        <f aca="false">G199-G198</f>
        <v>4367.87121432088</v>
      </c>
      <c r="K199" s="14" t="n">
        <f aca="false">H199-H198</f>
        <v>6789.07922378785</v>
      </c>
    </row>
    <row r="200" customFormat="false" ht="15" hidden="false" customHeight="false" outlineLevel="0" collapsed="false">
      <c r="A200" s="11" t="n">
        <v>46221</v>
      </c>
      <c r="B200" s="12" t="s">
        <v>41</v>
      </c>
      <c r="C200" s="13" t="n">
        <v>-0.00314467480689107</v>
      </c>
      <c r="D200" s="13" t="n">
        <v>-0.00838815391929572</v>
      </c>
      <c r="E200" s="13" t="n">
        <v>-0.011457261771069</v>
      </c>
      <c r="F200" s="14" t="n">
        <f aca="false">F199*(1+C200)</f>
        <v>161314.29375547</v>
      </c>
      <c r="G200" s="14" t="n">
        <f aca="false">G199*(1+D200)</f>
        <v>189595.438186525</v>
      </c>
      <c r="H200" s="14" t="n">
        <f aca="false">H199*(1+E200)</f>
        <v>215085.170923418</v>
      </c>
      <c r="I200" s="14" t="n">
        <f aca="false">F200-F199</f>
        <v>-508.881261647446</v>
      </c>
      <c r="J200" s="14" t="n">
        <f aca="false">G200-G199</f>
        <v>-1603.80871224028</v>
      </c>
      <c r="K200" s="14" t="n">
        <f aca="false">H200-H199</f>
        <v>-2492.8483221269</v>
      </c>
    </row>
    <row r="201" customFormat="false" ht="15" hidden="false" customHeight="false" outlineLevel="0" collapsed="false">
      <c r="A201" s="11" t="n">
        <v>46222</v>
      </c>
      <c r="B201" s="12" t="s">
        <v>42</v>
      </c>
      <c r="C201" s="13" t="n">
        <v>0.0164393891740561</v>
      </c>
      <c r="D201" s="13" t="n">
        <v>0.022325357606418</v>
      </c>
      <c r="E201" s="13" t="n">
        <v>0.0328307077428924</v>
      </c>
      <c r="F201" s="14" t="n">
        <f aca="false">F200*(1+C201)</f>
        <v>163966.202209854</v>
      </c>
      <c r="G201" s="14" t="n">
        <f aca="false">G200*(1+D201)</f>
        <v>193828.224144585</v>
      </c>
      <c r="H201" s="14" t="n">
        <f aca="false">H200*(1+E201)</f>
        <v>222146.569309835</v>
      </c>
      <c r="I201" s="14" t="n">
        <f aca="false">F201-F200</f>
        <v>2651.90845438416</v>
      </c>
      <c r="J201" s="14" t="n">
        <f aca="false">G201-G200</f>
        <v>4232.78595805969</v>
      </c>
      <c r="K201" s="14" t="n">
        <f aca="false">H201-H200</f>
        <v>7061.39838641681</v>
      </c>
    </row>
    <row r="202" customFormat="false" ht="15" hidden="false" customHeight="false" outlineLevel="0" collapsed="false">
      <c r="A202" s="11" t="n">
        <v>46223</v>
      </c>
      <c r="B202" s="12" t="s">
        <v>43</v>
      </c>
      <c r="C202" s="13" t="n">
        <v>0.00073392072307954</v>
      </c>
      <c r="D202" s="13" t="n">
        <v>0.00776846188531597</v>
      </c>
      <c r="E202" s="13" t="n">
        <v>0.0105689605621832</v>
      </c>
      <c r="F202" s="14" t="n">
        <f aca="false">F201*(1+C202)</f>
        <v>164086.54040354</v>
      </c>
      <c r="G202" s="14" t="n">
        <f aca="false">G201*(1+D202)</f>
        <v>195333.97131615</v>
      </c>
      <c r="H202" s="14" t="n">
        <f aca="false">H201*(1+E202)</f>
        <v>224494.427639895</v>
      </c>
      <c r="I202" s="14" t="n">
        <f aca="false">F202-F201</f>
        <v>120.338193686446</v>
      </c>
      <c r="J202" s="14" t="n">
        <f aca="false">G202-G201</f>
        <v>1505.74717156569</v>
      </c>
      <c r="K202" s="14" t="n">
        <f aca="false">H202-H201</f>
        <v>2347.85833005997</v>
      </c>
    </row>
    <row r="203" customFormat="false" ht="15" hidden="false" customHeight="false" outlineLevel="0" collapsed="false">
      <c r="A203" s="11" t="n">
        <v>46224</v>
      </c>
      <c r="B203" s="12" t="s">
        <v>44</v>
      </c>
      <c r="C203" s="13" t="n">
        <v>-0.0123451047104926</v>
      </c>
      <c r="D203" s="13" t="n">
        <v>-0.0163802350929578</v>
      </c>
      <c r="E203" s="13" t="n">
        <v>-0.0221456949106471</v>
      </c>
      <c r="F203" s="14" t="n">
        <f aca="false">F202*(1+C203)</f>
        <v>162060.874880676</v>
      </c>
      <c r="G203" s="14" t="n">
        <f aca="false">G202*(1+D203)</f>
        <v>192134.354944351</v>
      </c>
      <c r="H203" s="14" t="n">
        <f aca="false">H202*(1+E203)</f>
        <v>219522.842536242</v>
      </c>
      <c r="I203" s="14" t="n">
        <f aca="false">F203-F202</f>
        <v>-2025.66552286418</v>
      </c>
      <c r="J203" s="14" t="n">
        <f aca="false">G203-G202</f>
        <v>-3199.61637179964</v>
      </c>
      <c r="K203" s="14" t="n">
        <f aca="false">H203-H202</f>
        <v>-4971.58510365346</v>
      </c>
    </row>
    <row r="204" customFormat="false" ht="15" hidden="false" customHeight="false" outlineLevel="0" collapsed="false">
      <c r="A204" s="11" t="n">
        <v>46225</v>
      </c>
      <c r="B204" s="12" t="s">
        <v>45</v>
      </c>
      <c r="C204" s="13" t="n">
        <v>0.00233585990398988</v>
      </c>
      <c r="D204" s="13" t="n">
        <v>0.00237126980690545</v>
      </c>
      <c r="E204" s="13" t="n">
        <v>0.00366531025390442</v>
      </c>
      <c r="F204" s="14" t="n">
        <f aca="false">F203*(1+C204)</f>
        <v>162439.426380315</v>
      </c>
      <c r="G204" s="14" t="n">
        <f aca="false">G203*(1+D204)</f>
        <v>192589.9573391</v>
      </c>
      <c r="H204" s="14" t="n">
        <f aca="false">H203*(1+E204)</f>
        <v>220327.461861956</v>
      </c>
      <c r="I204" s="14" t="n">
        <f aca="false">F204-F203</f>
        <v>378.551499639318</v>
      </c>
      <c r="J204" s="14" t="n">
        <f aca="false">G204-G203</f>
        <v>455.60239474877</v>
      </c>
      <c r="K204" s="14" t="n">
        <f aca="false">H204-H203</f>
        <v>804.619325714331</v>
      </c>
    </row>
    <row r="205" customFormat="false" ht="15" hidden="false" customHeight="false" outlineLevel="0" collapsed="false">
      <c r="A205" s="11" t="n">
        <v>46226</v>
      </c>
      <c r="B205" s="12" t="s">
        <v>39</v>
      </c>
      <c r="C205" s="13" t="n">
        <v>0.018314342502832</v>
      </c>
      <c r="D205" s="13" t="n">
        <v>0.0101847904971956</v>
      </c>
      <c r="E205" s="13" t="n">
        <v>0.0141992738197782</v>
      </c>
      <c r="F205" s="14" t="n">
        <f aca="false">F204*(1+C205)</f>
        <v>165414.397671008</v>
      </c>
      <c r="G205" s="14" t="n">
        <f aca="false">G204*(1+D205)</f>
        <v>194551.445706462</v>
      </c>
      <c r="H205" s="14" t="n">
        <f aca="false">H204*(1+E205)</f>
        <v>223455.951822951</v>
      </c>
      <c r="I205" s="14" t="n">
        <f aca="false">F205-F204</f>
        <v>2974.97129069266</v>
      </c>
      <c r="J205" s="14" t="n">
        <f aca="false">G205-G204</f>
        <v>1961.48836736259</v>
      </c>
      <c r="K205" s="14" t="n">
        <f aca="false">H205-H204</f>
        <v>3128.48996099466</v>
      </c>
    </row>
    <row r="206" customFormat="false" ht="15" hidden="false" customHeight="false" outlineLevel="0" collapsed="false">
      <c r="A206" s="11" t="n">
        <v>46227</v>
      </c>
      <c r="B206" s="12" t="s">
        <v>40</v>
      </c>
      <c r="C206" s="13" t="n">
        <v>-0.00130603122228579</v>
      </c>
      <c r="D206" s="13" t="n">
        <v>0.00519244578349805</v>
      </c>
      <c r="E206" s="13" t="n">
        <v>0.0069310271131209</v>
      </c>
      <c r="F206" s="14" t="n">
        <f aca="false">F205*(1+C206)</f>
        <v>165198.361303034</v>
      </c>
      <c r="G206" s="14" t="n">
        <f aca="false">G205*(1+D206)</f>
        <v>195561.643540394</v>
      </c>
      <c r="H206" s="14" t="n">
        <f aca="false">H205*(1+E206)</f>
        <v>225004.731083624</v>
      </c>
      <c r="I206" s="14" t="n">
        <f aca="false">F206-F205</f>
        <v>-216.036367973924</v>
      </c>
      <c r="J206" s="14" t="n">
        <f aca="false">G206-G205</f>
        <v>1010.19783393195</v>
      </c>
      <c r="K206" s="14" t="n">
        <f aca="false">H206-H205</f>
        <v>1548.77926067309</v>
      </c>
    </row>
    <row r="207" customFormat="false" ht="15" hidden="false" customHeight="false" outlineLevel="0" collapsed="false">
      <c r="A207" s="11" t="n">
        <v>46228</v>
      </c>
      <c r="B207" s="12" t="s">
        <v>41</v>
      </c>
      <c r="C207" s="13" t="n">
        <v>-0.0056442867763683</v>
      </c>
      <c r="D207" s="13" t="n">
        <v>-0.000300444535016664</v>
      </c>
      <c r="E207" s="13" t="n">
        <v>-0.000341898682353331</v>
      </c>
      <c r="F207" s="14" t="n">
        <f aca="false">F206*(1+C207)</f>
        <v>164265.934376854</v>
      </c>
      <c r="G207" s="14" t="n">
        <f aca="false">G206*(1+D207)</f>
        <v>195502.888113334</v>
      </c>
      <c r="H207" s="14" t="n">
        <f aca="false">H206*(1+E207)</f>
        <v>224927.802262543</v>
      </c>
      <c r="I207" s="14" t="n">
        <f aca="false">F207-F206</f>
        <v>-932.426926180429</v>
      </c>
      <c r="J207" s="14" t="n">
        <f aca="false">G207-G206</f>
        <v>-58.7554270605906</v>
      </c>
      <c r="K207" s="14" t="n">
        <f aca="false">H207-H206</f>
        <v>-76.9288210807717</v>
      </c>
    </row>
    <row r="208" customFormat="false" ht="15" hidden="false" customHeight="false" outlineLevel="0" collapsed="false">
      <c r="A208" s="11" t="n">
        <v>46229</v>
      </c>
      <c r="B208" s="12" t="s">
        <v>42</v>
      </c>
      <c r="C208" s="13" t="n">
        <v>0.000528353095677836</v>
      </c>
      <c r="D208" s="13" t="n">
        <v>-0.00488667510956718</v>
      </c>
      <c r="E208" s="13" t="n">
        <v>-0.00652026841073241</v>
      </c>
      <c r="F208" s="14" t="n">
        <f aca="false">F207*(1+C208)</f>
        <v>164352.724791796</v>
      </c>
      <c r="G208" s="14" t="n">
        <f aca="false">G207*(1+D208)</f>
        <v>194547.529016142</v>
      </c>
      <c r="H208" s="14" t="n">
        <f aca="false">H207*(1+E208)</f>
        <v>223461.212618755</v>
      </c>
      <c r="I208" s="14" t="n">
        <f aca="false">F208-F207</f>
        <v>86.7904149424285</v>
      </c>
      <c r="J208" s="14" t="n">
        <f aca="false">G208-G207</f>
        <v>-955.359097191918</v>
      </c>
      <c r="K208" s="14" t="n">
        <f aca="false">H208-H207</f>
        <v>-1466.58964378791</v>
      </c>
    </row>
    <row r="209" customFormat="false" ht="15" hidden="false" customHeight="false" outlineLevel="0" collapsed="false">
      <c r="A209" s="11" t="n">
        <v>46230</v>
      </c>
      <c r="B209" s="12" t="s">
        <v>43</v>
      </c>
      <c r="C209" s="13" t="n">
        <v>0.025985277248206</v>
      </c>
      <c r="D209" s="13" t="n">
        <v>0.0222497638295978</v>
      </c>
      <c r="E209" s="13" t="n">
        <v>0.0273475963328555</v>
      </c>
      <c r="F209" s="14" t="n">
        <f aca="false">F208*(1+C209)</f>
        <v>168623.475912009</v>
      </c>
      <c r="G209" s="14" t="n">
        <f aca="false">G208*(1+D209)</f>
        <v>198876.165590383</v>
      </c>
      <c r="H209" s="14" t="n">
        <f aca="false">H208*(1+E209)</f>
        <v>229572.339657503</v>
      </c>
      <c r="I209" s="14" t="n">
        <f aca="false">F209-F208</f>
        <v>4270.7511202129</v>
      </c>
      <c r="J209" s="14" t="n">
        <f aca="false">G209-G208</f>
        <v>4328.63657424095</v>
      </c>
      <c r="K209" s="14" t="n">
        <f aca="false">H209-H208</f>
        <v>6111.12703874812</v>
      </c>
    </row>
    <row r="210" customFormat="false" ht="15" hidden="false" customHeight="false" outlineLevel="0" collapsed="false">
      <c r="A210" s="11" t="n">
        <v>46231</v>
      </c>
      <c r="B210" s="12" t="s">
        <v>44</v>
      </c>
      <c r="C210" s="13" t="n">
        <v>0.0105766827772924</v>
      </c>
      <c r="D210" s="13" t="n">
        <v>0.00859951618002657</v>
      </c>
      <c r="E210" s="13" t="n">
        <v>0.0103557638546367</v>
      </c>
      <c r="F210" s="14" t="n">
        <f aca="false">F209*(1+C210)</f>
        <v>170406.952925535</v>
      </c>
      <c r="G210" s="14" t="n">
        <f aca="false">G209*(1+D210)</f>
        <v>200586.404394199</v>
      </c>
      <c r="H210" s="14" t="n">
        <f aca="false">H209*(1+E210)</f>
        <v>231949.736594553</v>
      </c>
      <c r="I210" s="14" t="n">
        <f aca="false">F210-F209</f>
        <v>1783.47701352573</v>
      </c>
      <c r="J210" s="14" t="n">
        <f aca="false">G210-G209</f>
        <v>1710.23880381612</v>
      </c>
      <c r="K210" s="14" t="n">
        <f aca="false">H210-H209</f>
        <v>2377.39693704958</v>
      </c>
    </row>
    <row r="211" customFormat="false" ht="15" hidden="false" customHeight="false" outlineLevel="0" collapsed="false">
      <c r="A211" s="11" t="n">
        <v>46232</v>
      </c>
      <c r="B211" s="12" t="s">
        <v>45</v>
      </c>
      <c r="C211" s="13" t="n">
        <v>0.00302518779279637</v>
      </c>
      <c r="D211" s="13" t="n">
        <v>0.00251325507140759</v>
      </c>
      <c r="E211" s="13" t="n">
        <v>0.00322219352538202</v>
      </c>
      <c r="F211" s="14" t="n">
        <f aca="false">F210*(1+C211)</f>
        <v>170922.465959333</v>
      </c>
      <c r="G211" s="14" t="n">
        <f aca="false">G210*(1+D211)</f>
        <v>201090.529192298</v>
      </c>
      <c r="H211" s="14" t="n">
        <f aca="false">H210*(1+E211)</f>
        <v>232697.123534022</v>
      </c>
      <c r="I211" s="14" t="n">
        <f aca="false">F211-F210</f>
        <v>515.513033797965</v>
      </c>
      <c r="J211" s="14" t="n">
        <f aca="false">G211-G210</f>
        <v>504.124798099132</v>
      </c>
      <c r="K211" s="14" t="n">
        <f aca="false">H211-H210</f>
        <v>747.386939469026</v>
      </c>
    </row>
    <row r="212" customFormat="false" ht="15" hidden="false" customHeight="false" outlineLevel="0" collapsed="false">
      <c r="A212" s="11" t="n">
        <v>46233</v>
      </c>
      <c r="B212" s="12" t="s">
        <v>39</v>
      </c>
      <c r="C212" s="13" t="n">
        <v>-0.016230910456718</v>
      </c>
      <c r="D212" s="13" t="n">
        <v>-0.0241044244617761</v>
      </c>
      <c r="E212" s="13" t="n">
        <v>-0.029447271099597</v>
      </c>
      <c r="F212" s="14" t="n">
        <f aca="false">F211*(1+C212)</f>
        <v>168148.238719305</v>
      </c>
      <c r="G212" s="14" t="n">
        <f aca="false">G211*(1+D212)</f>
        <v>196243.357721403</v>
      </c>
      <c r="H212" s="14" t="n">
        <f aca="false">H211*(1+E212)</f>
        <v>225844.828253219</v>
      </c>
      <c r="I212" s="14" t="n">
        <f aca="false">F212-F211</f>
        <v>-2774.22724002737</v>
      </c>
      <c r="J212" s="14" t="n">
        <f aca="false">G212-G211</f>
        <v>-4847.17147089433</v>
      </c>
      <c r="K212" s="14" t="n">
        <f aca="false">H212-H211</f>
        <v>-6852.29528080276</v>
      </c>
    </row>
    <row r="213" customFormat="false" ht="15" hidden="false" customHeight="false" outlineLevel="0" collapsed="false">
      <c r="A213" s="11" t="n">
        <v>46234</v>
      </c>
      <c r="B213" s="12" t="s">
        <v>40</v>
      </c>
      <c r="C213" s="13" t="n">
        <v>-0.000322487220448031</v>
      </c>
      <c r="D213" s="13" t="n">
        <v>-0.000290051254766488</v>
      </c>
      <c r="E213" s="13" t="n">
        <v>0.00108705271465625</v>
      </c>
      <c r="F213" s="14" t="n">
        <f aca="false">F212*(1+C213)</f>
        <v>168094.013061178</v>
      </c>
      <c r="G213" s="14" t="n">
        <f aca="false">G212*(1+D213)</f>
        <v>196186.437089257</v>
      </c>
      <c r="H213" s="14" t="n">
        <f aca="false">H212*(1+E213)</f>
        <v>226090.333486863</v>
      </c>
      <c r="I213" s="14" t="n">
        <f aca="false">F213-F212</f>
        <v>-54.2256581278343</v>
      </c>
      <c r="J213" s="14" t="n">
        <f aca="false">G213-G212</f>
        <v>-56.9206321466772</v>
      </c>
      <c r="K213" s="14" t="n">
        <f aca="false">H213-H212</f>
        <v>245.505233643751</v>
      </c>
    </row>
    <row r="214" customFormat="false" ht="15" hidden="false" customHeight="false" outlineLevel="0" collapsed="false">
      <c r="A214" s="11" t="n">
        <v>46235</v>
      </c>
      <c r="B214" s="12" t="s">
        <v>41</v>
      </c>
      <c r="C214" s="13" t="n">
        <v>0.0297118950934768</v>
      </c>
      <c r="D214" s="13" t="n">
        <v>0.0285395235144294</v>
      </c>
      <c r="E214" s="13" t="n">
        <v>0.0326594873810649</v>
      </c>
      <c r="F214" s="14" t="n">
        <f aca="false">F213*(1+C214)</f>
        <v>173088.404743093</v>
      </c>
      <c r="G214" s="14" t="n">
        <f aca="false">G213*(1+D214)</f>
        <v>201785.504523778</v>
      </c>
      <c r="H214" s="14" t="n">
        <f aca="false">H213*(1+E214)</f>
        <v>233474.327880358</v>
      </c>
      <c r="I214" s="14" t="n">
        <f aca="false">F214-F213</f>
        <v>4994.39168191524</v>
      </c>
      <c r="J214" s="14" t="n">
        <f aca="false">G214-G213</f>
        <v>5599.06743452098</v>
      </c>
      <c r="K214" s="14" t="n">
        <f aca="false">H214-H213</f>
        <v>7383.99439349494</v>
      </c>
    </row>
    <row r="215" customFormat="false" ht="15" hidden="false" customHeight="false" outlineLevel="0" collapsed="false">
      <c r="A215" s="11" t="n">
        <v>46236</v>
      </c>
      <c r="B215" s="12" t="s">
        <v>42</v>
      </c>
      <c r="C215" s="13" t="n">
        <v>-0.0203599891572112</v>
      </c>
      <c r="D215" s="13" t="n">
        <v>-0.0188776318086956</v>
      </c>
      <c r="E215" s="13" t="n">
        <v>-0.0253121171201434</v>
      </c>
      <c r="F215" s="14" t="n">
        <f aca="false">F214*(1+C215)</f>
        <v>169564.326699284</v>
      </c>
      <c r="G215" s="14" t="n">
        <f aca="false">G214*(1+D215)</f>
        <v>197976.272065046</v>
      </c>
      <c r="H215" s="14" t="n">
        <f aca="false">H214*(1+E215)</f>
        <v>227564.598348503</v>
      </c>
      <c r="I215" s="14" t="n">
        <f aca="false">F215-F214</f>
        <v>-3524.07804380838</v>
      </c>
      <c r="J215" s="14" t="n">
        <f aca="false">G215-G214</f>
        <v>-3809.23245873177</v>
      </c>
      <c r="K215" s="14" t="n">
        <f aca="false">H215-H214</f>
        <v>-5909.72953185436</v>
      </c>
    </row>
    <row r="216" customFormat="false" ht="15" hidden="false" customHeight="false" outlineLevel="0" collapsed="false">
      <c r="A216" s="11" t="n">
        <v>46237</v>
      </c>
      <c r="B216" s="12" t="s">
        <v>43</v>
      </c>
      <c r="C216" s="13" t="n">
        <v>-0.00867406941666188</v>
      </c>
      <c r="D216" s="13" t="n">
        <v>-0.0095295562014749</v>
      </c>
      <c r="E216" s="13" t="n">
        <v>-0.0111735383502831</v>
      </c>
      <c r="F216" s="14" t="n">
        <f aca="false">F215*(1+C216)</f>
        <v>168093.513958905</v>
      </c>
      <c r="G216" s="14" t="n">
        <f aca="false">G215*(1+D216)</f>
        <v>196089.646053844</v>
      </c>
      <c r="H216" s="14" t="n">
        <f aca="false">H215*(1+E216)</f>
        <v>225021.89658169</v>
      </c>
      <c r="I216" s="14" t="n">
        <f aca="false">F216-F215</f>
        <v>-1470.81274037913</v>
      </c>
      <c r="J216" s="14" t="n">
        <f aca="false">G216-G215</f>
        <v>-1886.62601120234</v>
      </c>
      <c r="K216" s="14" t="n">
        <f aca="false">H216-H215</f>
        <v>-2542.70176681379</v>
      </c>
    </row>
    <row r="217" customFormat="false" ht="15" hidden="false" customHeight="false" outlineLevel="0" collapsed="false">
      <c r="A217" s="11" t="n">
        <v>46238</v>
      </c>
      <c r="B217" s="12" t="s">
        <v>44</v>
      </c>
      <c r="C217" s="13" t="n">
        <v>0.0152529991673559</v>
      </c>
      <c r="D217" s="13" t="n">
        <v>0.0121427629635188</v>
      </c>
      <c r="E217" s="13" t="n">
        <v>0.0139726050205756</v>
      </c>
      <c r="F217" s="14" t="n">
        <f aca="false">F216*(1+C217)</f>
        <v>170657.444187358</v>
      </c>
      <c r="G217" s="14" t="n">
        <f aca="false">G216*(1+D217)</f>
        <v>198470.716145476</v>
      </c>
      <c r="H217" s="14" t="n">
        <f aca="false">H216*(1+E217)</f>
        <v>228166.038663606</v>
      </c>
      <c r="I217" s="14" t="n">
        <f aca="false">F217-F216</f>
        <v>2563.93022845313</v>
      </c>
      <c r="J217" s="14" t="n">
        <f aca="false">G217-G216</f>
        <v>2381.07009163211</v>
      </c>
      <c r="K217" s="14" t="n">
        <f aca="false">H217-H216</f>
        <v>3144.14208191674</v>
      </c>
    </row>
    <row r="218" customFormat="false" ht="15" hidden="false" customHeight="false" outlineLevel="0" collapsed="false">
      <c r="A218" s="11" t="n">
        <v>46239</v>
      </c>
      <c r="B218" s="12" t="s">
        <v>45</v>
      </c>
      <c r="C218" s="13" t="n">
        <v>-0.0196684136849505</v>
      </c>
      <c r="D218" s="13" t="n">
        <v>-0.0213582593984769</v>
      </c>
      <c r="E218" s="13" t="n">
        <v>-0.0270258621635871</v>
      </c>
      <c r="F218" s="14" t="n">
        <f aca="false">F217*(1+C218)</f>
        <v>167300.882976665</v>
      </c>
      <c r="G218" s="14" t="n">
        <f aca="false">G217*(1+D218)</f>
        <v>194231.727107039</v>
      </c>
      <c r="H218" s="14" t="n">
        <f aca="false">H217*(1+E218)</f>
        <v>221999.654752272</v>
      </c>
      <c r="I218" s="14" t="n">
        <f aca="false">F218-F217</f>
        <v>-3356.56121069333</v>
      </c>
      <c r="J218" s="14" t="n">
        <f aca="false">G218-G217</f>
        <v>-4238.98903843653</v>
      </c>
      <c r="K218" s="14" t="n">
        <f aca="false">H218-H217</f>
        <v>-6166.3839113343</v>
      </c>
    </row>
    <row r="219" customFormat="false" ht="15" hidden="false" customHeight="false" outlineLevel="0" collapsed="false">
      <c r="A219" s="11" t="n">
        <v>46240</v>
      </c>
      <c r="B219" s="12" t="s">
        <v>39</v>
      </c>
      <c r="C219" s="13" t="n">
        <v>0.00177200121889098</v>
      </c>
      <c r="D219" s="13" t="n">
        <v>-0.00337424334935166</v>
      </c>
      <c r="E219" s="13" t="n">
        <v>-0.0136935799451313</v>
      </c>
      <c r="F219" s="14" t="n">
        <f aca="false">F218*(1+C219)</f>
        <v>167597.340345221</v>
      </c>
      <c r="G219" s="14" t="n">
        <f aca="false">G218*(1+D219)</f>
        <v>193576.341993615</v>
      </c>
      <c r="H219" s="14" t="n">
        <f aca="false">H218*(1+E219)</f>
        <v>218959.68473213</v>
      </c>
      <c r="I219" s="14" t="n">
        <f aca="false">F219-F218</f>
        <v>296.457368556206</v>
      </c>
      <c r="J219" s="14" t="n">
        <f aca="false">G219-G218</f>
        <v>-655.38511342401</v>
      </c>
      <c r="K219" s="14" t="n">
        <f aca="false">H219-H218</f>
        <v>-3039.9700201418</v>
      </c>
    </row>
    <row r="220" customFormat="false" ht="15" hidden="false" customHeight="false" outlineLevel="0" collapsed="false">
      <c r="A220" s="11" t="n">
        <v>46241</v>
      </c>
      <c r="B220" s="12" t="s">
        <v>40</v>
      </c>
      <c r="C220" s="13" t="n">
        <v>-0.0117518623633503</v>
      </c>
      <c r="D220" s="13" t="n">
        <v>-0.0180524622508358</v>
      </c>
      <c r="E220" s="13" t="n">
        <v>-0.0250739036057239</v>
      </c>
      <c r="F220" s="14" t="n">
        <f aca="false">F219*(1+C220)</f>
        <v>165627.759469021</v>
      </c>
      <c r="G220" s="14" t="n">
        <f aca="false">G219*(1+D220)</f>
        <v>190081.812387121</v>
      </c>
      <c r="H220" s="14" t="n">
        <f aca="false">H219*(1+E220)</f>
        <v>213469.510703617</v>
      </c>
      <c r="I220" s="14" t="n">
        <f aca="false">F220-F219</f>
        <v>-1969.58087620063</v>
      </c>
      <c r="J220" s="14" t="n">
        <f aca="false">G220-G219</f>
        <v>-3494.52960649462</v>
      </c>
      <c r="K220" s="14" t="n">
        <f aca="false">H220-H219</f>
        <v>-5490.17402851314</v>
      </c>
    </row>
    <row r="221" customFormat="false" ht="15" hidden="false" customHeight="false" outlineLevel="0" collapsed="false">
      <c r="A221" s="11" t="n">
        <v>46242</v>
      </c>
      <c r="B221" s="12" t="s">
        <v>41</v>
      </c>
      <c r="C221" s="13" t="n">
        <v>0.0396898511515171</v>
      </c>
      <c r="D221" s="13" t="n">
        <v>0.0500009116189396</v>
      </c>
      <c r="E221" s="13" t="n">
        <v>0.0674715417511163</v>
      </c>
      <c r="F221" s="14" t="n">
        <f aca="false">F220*(1+C221)</f>
        <v>172201.500588905</v>
      </c>
      <c r="G221" s="14" t="n">
        <f aca="false">G220*(1+D221)</f>
        <v>199586.076288657</v>
      </c>
      <c r="H221" s="14" t="n">
        <f aca="false">H220*(1+E221)</f>
        <v>227872.627707647</v>
      </c>
      <c r="I221" s="14" t="n">
        <f aca="false">F221-F220</f>
        <v>6573.74111988471</v>
      </c>
      <c r="J221" s="14" t="n">
        <f aca="false">G221-G220</f>
        <v>9504.26390153627</v>
      </c>
      <c r="K221" s="14" t="n">
        <f aca="false">H221-H220</f>
        <v>14403.1170040295</v>
      </c>
    </row>
    <row r="222" customFormat="false" ht="15" hidden="false" customHeight="false" outlineLevel="0" collapsed="false">
      <c r="A222" s="11" t="n">
        <v>46243</v>
      </c>
      <c r="B222" s="12" t="s">
        <v>42</v>
      </c>
      <c r="C222" s="13" t="n">
        <v>0.0523348876176394</v>
      </c>
      <c r="D222" s="13" t="n">
        <v>0.0452215214097738</v>
      </c>
      <c r="E222" s="13" t="n">
        <v>0.0535883870744757</v>
      </c>
      <c r="F222" s="14" t="n">
        <f aca="false">F221*(1+C222)</f>
        <v>181213.646769815</v>
      </c>
      <c r="G222" s="14" t="n">
        <f aca="false">G221*(1+D222)</f>
        <v>208611.662310637</v>
      </c>
      <c r="H222" s="14" t="n">
        <f aca="false">H221*(1+E222)</f>
        <v>240083.954284922</v>
      </c>
      <c r="I222" s="14" t="n">
        <f aca="false">F222-F221</f>
        <v>9012.14618090924</v>
      </c>
      <c r="J222" s="14" t="n">
        <f aca="false">G222-G221</f>
        <v>9025.58602198024</v>
      </c>
      <c r="K222" s="14" t="n">
        <f aca="false">H222-H221</f>
        <v>12211.3265772753</v>
      </c>
    </row>
    <row r="223" customFormat="false" ht="15" hidden="false" customHeight="false" outlineLevel="0" collapsed="false">
      <c r="A223" s="11" t="n">
        <v>46244</v>
      </c>
      <c r="B223" s="12" t="s">
        <v>43</v>
      </c>
      <c r="C223" s="13" t="n">
        <v>0.0115138246966706</v>
      </c>
      <c r="D223" s="13" t="n">
        <v>0.0185269394430233</v>
      </c>
      <c r="E223" s="13" t="n">
        <v>0.0195069732860397</v>
      </c>
      <c r="F223" s="14" t="n">
        <f aca="false">F222*(1+C223)</f>
        <v>183300.108931367</v>
      </c>
      <c r="G223" s="14" t="n">
        <f aca="false">G222*(1+D223)</f>
        <v>212476.597945375</v>
      </c>
      <c r="H223" s="14" t="n">
        <f aca="false">H222*(1+E223)</f>
        <v>244767.265567565</v>
      </c>
      <c r="I223" s="14" t="n">
        <f aca="false">F223-F222</f>
        <v>2086.46216155204</v>
      </c>
      <c r="J223" s="14" t="n">
        <f aca="false">G223-G222</f>
        <v>3864.93563473763</v>
      </c>
      <c r="K223" s="14" t="n">
        <f aca="false">H223-H222</f>
        <v>4683.31128264271</v>
      </c>
    </row>
    <row r="224" customFormat="false" ht="15" hidden="false" customHeight="false" outlineLevel="0" collapsed="false">
      <c r="A224" s="11" t="n">
        <v>46245</v>
      </c>
      <c r="B224" s="12" t="s">
        <v>44</v>
      </c>
      <c r="C224" s="13" t="n">
        <v>0.00942716007290001</v>
      </c>
      <c r="D224" s="13" t="n">
        <v>0.00483555595744375</v>
      </c>
      <c r="E224" s="13" t="n">
        <v>0.00359394320300366</v>
      </c>
      <c r="F224" s="14" t="n">
        <f aca="false">F223*(1+C224)</f>
        <v>185028.108399643</v>
      </c>
      <c r="G224" s="14" t="n">
        <f aca="false">G223*(1+D224)</f>
        <v>213504.040424387</v>
      </c>
      <c r="H224" s="14" t="n">
        <f aca="false">H223*(1+E224)</f>
        <v>245646.945217969</v>
      </c>
      <c r="I224" s="14" t="n">
        <f aca="false">F224-F223</f>
        <v>1727.99946827599</v>
      </c>
      <c r="J224" s="14" t="n">
        <f aca="false">G224-G223</f>
        <v>1027.44247901216</v>
      </c>
      <c r="K224" s="14" t="n">
        <f aca="false">H224-H223</f>
        <v>879.679650404345</v>
      </c>
    </row>
    <row r="225" customFormat="false" ht="15" hidden="false" customHeight="false" outlineLevel="0" collapsed="false">
      <c r="A225" s="11" t="n">
        <v>46246</v>
      </c>
      <c r="B225" s="12" t="s">
        <v>45</v>
      </c>
      <c r="C225" s="13" t="n">
        <v>-0.0238540781678028</v>
      </c>
      <c r="D225" s="13" t="n">
        <v>-0.0315144012262778</v>
      </c>
      <c r="E225" s="13" t="n">
        <v>-0.0339632154835022</v>
      </c>
      <c r="F225" s="14" t="n">
        <f aca="false">F224*(1+C225)</f>
        <v>180614.433438637</v>
      </c>
      <c r="G225" s="14" t="n">
        <f aca="false">G224*(1+D225)</f>
        <v>206775.588431021</v>
      </c>
      <c r="H225" s="14" t="n">
        <f aca="false">H224*(1+E225)</f>
        <v>237303.985084667</v>
      </c>
      <c r="I225" s="14" t="n">
        <f aca="false">F225-F224</f>
        <v>-4413.67496100575</v>
      </c>
      <c r="J225" s="14" t="n">
        <f aca="false">G225-G224</f>
        <v>-6728.45199336557</v>
      </c>
      <c r="K225" s="14" t="n">
        <f aca="false">H225-H224</f>
        <v>-8342.96013330194</v>
      </c>
    </row>
    <row r="226" customFormat="false" ht="15" hidden="false" customHeight="false" outlineLevel="0" collapsed="false">
      <c r="A226" s="11" t="n">
        <v>46247</v>
      </c>
      <c r="B226" s="12" t="s">
        <v>39</v>
      </c>
      <c r="C226" s="13" t="n">
        <v>-0.00701505521825235</v>
      </c>
      <c r="D226" s="13" t="n">
        <v>-0.0118582234158273</v>
      </c>
      <c r="E226" s="13" t="n">
        <v>-0.0139832203976162</v>
      </c>
      <c r="F226" s="14" t="n">
        <f aca="false">F225*(1+C226)</f>
        <v>179347.413214851</v>
      </c>
      <c r="G226" s="14" t="n">
        <f aca="false">G225*(1+D226)</f>
        <v>204323.597306467</v>
      </c>
      <c r="H226" s="14" t="n">
        <f aca="false">H225*(1+E226)</f>
        <v>233985.711159995</v>
      </c>
      <c r="I226" s="14" t="n">
        <f aca="false">F226-F225</f>
        <v>-1267.02022378542</v>
      </c>
      <c r="J226" s="14" t="n">
        <f aca="false">G226-G225</f>
        <v>-2451.99112455422</v>
      </c>
      <c r="K226" s="14" t="n">
        <f aca="false">H226-H225</f>
        <v>-3318.27392467152</v>
      </c>
    </row>
    <row r="227" customFormat="false" ht="15" hidden="false" customHeight="false" outlineLevel="0" collapsed="false">
      <c r="A227" s="11" t="n">
        <v>46248</v>
      </c>
      <c r="B227" s="12" t="s">
        <v>40</v>
      </c>
      <c r="C227" s="13" t="n">
        <v>-0.00848379726302656</v>
      </c>
      <c r="D227" s="13" t="n">
        <v>-0.0160184035529852</v>
      </c>
      <c r="E227" s="13" t="n">
        <v>-0.0181705417921448</v>
      </c>
      <c r="F227" s="14" t="n">
        <f aca="false">F226*(1+C227)</f>
        <v>177825.866121488</v>
      </c>
      <c r="G227" s="14" t="n">
        <f aca="false">G226*(1+D227)</f>
        <v>201050.659469414</v>
      </c>
      <c r="H227" s="14" t="n">
        <f aca="false">H226*(1+E227)</f>
        <v>229734.064016598</v>
      </c>
      <c r="I227" s="14" t="n">
        <f aca="false">F227-F226</f>
        <v>-1521.54709336304</v>
      </c>
      <c r="J227" s="14" t="n">
        <f aca="false">G227-G226</f>
        <v>-3272.93783705262</v>
      </c>
      <c r="K227" s="14" t="n">
        <f aca="false">H227-H226</f>
        <v>-4251.64714339742</v>
      </c>
    </row>
    <row r="228" customFormat="false" ht="15" hidden="false" customHeight="false" outlineLevel="0" collapsed="false">
      <c r="A228" s="11" t="n">
        <v>46249</v>
      </c>
      <c r="B228" s="12" t="s">
        <v>41</v>
      </c>
      <c r="C228" s="13" t="n">
        <v>-0.023166542287847</v>
      </c>
      <c r="D228" s="13" t="n">
        <v>-0.024099893049432</v>
      </c>
      <c r="E228" s="13" t="n">
        <v>-0.0246866343215902</v>
      </c>
      <c r="F228" s="14" t="n">
        <f aca="false">F227*(1+C228)</f>
        <v>173706.255674112</v>
      </c>
      <c r="G228" s="14" t="n">
        <f aca="false">G227*(1+D228)</f>
        <v>196205.360078684</v>
      </c>
      <c r="H228" s="14" t="n">
        <f aca="false">H227*(1+E228)</f>
        <v>224062.703187008</v>
      </c>
      <c r="I228" s="14" t="n">
        <f aca="false">F228-F227</f>
        <v>-4119.6104473765</v>
      </c>
      <c r="J228" s="14" t="n">
        <f aca="false">G228-G227</f>
        <v>-4845.29939073065</v>
      </c>
      <c r="K228" s="14" t="n">
        <f aca="false">H228-H227</f>
        <v>-5671.36082959053</v>
      </c>
    </row>
    <row r="229" customFormat="false" ht="15" hidden="false" customHeight="false" outlineLevel="0" collapsed="false">
      <c r="A229" s="11" t="n">
        <v>46250</v>
      </c>
      <c r="B229" s="12" t="s">
        <v>42</v>
      </c>
      <c r="C229" s="13" t="n">
        <v>-0.0239661527821255</v>
      </c>
      <c r="D229" s="13" t="n">
        <v>-0.0368720160417279</v>
      </c>
      <c r="E229" s="13" t="n">
        <v>-0.0474587515039194</v>
      </c>
      <c r="F229" s="14" t="n">
        <f aca="false">F228*(1+C229)</f>
        <v>169543.185011415</v>
      </c>
      <c r="G229" s="14" t="n">
        <f aca="false">G228*(1+D229)</f>
        <v>188970.87289439</v>
      </c>
      <c r="H229" s="14" t="n">
        <f aca="false">H228*(1+E229)</f>
        <v>213428.967035159</v>
      </c>
      <c r="I229" s="14" t="n">
        <f aca="false">F229-F228</f>
        <v>-4163.0706626967</v>
      </c>
      <c r="J229" s="14" t="n">
        <f aca="false">G229-G228</f>
        <v>-7234.48718429421</v>
      </c>
      <c r="K229" s="14" t="n">
        <f aca="false">H229-H228</f>
        <v>-10633.7361518486</v>
      </c>
    </row>
    <row r="230" customFormat="false" ht="15" hidden="false" customHeight="false" outlineLevel="0" collapsed="false">
      <c r="A230" s="11" t="n">
        <v>46251</v>
      </c>
      <c r="B230" s="12" t="s">
        <v>43</v>
      </c>
      <c r="C230" s="13" t="n">
        <v>-0.000251252454468776</v>
      </c>
      <c r="D230" s="13" t="n">
        <v>0.0114771061547047</v>
      </c>
      <c r="E230" s="13" t="n">
        <v>0.0181034706508265</v>
      </c>
      <c r="F230" s="14" t="n">
        <f aca="false">F229*(1+C230)</f>
        <v>169500.586870043</v>
      </c>
      <c r="G230" s="14" t="n">
        <f aca="false">G229*(1+D230)</f>
        <v>191139.711662746</v>
      </c>
      <c r="H230" s="14" t="n">
        <f aca="false">H229*(1+E230)</f>
        <v>217292.772075916</v>
      </c>
      <c r="I230" s="14" t="n">
        <f aca="false">F230-F229</f>
        <v>-42.5981413725822</v>
      </c>
      <c r="J230" s="14" t="n">
        <f aca="false">G230-G229</f>
        <v>2168.83876835613</v>
      </c>
      <c r="K230" s="14" t="n">
        <f aca="false">H230-H229</f>
        <v>3863.80504075723</v>
      </c>
    </row>
    <row r="231" customFormat="false" ht="15" hidden="false" customHeight="false" outlineLevel="0" collapsed="false">
      <c r="A231" s="11" t="n">
        <v>46252</v>
      </c>
      <c r="B231" s="12" t="s">
        <v>44</v>
      </c>
      <c r="C231" s="13" t="n">
        <v>-0.00827028925425766</v>
      </c>
      <c r="D231" s="13" t="n">
        <v>-0.00177169107234496</v>
      </c>
      <c r="E231" s="13" t="n">
        <v>-0.00700367688199041</v>
      </c>
      <c r="F231" s="14" t="n">
        <f aca="false">F230*(1+C231)</f>
        <v>168098.767987861</v>
      </c>
      <c r="G231" s="14" t="n">
        <f aca="false">G230*(1+D231)</f>
        <v>190801.071142022</v>
      </c>
      <c r="H231" s="14" t="n">
        <f aca="false">H230*(1+E231)</f>
        <v>215770.923711504</v>
      </c>
      <c r="I231" s="14" t="n">
        <f aca="false">F231-F230</f>
        <v>-1401.81888218169</v>
      </c>
      <c r="J231" s="14" t="n">
        <f aca="false">G231-G230</f>
        <v>-338.640520723478</v>
      </c>
      <c r="K231" s="14" t="n">
        <f aca="false">H231-H230</f>
        <v>-1521.84836441171</v>
      </c>
    </row>
    <row r="232" customFormat="false" ht="15" hidden="false" customHeight="false" outlineLevel="0" collapsed="false">
      <c r="A232" s="11" t="n">
        <v>46253</v>
      </c>
      <c r="B232" s="12" t="s">
        <v>45</v>
      </c>
      <c r="C232" s="13" t="n">
        <v>-0.052912957533113</v>
      </c>
      <c r="D232" s="13" t="n">
        <v>-0.0633721503087015</v>
      </c>
      <c r="E232" s="13" t="n">
        <v>-0.0496333236548929</v>
      </c>
      <c r="F232" s="14" t="n">
        <f aca="false">F231*(1+C232)</f>
        <v>159204.165015951</v>
      </c>
      <c r="G232" s="14" t="n">
        <f aca="false">G231*(1+D232)</f>
        <v>178709.596982549</v>
      </c>
      <c r="H232" s="14" t="n">
        <f aca="false">H231*(1+E232)</f>
        <v>205061.495619616</v>
      </c>
      <c r="I232" s="14" t="n">
        <f aca="false">F232-F231</f>
        <v>-8894.6029719103</v>
      </c>
      <c r="J232" s="14" t="n">
        <f aca="false">G232-G231</f>
        <v>-12091.4741594735</v>
      </c>
      <c r="K232" s="14" t="n">
        <f aca="false">H232-H231</f>
        <v>-10709.4280918883</v>
      </c>
    </row>
    <row r="233" customFormat="false" ht="15" hidden="false" customHeight="false" outlineLevel="0" collapsed="false">
      <c r="A233" s="11" t="n">
        <v>46254</v>
      </c>
      <c r="B233" s="12" t="s">
        <v>39</v>
      </c>
      <c r="C233" s="13" t="n">
        <v>0.0410302546575556</v>
      </c>
      <c r="D233" s="13" t="n">
        <v>0.0418017553979819</v>
      </c>
      <c r="E233" s="13" t="n">
        <v>0.0365585326973631</v>
      </c>
      <c r="F233" s="14" t="n">
        <f aca="false">F232*(1+C233)</f>
        <v>165736.352449099</v>
      </c>
      <c r="G233" s="14" t="n">
        <f aca="false">G232*(1+D233)</f>
        <v>186179.971842885</v>
      </c>
      <c r="H233" s="14" t="n">
        <f aca="false">H232*(1+E233)</f>
        <v>212558.243012196</v>
      </c>
      <c r="I233" s="14" t="n">
        <f aca="false">F233-F232</f>
        <v>6532.18743314795</v>
      </c>
      <c r="J233" s="14" t="n">
        <f aca="false">G233-G232</f>
        <v>7470.37486033642</v>
      </c>
      <c r="K233" s="14" t="n">
        <f aca="false">H233-H232</f>
        <v>7496.74739257994</v>
      </c>
    </row>
    <row r="234" customFormat="false" ht="15" hidden="false" customHeight="false" outlineLevel="0" collapsed="false">
      <c r="A234" s="11" t="n">
        <v>46255</v>
      </c>
      <c r="B234" s="12" t="s">
        <v>40</v>
      </c>
      <c r="C234" s="13" t="n">
        <v>-0.0193873044608574</v>
      </c>
      <c r="D234" s="13" t="n">
        <v>-0.0122378268219153</v>
      </c>
      <c r="E234" s="13" t="n">
        <v>-0.0204108255952352</v>
      </c>
      <c r="F234" s="14" t="n">
        <f aca="false">F233*(1+C234)</f>
        <v>162523.171323936</v>
      </c>
      <c r="G234" s="14" t="n">
        <f aca="false">G233*(1+D234)</f>
        <v>183901.533589763</v>
      </c>
      <c r="H234" s="14" t="n">
        <f aca="false">H233*(1+E234)</f>
        <v>208219.753785244</v>
      </c>
      <c r="I234" s="14" t="n">
        <f aca="false">F234-F233</f>
        <v>-3213.18112516264</v>
      </c>
      <c r="J234" s="14" t="n">
        <f aca="false">G234-G233</f>
        <v>-2278.43825312229</v>
      </c>
      <c r="K234" s="14" t="n">
        <f aca="false">H234-H233</f>
        <v>-4338.48922695156</v>
      </c>
    </row>
    <row r="235" customFormat="false" ht="15" hidden="false" customHeight="false" outlineLevel="0" collapsed="false">
      <c r="A235" s="11" t="n">
        <v>46256</v>
      </c>
      <c r="B235" s="12" t="s">
        <v>41</v>
      </c>
      <c r="C235" s="13" t="n">
        <v>0.0334160049935377</v>
      </c>
      <c r="D235" s="13" t="n">
        <v>0.0407276748570463</v>
      </c>
      <c r="E235" s="13" t="n">
        <v>0.0523639451950157</v>
      </c>
      <c r="F235" s="14" t="n">
        <f aca="false">F234*(1+C235)</f>
        <v>167954.046428462</v>
      </c>
      <c r="G235" s="14" t="n">
        <f aca="false">G234*(1+D235)</f>
        <v>191391.415455519</v>
      </c>
      <c r="H235" s="14" t="n">
        <f aca="false">H234*(1+E235)</f>
        <v>219122.961560975</v>
      </c>
      <c r="I235" s="14" t="n">
        <f aca="false">F235-F234</f>
        <v>5430.87510452623</v>
      </c>
      <c r="J235" s="14" t="n">
        <f aca="false">G235-G234</f>
        <v>7489.88186575603</v>
      </c>
      <c r="K235" s="14" t="n">
        <f aca="false">H235-H234</f>
        <v>10903.2077757302</v>
      </c>
    </row>
    <row r="236" customFormat="false" ht="15" hidden="false" customHeight="false" outlineLevel="0" collapsed="false">
      <c r="A236" s="11" t="n">
        <v>46257</v>
      </c>
      <c r="B236" s="12" t="s">
        <v>42</v>
      </c>
      <c r="C236" s="13" t="n">
        <v>0.00579204363197294</v>
      </c>
      <c r="D236" s="13" t="n">
        <v>0.0145493827867319</v>
      </c>
      <c r="E236" s="13" t="n">
        <v>0.0195183401754323</v>
      </c>
      <c r="F236" s="14" t="n">
        <f aca="false">F235*(1+C236)</f>
        <v>168926.843593542</v>
      </c>
      <c r="G236" s="14" t="n">
        <f aca="false">G235*(1+D236)</f>
        <v>194176.042421076</v>
      </c>
      <c r="H236" s="14" t="n">
        <f aca="false">H235*(1+E236)</f>
        <v>223399.87806497</v>
      </c>
      <c r="I236" s="14" t="n">
        <f aca="false">F236-F235</f>
        <v>972.797165080061</v>
      </c>
      <c r="J236" s="14" t="n">
        <f aca="false">G236-G235</f>
        <v>2784.62696555676</v>
      </c>
      <c r="K236" s="14" t="n">
        <f aca="false">H236-H235</f>
        <v>4276.91650399525</v>
      </c>
    </row>
    <row r="237" customFormat="false" ht="15" hidden="false" customHeight="false" outlineLevel="0" collapsed="false">
      <c r="A237" s="11" t="n">
        <v>46258</v>
      </c>
      <c r="B237" s="12" t="s">
        <v>43</v>
      </c>
      <c r="C237" s="13" t="n">
        <v>0.00433703339901015</v>
      </c>
      <c r="D237" s="13" t="n">
        <v>0.00972295779756642</v>
      </c>
      <c r="E237" s="13" t="n">
        <v>0.0124417497268834</v>
      </c>
      <c r="F237" s="14" t="n">
        <f aca="false">F236*(1+C237)</f>
        <v>169659.484956197</v>
      </c>
      <c r="G237" s="14" t="n">
        <f aca="false">G236*(1+D237)</f>
        <v>196064.007886834</v>
      </c>
      <c r="H237" s="14" t="n">
        <f aca="false">H236*(1+E237)</f>
        <v>226179.363436871</v>
      </c>
      <c r="I237" s="14" t="n">
        <f aca="false">F237-F236</f>
        <v>732.641362654569</v>
      </c>
      <c r="J237" s="14" t="n">
        <f aca="false">G237-G236</f>
        <v>1887.96546575858</v>
      </c>
      <c r="K237" s="14" t="n">
        <f aca="false">H237-H236</f>
        <v>2779.48537190064</v>
      </c>
    </row>
    <row r="238" customFormat="false" ht="15" hidden="false" customHeight="false" outlineLevel="0" collapsed="false">
      <c r="A238" s="11" t="n">
        <v>46259</v>
      </c>
      <c r="B238" s="12" t="s">
        <v>44</v>
      </c>
      <c r="C238" s="13" t="n">
        <v>0.0174350807505255</v>
      </c>
      <c r="D238" s="13" t="n">
        <v>0.0257956352381439</v>
      </c>
      <c r="E238" s="13" t="n">
        <v>0.033960815751293</v>
      </c>
      <c r="F238" s="14" t="n">
        <f aca="false">F237*(1+C238)</f>
        <v>172617.511776501</v>
      </c>
      <c r="G238" s="14" t="n">
        <f aca="false">G237*(1+D238)</f>
        <v>201121.603517612</v>
      </c>
      <c r="H238" s="14" t="n">
        <f aca="false">H237*(1+E238)</f>
        <v>233860.599125295</v>
      </c>
      <c r="I238" s="14" t="n">
        <f aca="false">F238-F237</f>
        <v>2958.02682030384</v>
      </c>
      <c r="J238" s="14" t="n">
        <f aca="false">G238-G237</f>
        <v>5057.59563077733</v>
      </c>
      <c r="K238" s="14" t="n">
        <f aca="false">H238-H237</f>
        <v>7681.23568842429</v>
      </c>
    </row>
    <row r="239" customFormat="false" ht="15" hidden="false" customHeight="false" outlineLevel="0" collapsed="false">
      <c r="A239" s="11" t="n">
        <v>46260</v>
      </c>
      <c r="B239" s="12" t="s">
        <v>45</v>
      </c>
      <c r="C239" s="13" t="n">
        <v>0.0244516595495312</v>
      </c>
      <c r="D239" s="13" t="n">
        <v>0.0236472278893045</v>
      </c>
      <c r="E239" s="13" t="n">
        <v>0.0299081378870732</v>
      </c>
      <c r="F239" s="14" t="n">
        <f aca="false">F238*(1+C239)</f>
        <v>176838.296406747</v>
      </c>
      <c r="G239" s="14" t="n">
        <f aca="false">G238*(1+D239)</f>
        <v>205877.571909455</v>
      </c>
      <c r="H239" s="14" t="n">
        <f aca="false">H238*(1+E239)</f>
        <v>240854.934170288</v>
      </c>
      <c r="I239" s="14" t="n">
        <f aca="false">F239-F238</f>
        <v>4220.7846302462</v>
      </c>
      <c r="J239" s="14" t="n">
        <f aca="false">G239-G238</f>
        <v>4755.96839184332</v>
      </c>
      <c r="K239" s="14" t="n">
        <f aca="false">H239-H238</f>
        <v>6994.33504499286</v>
      </c>
    </row>
    <row r="240" customFormat="false" ht="15" hidden="false" customHeight="false" outlineLevel="0" collapsed="false">
      <c r="A240" s="11" t="n">
        <v>46261</v>
      </c>
      <c r="B240" s="12" t="s">
        <v>39</v>
      </c>
      <c r="C240" s="13" t="n">
        <v>0.00478542207265842</v>
      </c>
      <c r="D240" s="13" t="n">
        <v>0.00188509771102345</v>
      </c>
      <c r="E240" s="13" t="n">
        <v>0.00277432204064588</v>
      </c>
      <c r="F240" s="14" t="n">
        <f aca="false">F239*(1+C240)</f>
        <v>177684.542293663</v>
      </c>
      <c r="G240" s="14" t="n">
        <f aca="false">G239*(1+D240)</f>
        <v>206265.671249013</v>
      </c>
      <c r="H240" s="14" t="n">
        <f aca="false">H239*(1+E240)</f>
        <v>241523.143322755</v>
      </c>
      <c r="I240" s="14" t="n">
        <f aca="false">F240-F239</f>
        <v>846.245886916149</v>
      </c>
      <c r="J240" s="14" t="n">
        <f aca="false">G240-G239</f>
        <v>388.099339557579</v>
      </c>
      <c r="K240" s="14" t="n">
        <f aca="false">H240-H239</f>
        <v>668.209152466967</v>
      </c>
    </row>
    <row r="241" customFormat="false" ht="15" hidden="false" customHeight="false" outlineLevel="0" collapsed="false">
      <c r="A241" s="11" t="n">
        <v>46262</v>
      </c>
      <c r="B241" s="12" t="s">
        <v>40</v>
      </c>
      <c r="C241" s="13" t="n">
        <v>0.00894700187264275</v>
      </c>
      <c r="D241" s="13" t="n">
        <v>0.0105727774859297</v>
      </c>
      <c r="E241" s="13" t="n">
        <v>0.0152027106144862</v>
      </c>
      <c r="F241" s="14" t="n">
        <f aca="false">F240*(1+C241)</f>
        <v>179274.286226304</v>
      </c>
      <c r="G241" s="14" t="n">
        <f aca="false">G240*(1+D241)</f>
        <v>208446.472294114</v>
      </c>
      <c r="H241" s="14" t="n">
        <f aca="false">H240*(1+E241)</f>
        <v>245194.949777392</v>
      </c>
      <c r="I241" s="14" t="n">
        <f aca="false">F241-F240</f>
        <v>1589.74393264108</v>
      </c>
      <c r="J241" s="14" t="n">
        <f aca="false">G241-G240</f>
        <v>2180.80104510172</v>
      </c>
      <c r="K241" s="14" t="n">
        <f aca="false">H241-H240</f>
        <v>3671.80645463688</v>
      </c>
    </row>
    <row r="242" customFormat="false" ht="15" hidden="false" customHeight="false" outlineLevel="0" collapsed="false">
      <c r="A242" s="11" t="n">
        <v>46263</v>
      </c>
      <c r="B242" s="12" t="s">
        <v>41</v>
      </c>
      <c r="C242" s="13" t="n">
        <v>0.0295075568604359</v>
      </c>
      <c r="D242" s="13" t="n">
        <v>0.0222344416936139</v>
      </c>
      <c r="E242" s="13" t="n">
        <v>0.0302303353479849</v>
      </c>
      <c r="F242" s="14" t="n">
        <f aca="false">F241*(1+C242)</f>
        <v>184564.232420741</v>
      </c>
      <c r="G242" s="14" t="n">
        <f aca="false">G241*(1+D242)</f>
        <v>213081.163228577</v>
      </c>
      <c r="H242" s="14" t="n">
        <f aca="false">H241*(1+E242)</f>
        <v>252607.275334794</v>
      </c>
      <c r="I242" s="14" t="n">
        <f aca="false">F242-F241</f>
        <v>5289.94619443672</v>
      </c>
      <c r="J242" s="14" t="n">
        <f aca="false">G242-G241</f>
        <v>4634.690934463</v>
      </c>
      <c r="K242" s="14" t="n">
        <f aca="false">H242-H241</f>
        <v>7412.32555740286</v>
      </c>
    </row>
    <row r="243" customFormat="false" ht="15" hidden="false" customHeight="false" outlineLevel="0" collapsed="false">
      <c r="A243" s="11" t="n">
        <v>46264</v>
      </c>
      <c r="B243" s="12" t="s">
        <v>42</v>
      </c>
      <c r="C243" s="13" t="n">
        <v>0.0104217568485118</v>
      </c>
      <c r="D243" s="13" t="n">
        <v>0.00701192245573605</v>
      </c>
      <c r="E243" s="13" t="n">
        <v>0.0098292374218905</v>
      </c>
      <c r="F243" s="14" t="n">
        <f aca="false">F242*(1+C243)</f>
        <v>186487.715973962</v>
      </c>
      <c r="G243" s="14" t="n">
        <f aca="false">G242*(1+D243)</f>
        <v>214575.271821914</v>
      </c>
      <c r="H243" s="14" t="n">
        <f aca="false">H242*(1+E243)</f>
        <v>255090.212218557</v>
      </c>
      <c r="I243" s="14" t="n">
        <f aca="false">F243-F242</f>
        <v>1923.48355322119</v>
      </c>
      <c r="J243" s="14" t="n">
        <f aca="false">G243-G242</f>
        <v>1494.10859333683</v>
      </c>
      <c r="K243" s="14" t="n">
        <f aca="false">H243-H242</f>
        <v>2482.93688376254</v>
      </c>
    </row>
    <row r="244" customFormat="false" ht="15" hidden="false" customHeight="false" outlineLevel="0" collapsed="false">
      <c r="A244" s="11" t="n">
        <v>46265</v>
      </c>
      <c r="B244" s="12" t="s">
        <v>43</v>
      </c>
      <c r="C244" s="13" t="n">
        <v>-0.00697137748008081</v>
      </c>
      <c r="D244" s="13" t="n">
        <v>-0.00561918023337719</v>
      </c>
      <c r="E244" s="13" t="n">
        <v>-0.00779638951071038</v>
      </c>
      <c r="F244" s="14" t="n">
        <f aca="false">F243*(1+C244)</f>
        <v>185187.639710509</v>
      </c>
      <c r="G244" s="14" t="n">
        <f aca="false">G243*(1+D244)</f>
        <v>213369.534695921</v>
      </c>
      <c r="H244" s="14" t="n">
        <f aca="false">H243*(1+E244)</f>
        <v>253101.429563731</v>
      </c>
      <c r="I244" s="14" t="n">
        <f aca="false">F244-F243</f>
        <v>-1300.07626345259</v>
      </c>
      <c r="J244" s="14" t="n">
        <f aca="false">G244-G243</f>
        <v>-1205.73712599324</v>
      </c>
      <c r="K244" s="14" t="n">
        <f aca="false">H244-H243</f>
        <v>-1988.78265482566</v>
      </c>
    </row>
    <row r="245" customFormat="false" ht="15" hidden="false" customHeight="false" outlineLevel="0" collapsed="false">
      <c r="A245" s="11" t="n">
        <v>46266</v>
      </c>
      <c r="B245" s="12" t="s">
        <v>44</v>
      </c>
      <c r="C245" s="13" t="n">
        <v>-0.0117151592283578</v>
      </c>
      <c r="D245" s="13" t="n">
        <v>-0.0177454970091354</v>
      </c>
      <c r="E245" s="13" t="n">
        <v>-0.0239738317678481</v>
      </c>
      <c r="F245" s="14" t="n">
        <f aca="false">F244*(1+C245)</f>
        <v>183018.137024177</v>
      </c>
      <c r="G245" s="14" t="n">
        <f aca="false">G244*(1+D245)</f>
        <v>209583.186256134</v>
      </c>
      <c r="H245" s="14" t="n">
        <f aca="false">H244*(1+E245)</f>
        <v>247033.618471169</v>
      </c>
      <c r="I245" s="14" t="n">
        <f aca="false">F245-F244</f>
        <v>-2169.50268633239</v>
      </c>
      <c r="J245" s="14" t="n">
        <f aca="false">G245-G244</f>
        <v>-3786.34843978708</v>
      </c>
      <c r="K245" s="14" t="n">
        <f aca="false">H245-H244</f>
        <v>-6067.81109256277</v>
      </c>
    </row>
    <row r="246" customFormat="false" ht="15" hidden="false" customHeight="false" outlineLevel="0" collapsed="false">
      <c r="A246" s="11" t="n">
        <v>46267</v>
      </c>
      <c r="B246" s="12" t="s">
        <v>45</v>
      </c>
      <c r="C246" s="13" t="n">
        <v>-0.00917343620373906</v>
      </c>
      <c r="D246" s="13" t="n">
        <v>-0.0107880737598025</v>
      </c>
      <c r="E246" s="13" t="n">
        <v>-0.0139029410366946</v>
      </c>
      <c r="F246" s="14" t="n">
        <f aca="false">F245*(1+C246)</f>
        <v>181339.231820059</v>
      </c>
      <c r="G246" s="14" t="n">
        <f aca="false">G245*(1+D246)</f>
        <v>207322.187383988</v>
      </c>
      <c r="H246" s="14" t="n">
        <f aca="false">H245*(1+E246)</f>
        <v>243599.124639483</v>
      </c>
      <c r="I246" s="14" t="n">
        <f aca="false">F246-F245</f>
        <v>-1678.90520411846</v>
      </c>
      <c r="J246" s="14" t="n">
        <f aca="false">G246-G245</f>
        <v>-2260.9988721456</v>
      </c>
      <c r="K246" s="14" t="n">
        <f aca="false">H246-H245</f>
        <v>-3434.49383168595</v>
      </c>
    </row>
    <row r="247" customFormat="false" ht="15" hidden="false" customHeight="false" outlineLevel="0" collapsed="false">
      <c r="A247" s="11" t="n">
        <v>46268</v>
      </c>
      <c r="B247" s="12" t="s">
        <v>39</v>
      </c>
      <c r="C247" s="13" t="n">
        <v>0.0130280516747663</v>
      </c>
      <c r="D247" s="13" t="n">
        <v>0.00470067602800363</v>
      </c>
      <c r="E247" s="13" t="n">
        <v>0.0038260366300732</v>
      </c>
      <c r="F247" s="14" t="n">
        <f aca="false">F246*(1+C247)</f>
        <v>183701.728702873</v>
      </c>
      <c r="G247" s="14" t="n">
        <f aca="false">G246*(1+D247)</f>
        <v>208296.741820297</v>
      </c>
      <c r="H247" s="14" t="n">
        <f aca="false">H246*(1+E247)</f>
        <v>244531.143813407</v>
      </c>
      <c r="I247" s="14" t="n">
        <f aca="false">F247-F246</f>
        <v>2362.49688281416</v>
      </c>
      <c r="J247" s="14" t="n">
        <f aca="false">G247-G246</f>
        <v>974.554436309205</v>
      </c>
      <c r="K247" s="14" t="n">
        <f aca="false">H247-H246</f>
        <v>932.019173924462</v>
      </c>
    </row>
    <row r="248" customFormat="false" ht="15" hidden="false" customHeight="false" outlineLevel="0" collapsed="false">
      <c r="A248" s="11" t="n">
        <v>46269</v>
      </c>
      <c r="B248" s="12" t="s">
        <v>40</v>
      </c>
      <c r="C248" s="13" t="n">
        <v>0.0165110458756825</v>
      </c>
      <c r="D248" s="13" t="n">
        <v>0.0101942141392906</v>
      </c>
      <c r="E248" s="13" t="n">
        <v>0.0147055113855972</v>
      </c>
      <c r="F248" s="14" t="n">
        <f aca="false">F247*(1+C248)</f>
        <v>186734.836372928</v>
      </c>
      <c r="G248" s="14" t="n">
        <f aca="false">G247*(1+D248)</f>
        <v>210420.16341093</v>
      </c>
      <c r="H248" s="14" t="n">
        <f aca="false">H247*(1+E248)</f>
        <v>248127.099332888</v>
      </c>
      <c r="I248" s="14" t="n">
        <f aca="false">F248-F247</f>
        <v>3033.10767005532</v>
      </c>
      <c r="J248" s="14" t="n">
        <f aca="false">G248-G247</f>
        <v>2123.42159063264</v>
      </c>
      <c r="K248" s="14" t="n">
        <f aca="false">H248-H247</f>
        <v>3595.95551948115</v>
      </c>
    </row>
    <row r="249" customFormat="false" ht="15" hidden="false" customHeight="false" outlineLevel="0" collapsed="false">
      <c r="A249" s="11" t="n">
        <v>46270</v>
      </c>
      <c r="B249" s="12" t="s">
        <v>41</v>
      </c>
      <c r="C249" s="13" t="n">
        <v>-0.0014820542224489</v>
      </c>
      <c r="D249" s="13" t="n">
        <v>-0.00368779919738551</v>
      </c>
      <c r="E249" s="13" t="n">
        <v>-0.00595515935400127</v>
      </c>
      <c r="F249" s="14" t="n">
        <f aca="false">F248*(1+C249)</f>
        <v>186458.085220203</v>
      </c>
      <c r="G249" s="14" t="n">
        <f aca="false">G248*(1+D249)</f>
        <v>209644.176101189</v>
      </c>
      <c r="H249" s="14" t="n">
        <f aca="false">H248*(1+E249)</f>
        <v>246649.462916315</v>
      </c>
      <c r="I249" s="14" t="n">
        <f aca="false">F249-F248</f>
        <v>-276.751152724813</v>
      </c>
      <c r="J249" s="14" t="n">
        <f aca="false">G249-G248</f>
        <v>-775.987309740565</v>
      </c>
      <c r="K249" s="14" t="n">
        <f aca="false">H249-H248</f>
        <v>-1477.63641657346</v>
      </c>
    </row>
    <row r="250" customFormat="false" ht="15" hidden="false" customHeight="false" outlineLevel="0" collapsed="false">
      <c r="A250" s="11" t="n">
        <v>46271</v>
      </c>
      <c r="B250" s="12" t="s">
        <v>42</v>
      </c>
      <c r="C250" s="13" t="n">
        <v>0.0147728087173069</v>
      </c>
      <c r="D250" s="13" t="n">
        <v>0.0131103905266401</v>
      </c>
      <c r="E250" s="13" t="n">
        <v>0.0178419948515768</v>
      </c>
      <c r="F250" s="14" t="n">
        <f aca="false">F249*(1+C250)</f>
        <v>189212.594846957</v>
      </c>
      <c r="G250" s="14" t="n">
        <f aca="false">G249*(1+D250)</f>
        <v>212392.693121512</v>
      </c>
      <c r="H250" s="14" t="n">
        <f aca="false">H249*(1+E250)</f>
        <v>251050.181363812</v>
      </c>
      <c r="I250" s="14" t="n">
        <f aca="false">F250-F249</f>
        <v>2754.50962675337</v>
      </c>
      <c r="J250" s="14" t="n">
        <f aca="false">G250-G249</f>
        <v>2748.5170203223</v>
      </c>
      <c r="K250" s="14" t="n">
        <f aca="false">H250-H249</f>
        <v>4400.71844749709</v>
      </c>
    </row>
    <row r="251" customFormat="false" ht="15" hidden="false" customHeight="false" outlineLevel="0" collapsed="false">
      <c r="A251" s="11" t="n">
        <v>46272</v>
      </c>
      <c r="B251" s="12" t="s">
        <v>43</v>
      </c>
      <c r="C251" s="13" t="n">
        <v>0.0124168221582451</v>
      </c>
      <c r="D251" s="13" t="n">
        <v>0.00328868691824615</v>
      </c>
      <c r="E251" s="13" t="n">
        <v>0.00461109781794024</v>
      </c>
      <c r="F251" s="14" t="n">
        <f aca="false">F250*(1+C251)</f>
        <v>191562.013987271</v>
      </c>
      <c r="G251" s="14" t="n">
        <f aca="false">G250*(1+D251)</f>
        <v>213091.186192912</v>
      </c>
      <c r="H251" s="14" t="n">
        <f aca="false">H250*(1+E251)</f>
        <v>252207.798307292</v>
      </c>
      <c r="I251" s="14" t="n">
        <f aca="false">F251-F250</f>
        <v>2349.41914031474</v>
      </c>
      <c r="J251" s="14" t="n">
        <f aca="false">G251-G250</f>
        <v>698.493071399804</v>
      </c>
      <c r="K251" s="14" t="n">
        <f aca="false">H251-H250</f>
        <v>1157.61694348019</v>
      </c>
    </row>
    <row r="252" customFormat="false" ht="15" hidden="false" customHeight="false" outlineLevel="0" collapsed="false">
      <c r="A252" s="11" t="n">
        <v>46273</v>
      </c>
      <c r="B252" s="12" t="s">
        <v>44</v>
      </c>
      <c r="C252" s="13" t="n">
        <v>-0.00691219567273926</v>
      </c>
      <c r="D252" s="13" t="n">
        <v>-0.00194422793505563</v>
      </c>
      <c r="E252" s="13" t="n">
        <v>-0.00261865526487595</v>
      </c>
      <c r="F252" s="14" t="n">
        <f aca="false">F251*(1+C252)</f>
        <v>190237.899863127</v>
      </c>
      <c r="G252" s="14" t="n">
        <f aca="false">G251*(1+D252)</f>
        <v>212676.888356001</v>
      </c>
      <c r="H252" s="14" t="n">
        <f aca="false">H251*(1+E252)</f>
        <v>251547.353028412</v>
      </c>
      <c r="I252" s="14" t="n">
        <f aca="false">F252-F251</f>
        <v>-1324.11412414405</v>
      </c>
      <c r="J252" s="14" t="n">
        <f aca="false">G252-G251</f>
        <v>-414.297836910409</v>
      </c>
      <c r="K252" s="14" t="n">
        <f aca="false">H252-H251</f>
        <v>-660.445278880157</v>
      </c>
    </row>
    <row r="253" customFormat="false" ht="15" hidden="false" customHeight="false" outlineLevel="0" collapsed="false">
      <c r="A253" s="11" t="n">
        <v>46274</v>
      </c>
      <c r="B253" s="12" t="s">
        <v>45</v>
      </c>
      <c r="C253" s="13" t="n">
        <v>0.0240870462373601</v>
      </c>
      <c r="D253" s="13" t="n">
        <v>0.0212540068156951</v>
      </c>
      <c r="E253" s="13" t="n">
        <v>0.0291220603799595</v>
      </c>
      <c r="F253" s="14" t="n">
        <f aca="false">F252*(1+C253)</f>
        <v>194820.168953229</v>
      </c>
      <c r="G253" s="14" t="n">
        <f aca="false">G252*(1+D253)</f>
        <v>217197.12439066</v>
      </c>
      <c r="H253" s="14" t="n">
        <f aca="false">H252*(1+E253)</f>
        <v>258872.930231724</v>
      </c>
      <c r="I253" s="14" t="n">
        <f aca="false">F253-F252</f>
        <v>4582.26909010144</v>
      </c>
      <c r="J253" s="14" t="n">
        <f aca="false">G253-G252</f>
        <v>4520.23603465926</v>
      </c>
      <c r="K253" s="14" t="n">
        <f aca="false">H253-H252</f>
        <v>7325.57720331242</v>
      </c>
    </row>
    <row r="254" customFormat="false" ht="15" hidden="false" customHeight="false" outlineLevel="0" collapsed="false">
      <c r="A254" s="11" t="n">
        <v>46275</v>
      </c>
      <c r="B254" s="12" t="s">
        <v>39</v>
      </c>
      <c r="C254" s="13" t="n">
        <v>-0.0217741105445364</v>
      </c>
      <c r="D254" s="13" t="n">
        <v>-0.017226225977245</v>
      </c>
      <c r="E254" s="13" t="n">
        <v>-0.0233418126739865</v>
      </c>
      <c r="F254" s="14" t="n">
        <f aca="false">F253*(1+C254)</f>
        <v>190578.133058136</v>
      </c>
      <c r="G254" s="14" t="n">
        <f aca="false">G253*(1+D254)</f>
        <v>213455.637644299</v>
      </c>
      <c r="H254" s="14" t="n">
        <f aca="false">H253*(1+E254)</f>
        <v>252830.366787889</v>
      </c>
      <c r="I254" s="14" t="n">
        <f aca="false">F254-F253</f>
        <v>-4242.03589509285</v>
      </c>
      <c r="J254" s="14" t="n">
        <f aca="false">G254-G253</f>
        <v>-3741.4867463613</v>
      </c>
      <c r="K254" s="14" t="n">
        <f aca="false">H254-H253</f>
        <v>-6042.56344383489</v>
      </c>
    </row>
    <row r="255" customFormat="false" ht="15" hidden="false" customHeight="false" outlineLevel="0" collapsed="false">
      <c r="A255" s="11" t="n">
        <v>46276</v>
      </c>
      <c r="B255" s="12" t="s">
        <v>40</v>
      </c>
      <c r="C255" s="13" t="n">
        <v>0.00544365563619242</v>
      </c>
      <c r="D255" s="13" t="n">
        <v>0.00726758852786875</v>
      </c>
      <c r="E255" s="13" t="n">
        <v>0.0103059342739416</v>
      </c>
      <c r="F255" s="14" t="n">
        <f aca="false">F254*(1+C255)</f>
        <v>191615.574786293</v>
      </c>
      <c r="G255" s="14" t="n">
        <f aca="false">G254*(1+D255)</f>
        <v>215006.945387652</v>
      </c>
      <c r="H255" s="14" t="n">
        <f aca="false">H254*(1+E255)</f>
        <v>255436.019930462</v>
      </c>
      <c r="I255" s="14" t="n">
        <f aca="false">F255-F254</f>
        <v>1037.44172815696</v>
      </c>
      <c r="J255" s="14" t="n">
        <f aca="false">G255-G254</f>
        <v>1551.30774335263</v>
      </c>
      <c r="K255" s="14" t="n">
        <f aca="false">H255-H254</f>
        <v>2605.65314257253</v>
      </c>
    </row>
    <row r="256" customFormat="false" ht="15" hidden="false" customHeight="false" outlineLevel="0" collapsed="false">
      <c r="A256" s="11" t="n">
        <v>46277</v>
      </c>
      <c r="B256" s="12" t="s">
        <v>41</v>
      </c>
      <c r="C256" s="13" t="n">
        <v>0.0274069086953097</v>
      </c>
      <c r="D256" s="13" t="n">
        <v>0.0222944333696111</v>
      </c>
      <c r="E256" s="13" t="n">
        <v>0.0307457371596008</v>
      </c>
      <c r="F256" s="14" t="n">
        <f aca="false">F255*(1+C256)</f>
        <v>196867.16534906</v>
      </c>
      <c r="G256" s="14" t="n">
        <f aca="false">G255*(1+D256)</f>
        <v>219800.4034056</v>
      </c>
      <c r="H256" s="14" t="n">
        <f aca="false">H255*(1+E256)</f>
        <v>263289.588660339</v>
      </c>
      <c r="I256" s="14" t="n">
        <f aca="false">F256-F255</f>
        <v>5251.5905627672</v>
      </c>
      <c r="J256" s="14" t="n">
        <f aca="false">G256-G255</f>
        <v>4793.45801794861</v>
      </c>
      <c r="K256" s="14" t="n">
        <f aca="false">H256-H255</f>
        <v>7853.56872987657</v>
      </c>
    </row>
    <row r="257" customFormat="false" ht="15" hidden="false" customHeight="false" outlineLevel="0" collapsed="false">
      <c r="A257" s="11" t="n">
        <v>46278</v>
      </c>
      <c r="B257" s="12" t="s">
        <v>42</v>
      </c>
      <c r="C257" s="13" t="n">
        <v>0.0432907837490808</v>
      </c>
      <c r="D257" s="13" t="n">
        <v>0.0350030205491128</v>
      </c>
      <c r="E257" s="13" t="n">
        <v>0.0476092141594476</v>
      </c>
      <c r="F257" s="14" t="n">
        <f aca="false">F256*(1+C257)</f>
        <v>205389.699231481</v>
      </c>
      <c r="G257" s="14" t="n">
        <f aca="false">G256*(1+D257)</f>
        <v>227494.08144271</v>
      </c>
      <c r="H257" s="14" t="n">
        <f aca="false">H256*(1+E257)</f>
        <v>275824.599072821</v>
      </c>
      <c r="I257" s="14" t="n">
        <f aca="false">F257-F256</f>
        <v>8522.53388242069</v>
      </c>
      <c r="J257" s="14" t="n">
        <f aca="false">G257-G256</f>
        <v>7693.67803710949</v>
      </c>
      <c r="K257" s="14" t="n">
        <f aca="false">H257-H256</f>
        <v>12535.0104124829</v>
      </c>
    </row>
    <row r="258" customFormat="false" ht="15" hidden="false" customHeight="false" outlineLevel="0" collapsed="false">
      <c r="A258" s="11" t="n">
        <v>46279</v>
      </c>
      <c r="B258" s="12" t="s">
        <v>43</v>
      </c>
      <c r="C258" s="13" t="n">
        <v>0.00747465254925706</v>
      </c>
      <c r="D258" s="13" t="n">
        <v>0.00379634931736311</v>
      </c>
      <c r="E258" s="13" t="n">
        <v>0.00509995157179893</v>
      </c>
      <c r="F258" s="14" t="n">
        <f aca="false">F257*(1+C258)</f>
        <v>206924.915870432</v>
      </c>
      <c r="G258" s="14" t="n">
        <f aca="false">G257*(1+D258)</f>
        <v>228357.728443499</v>
      </c>
      <c r="H258" s="14" t="n">
        <f aca="false">H257*(1+E258)</f>
        <v>277231.291170404</v>
      </c>
      <c r="I258" s="14" t="n">
        <f aca="false">F258-F257</f>
        <v>1535.21663895174</v>
      </c>
      <c r="J258" s="14" t="n">
        <f aca="false">G258-G257</f>
        <v>863.647000789206</v>
      </c>
      <c r="K258" s="14" t="n">
        <f aca="false">H258-H257</f>
        <v>1406.69209758221</v>
      </c>
    </row>
    <row r="259" customFormat="false" ht="15" hidden="false" customHeight="false" outlineLevel="0" collapsed="false">
      <c r="A259" s="11" t="n">
        <v>46280</v>
      </c>
      <c r="B259" s="12" t="s">
        <v>44</v>
      </c>
      <c r="C259" s="13" t="n">
        <v>0.00799739447424452</v>
      </c>
      <c r="D259" s="13" t="n">
        <v>0.00358004549377693</v>
      </c>
      <c r="E259" s="13" t="n">
        <v>0.00512666595127675</v>
      </c>
      <c r="F259" s="14" t="n">
        <f aca="false">F258*(1+C259)</f>
        <v>208579.776049198</v>
      </c>
      <c r="G259" s="14" t="n">
        <f aca="false">G258*(1+D259)</f>
        <v>229175.259500182</v>
      </c>
      <c r="H259" s="14" t="n">
        <f aca="false">H258*(1+E259)</f>
        <v>278652.563391475</v>
      </c>
      <c r="I259" s="14" t="n">
        <f aca="false">F259-F258</f>
        <v>1654.8601787657</v>
      </c>
      <c r="J259" s="14" t="n">
        <f aca="false">G259-G258</f>
        <v>817.531056683278</v>
      </c>
      <c r="K259" s="14" t="n">
        <f aca="false">H259-H258</f>
        <v>1421.27222107182</v>
      </c>
    </row>
    <row r="260" customFormat="false" ht="15" hidden="false" customHeight="false" outlineLevel="0" collapsed="false">
      <c r="A260" s="11" t="n">
        <v>46281</v>
      </c>
      <c r="B260" s="12" t="s">
        <v>45</v>
      </c>
      <c r="C260" s="13" t="n">
        <v>0.0281583958219648</v>
      </c>
      <c r="D260" s="13" t="n">
        <v>0.0240359312621289</v>
      </c>
      <c r="E260" s="13" t="n">
        <v>0.0327157452490582</v>
      </c>
      <c r="F260" s="14" t="n">
        <f aca="false">F259*(1+C260)</f>
        <v>214453.047943648</v>
      </c>
      <c r="G260" s="14" t="n">
        <f aca="false">G259*(1+D260)</f>
        <v>234683.700284509</v>
      </c>
      <c r="H260" s="14" t="n">
        <f aca="false">H259*(1+E260)</f>
        <v>287768.889668388</v>
      </c>
      <c r="I260" s="14" t="n">
        <f aca="false">F260-F259</f>
        <v>5873.27189445013</v>
      </c>
      <c r="J260" s="14" t="n">
        <f aca="false">G260-G259</f>
        <v>5508.44078432696</v>
      </c>
      <c r="K260" s="14" t="n">
        <f aca="false">H260-H259</f>
        <v>9116.32627691253</v>
      </c>
    </row>
    <row r="261" customFormat="false" ht="15" hidden="false" customHeight="false" outlineLevel="0" collapsed="false">
      <c r="A261" s="11" t="n">
        <v>46282</v>
      </c>
      <c r="B261" s="12" t="s">
        <v>39</v>
      </c>
      <c r="C261" s="13" t="n">
        <v>0.00160543550986758</v>
      </c>
      <c r="D261" s="13" t="n">
        <v>0.0114670688840955</v>
      </c>
      <c r="E261" s="13" t="n">
        <v>0.0157526727769504</v>
      </c>
      <c r="F261" s="14" t="n">
        <f aca="false">F260*(1+C261)</f>
        <v>214797.338482016</v>
      </c>
      <c r="G261" s="14" t="n">
        <f aca="false">G260*(1+D261)</f>
        <v>237374.834441646</v>
      </c>
      <c r="H261" s="14" t="n">
        <f aca="false">H260*(1+E261)</f>
        <v>292302.01882272</v>
      </c>
      <c r="I261" s="14" t="n">
        <f aca="false">F261-F260</f>
        <v>344.290538368077</v>
      </c>
      <c r="J261" s="14" t="n">
        <f aca="false">G261-G260</f>
        <v>2691.13415713687</v>
      </c>
      <c r="K261" s="14" t="n">
        <f aca="false">H261-H260</f>
        <v>4533.12915433245</v>
      </c>
    </row>
    <row r="262" customFormat="false" ht="15" hidden="false" customHeight="false" outlineLevel="0" collapsed="false">
      <c r="A262" s="11" t="n">
        <v>46283</v>
      </c>
      <c r="B262" s="12" t="s">
        <v>40</v>
      </c>
      <c r="C262" s="13" t="n">
        <v>0.0119198208278568</v>
      </c>
      <c r="D262" s="13" t="n">
        <v>0.0178291670509469</v>
      </c>
      <c r="E262" s="13" t="n">
        <v>0.023919657755141</v>
      </c>
      <c r="F262" s="14" t="n">
        <f aca="false">F261*(1+C262)</f>
        <v>217357.684271023</v>
      </c>
      <c r="G262" s="14" t="n">
        <f aca="false">G261*(1+D262)</f>
        <v>241607.030018597</v>
      </c>
      <c r="H262" s="14" t="n">
        <f aca="false">H261*(1+E262)</f>
        <v>299293.783074097</v>
      </c>
      <c r="I262" s="14" t="n">
        <f aca="false">F262-F261</f>
        <v>2560.34578900615</v>
      </c>
      <c r="J262" s="14" t="n">
        <f aca="false">G262-G261</f>
        <v>4232.195576951</v>
      </c>
      <c r="K262" s="14" t="n">
        <f aca="false">H262-H261</f>
        <v>6991.76425137627</v>
      </c>
    </row>
    <row r="263" customFormat="false" ht="15" hidden="false" customHeight="false" outlineLevel="0" collapsed="false">
      <c r="A263" s="11" t="n">
        <v>46284</v>
      </c>
      <c r="B263" s="12" t="s">
        <v>41</v>
      </c>
      <c r="C263" s="13" t="n">
        <v>-0.00840431890702559</v>
      </c>
      <c r="D263" s="13" t="n">
        <v>-0.00906517612292229</v>
      </c>
      <c r="E263" s="13" t="n">
        <v>-0.0124284107134336</v>
      </c>
      <c r="F263" s="14" t="n">
        <f aca="false">F262*(1+C263)</f>
        <v>215530.940975516</v>
      </c>
      <c r="G263" s="14" t="n">
        <f aca="false">G262*(1+D263)</f>
        <v>239416.819738942</v>
      </c>
      <c r="H263" s="14" t="n">
        <f aca="false">H262*(1+E263)</f>
        <v>295574.037014075</v>
      </c>
      <c r="I263" s="14" t="n">
        <f aca="false">F263-F262</f>
        <v>-1826.74329550625</v>
      </c>
      <c r="J263" s="14" t="n">
        <f aca="false">G263-G262</f>
        <v>-2190.21027965474</v>
      </c>
      <c r="K263" s="14" t="n">
        <f aca="false">H263-H262</f>
        <v>-3719.74606002215</v>
      </c>
    </row>
    <row r="264" customFormat="false" ht="15" hidden="false" customHeight="false" outlineLevel="0" collapsed="false">
      <c r="A264" s="11" t="n">
        <v>46285</v>
      </c>
      <c r="B264" s="12" t="s">
        <v>42</v>
      </c>
      <c r="C264" s="13" t="n">
        <v>-0.00667600407047453</v>
      </c>
      <c r="D264" s="13" t="n">
        <v>0.00604779724178187</v>
      </c>
      <c r="E264" s="13" t="n">
        <v>0.00828903972934112</v>
      </c>
      <c r="F264" s="14" t="n">
        <f aca="false">F263*(1+C264)</f>
        <v>214092.055536251</v>
      </c>
      <c r="G264" s="14" t="n">
        <f aca="false">G263*(1+D264)</f>
        <v>240864.764120996</v>
      </c>
      <c r="H264" s="14" t="n">
        <f aca="false">H263*(1+E264)</f>
        <v>298024.061949846</v>
      </c>
      <c r="I264" s="14" t="n">
        <f aca="false">F264-F263</f>
        <v>-1438.88543926575</v>
      </c>
      <c r="J264" s="14" t="n">
        <f aca="false">G264-G263</f>
        <v>1447.94438205336</v>
      </c>
      <c r="K264" s="14" t="n">
        <f aca="false">H264-H263</f>
        <v>2450.02493577142</v>
      </c>
    </row>
    <row r="265" customFormat="false" ht="15" hidden="false" customHeight="false" outlineLevel="0" collapsed="false">
      <c r="A265" s="11" t="n">
        <v>46286</v>
      </c>
      <c r="B265" s="12" t="s">
        <v>43</v>
      </c>
      <c r="C265" s="13" t="n">
        <v>-0.036462559652569</v>
      </c>
      <c r="D265" s="13" t="n">
        <v>-0.0099650065175325</v>
      </c>
      <c r="E265" s="13" t="n">
        <v>-0.0134631848146631</v>
      </c>
      <c r="F265" s="14" t="n">
        <f aca="false">F264*(1+C265)</f>
        <v>206285.711190119</v>
      </c>
      <c r="G265" s="14" t="n">
        <f aca="false">G264*(1+D265)</f>
        <v>238464.545176686</v>
      </c>
      <c r="H265" s="14" t="n">
        <f aca="false">H264*(1+E265)</f>
        <v>294011.708924599</v>
      </c>
      <c r="I265" s="14" t="n">
        <f aca="false">F265-F264</f>
        <v>-7806.34434613164</v>
      </c>
      <c r="J265" s="14" t="n">
        <f aca="false">G265-G264</f>
        <v>-2400.21894430966</v>
      </c>
      <c r="K265" s="14" t="n">
        <f aca="false">H265-H264</f>
        <v>-4012.3530252474</v>
      </c>
    </row>
    <row r="266" customFormat="false" ht="15" hidden="false" customHeight="false" outlineLevel="0" collapsed="false">
      <c r="A266" s="11" t="n">
        <v>46287</v>
      </c>
      <c r="B266" s="12" t="s">
        <v>44</v>
      </c>
      <c r="C266" s="13" t="n">
        <v>0.0246055143822558</v>
      </c>
      <c r="D266" s="13" t="n">
        <v>0.0133441555309758</v>
      </c>
      <c r="E266" s="13" t="n">
        <v>0.0181809137622755</v>
      </c>
      <c r="F266" s="14" t="n">
        <f aca="false">F265*(1+C266)</f>
        <v>211361.477223661</v>
      </c>
      <c r="G266" s="14" t="n">
        <f aca="false">G265*(1+D266)</f>
        <v>241646.653156147</v>
      </c>
      <c r="H266" s="14" t="n">
        <f aca="false">H265*(1+E266)</f>
        <v>299357.110449656</v>
      </c>
      <c r="I266" s="14" t="n">
        <f aca="false">F266-F265</f>
        <v>5075.76603354234</v>
      </c>
      <c r="J266" s="14" t="n">
        <f aca="false">G266-G265</f>
        <v>3182.10797946111</v>
      </c>
      <c r="K266" s="14" t="n">
        <f aca="false">H266-H265</f>
        <v>5345.40152505739</v>
      </c>
    </row>
    <row r="267" customFormat="false" ht="15" hidden="false" customHeight="false" outlineLevel="0" collapsed="false">
      <c r="A267" s="11" t="n">
        <v>46288</v>
      </c>
      <c r="B267" s="12" t="s">
        <v>45</v>
      </c>
      <c r="C267" s="13" t="n">
        <v>0.00149058698778359</v>
      </c>
      <c r="D267" s="13" t="n">
        <v>-0.00569612176207819</v>
      </c>
      <c r="E267" s="13" t="n">
        <v>-0.00783932256795051</v>
      </c>
      <c r="F267" s="14" t="n">
        <f aca="false">F266*(1+C267)</f>
        <v>211676.52989133</v>
      </c>
      <c r="G267" s="14" t="n">
        <f aca="false">G266*(1+D267)</f>
        <v>240270.204396371</v>
      </c>
      <c r="H267" s="14" t="n">
        <f aca="false">H266*(1+E267)</f>
        <v>297010.353497832</v>
      </c>
      <c r="I267" s="14" t="n">
        <f aca="false">F267-F266</f>
        <v>315.052667668293</v>
      </c>
      <c r="J267" s="14" t="n">
        <f aca="false">G267-G266</f>
        <v>-1376.4487597761</v>
      </c>
      <c r="K267" s="14" t="n">
        <f aca="false">H267-H266</f>
        <v>-2346.75695182441</v>
      </c>
    </row>
    <row r="268" customFormat="false" ht="15" hidden="false" customHeight="false" outlineLevel="0" collapsed="false">
      <c r="A268" s="11" t="n">
        <v>46289</v>
      </c>
      <c r="B268" s="12" t="s">
        <v>39</v>
      </c>
      <c r="C268" s="13" t="n">
        <v>-0.0449169874852095</v>
      </c>
      <c r="D268" s="13" t="n">
        <v>-0.0336228433300693</v>
      </c>
      <c r="E268" s="13" t="n">
        <v>-0.045973540816404</v>
      </c>
      <c r="F268" s="14" t="n">
        <f aca="false">F267*(1+C268)</f>
        <v>202168.657847288</v>
      </c>
      <c r="G268" s="14" t="n">
        <f aca="false">G267*(1+D268)</f>
        <v>232191.636957068</v>
      </c>
      <c r="H268" s="14" t="n">
        <f aca="false">H267*(1+E268)</f>
        <v>283355.735888404</v>
      </c>
      <c r="I268" s="14" t="n">
        <f aca="false">F268-F267</f>
        <v>-9507.8720440414</v>
      </c>
      <c r="J268" s="14" t="n">
        <f aca="false">G268-G267</f>
        <v>-8078.56743930292</v>
      </c>
      <c r="K268" s="14" t="n">
        <f aca="false">H268-H267</f>
        <v>-13654.6176094271</v>
      </c>
    </row>
    <row r="269" customFormat="false" ht="15" hidden="false" customHeight="false" outlineLevel="0" collapsed="false">
      <c r="A269" s="11" t="n">
        <v>46290</v>
      </c>
      <c r="B269" s="12" t="s">
        <v>40</v>
      </c>
      <c r="C269" s="13" t="n">
        <v>-0.0135664870140251</v>
      </c>
      <c r="D269" s="13" t="n">
        <v>-0.0334516695548391</v>
      </c>
      <c r="E269" s="13" t="n">
        <v>-0.0466731729941886</v>
      </c>
      <c r="F269" s="14" t="n">
        <f aca="false">F268*(1+C269)</f>
        <v>199425.93937596</v>
      </c>
      <c r="G269" s="14" t="n">
        <f aca="false">G268*(1+D269)</f>
        <v>224424.439044183</v>
      </c>
      <c r="H269" s="14" t="n">
        <f aca="false">H268*(1+E269)</f>
        <v>270130.624608389</v>
      </c>
      <c r="I269" s="14" t="n">
        <f aca="false">F269-F268</f>
        <v>-2742.71847132812</v>
      </c>
      <c r="J269" s="14" t="n">
        <f aca="false">G269-G268</f>
        <v>-7767.19791288502</v>
      </c>
      <c r="K269" s="14" t="n">
        <f aca="false">H269-H268</f>
        <v>-13225.1112800151</v>
      </c>
    </row>
    <row r="270" customFormat="false" ht="15" hidden="false" customHeight="false" outlineLevel="0" collapsed="false">
      <c r="A270" s="11" t="n">
        <v>46291</v>
      </c>
      <c r="B270" s="12" t="s">
        <v>41</v>
      </c>
      <c r="C270" s="13" t="n">
        <v>0.0234036025871299</v>
      </c>
      <c r="D270" s="13" t="n">
        <v>0.0463962058046215</v>
      </c>
      <c r="E270" s="13" t="n">
        <v>0.071571440742392</v>
      </c>
      <c r="F270" s="14" t="n">
        <f aca="false">F269*(1+C270)</f>
        <v>204093.22480668</v>
      </c>
      <c r="G270" s="14" t="n">
        <f aca="false">G269*(1+D270)</f>
        <v>234836.881505664</v>
      </c>
      <c r="H270" s="14" t="n">
        <f aca="false">H269*(1+E270)</f>
        <v>289464.262600254</v>
      </c>
      <c r="I270" s="14" t="n">
        <f aca="false">F270-F269</f>
        <v>4667.28543072002</v>
      </c>
      <c r="J270" s="14" t="n">
        <f aca="false">G270-G269</f>
        <v>10412.4424614806</v>
      </c>
      <c r="K270" s="14" t="n">
        <f aca="false">H270-H269</f>
        <v>19333.6379918646</v>
      </c>
    </row>
    <row r="271" customFormat="false" ht="15" hidden="false" customHeight="false" outlineLevel="0" collapsed="false">
      <c r="A271" s="11" t="n">
        <v>46292</v>
      </c>
      <c r="B271" s="12" t="s">
        <v>42</v>
      </c>
      <c r="C271" s="13" t="n">
        <v>-0.00163905070401194</v>
      </c>
      <c r="D271" s="13" t="n">
        <v>-0.0111920089290649</v>
      </c>
      <c r="E271" s="13" t="n">
        <v>-0.0159541959108495</v>
      </c>
      <c r="F271" s="14" t="n">
        <f aca="false">F270*(1+C271)</f>
        <v>203758.705662877</v>
      </c>
      <c r="G271" s="14" t="n">
        <f aca="false">G270*(1+D271)</f>
        <v>232208.585030979</v>
      </c>
      <c r="H271" s="14" t="n">
        <f aca="false">H270*(1+E271)</f>
        <v>284846.09304554</v>
      </c>
      <c r="I271" s="14" t="n">
        <f aca="false">F271-F270</f>
        <v>-334.519143803453</v>
      </c>
      <c r="J271" s="14" t="n">
        <f aca="false">G271-G270</f>
        <v>-2628.29647468514</v>
      </c>
      <c r="K271" s="14" t="n">
        <f aca="false">H271-H270</f>
        <v>-4618.169554714</v>
      </c>
    </row>
    <row r="272" customFormat="false" ht="15" hidden="false" customHeight="false" outlineLevel="0" collapsed="false">
      <c r="A272" s="11" t="n">
        <v>46293</v>
      </c>
      <c r="B272" s="12" t="s">
        <v>43</v>
      </c>
      <c r="C272" s="13" t="n">
        <v>0.00494335919660127</v>
      </c>
      <c r="D272" s="13" t="n">
        <v>0.0107910958000929</v>
      </c>
      <c r="E272" s="13" t="n">
        <v>0.0220389676572582</v>
      </c>
      <c r="F272" s="14" t="n">
        <f aca="false">F271*(1+C272)</f>
        <v>204765.958134403</v>
      </c>
      <c r="G272" s="14" t="n">
        <f aca="false">G271*(1+D272)</f>
        <v>234714.370117652</v>
      </c>
      <c r="H272" s="14" t="n">
        <f aca="false">H271*(1+E272)</f>
        <v>291123.806877467</v>
      </c>
      <c r="I272" s="14" t="n">
        <f aca="false">F272-F271</f>
        <v>1007.25247152615</v>
      </c>
      <c r="J272" s="14" t="n">
        <f aca="false">G272-G271</f>
        <v>2505.78508667334</v>
      </c>
      <c r="K272" s="14" t="n">
        <f aca="false">H272-H271</f>
        <v>6277.71383192699</v>
      </c>
    </row>
    <row r="273" customFormat="false" ht="15" hidden="false" customHeight="false" outlineLevel="0" collapsed="false">
      <c r="A273" s="11" t="n">
        <v>46294</v>
      </c>
      <c r="B273" s="12" t="s">
        <v>44</v>
      </c>
      <c r="C273" s="13" t="n">
        <v>0.0201548464830035</v>
      </c>
      <c r="D273" s="13" t="n">
        <v>0.0113285092283878</v>
      </c>
      <c r="E273" s="13" t="n">
        <v>0.0155530739132622</v>
      </c>
      <c r="F273" s="14" t="n">
        <f aca="false">F272*(1+C273)</f>
        <v>208892.984585547</v>
      </c>
      <c r="G273" s="14" t="n">
        <f aca="false">G272*(1+D273)</f>
        <v>237373.334025565</v>
      </c>
      <c r="H273" s="14" t="n">
        <f aca="false">H272*(1+E273)</f>
        <v>295651.676963742</v>
      </c>
      <c r="I273" s="14" t="n">
        <f aca="false">F273-F272</f>
        <v>4127.02645114399</v>
      </c>
      <c r="J273" s="14" t="n">
        <f aca="false">G273-G272</f>
        <v>2658.96390791307</v>
      </c>
      <c r="K273" s="14" t="n">
        <f aca="false">H273-H272</f>
        <v>4527.87008627551</v>
      </c>
    </row>
    <row r="274" customFormat="false" ht="15" hidden="false" customHeight="false" outlineLevel="0" collapsed="false">
      <c r="A274" s="11" t="n">
        <v>46295</v>
      </c>
      <c r="B274" s="12" t="s">
        <v>45</v>
      </c>
      <c r="C274" s="13" t="n">
        <v>-0.00794798041770989</v>
      </c>
      <c r="D274" s="13" t="n">
        <v>-0.00292486949005777</v>
      </c>
      <c r="E274" s="13" t="n">
        <v>-0.00412541463424531</v>
      </c>
      <c r="F274" s="14" t="n">
        <f aca="false">F273*(1+C274)</f>
        <v>207232.707234664</v>
      </c>
      <c r="G274" s="14" t="n">
        <f aca="false">G273*(1+D274)</f>
        <v>236679.04800312</v>
      </c>
      <c r="H274" s="14" t="n">
        <f aca="false">H273*(1+E274)</f>
        <v>294431.991208957</v>
      </c>
      <c r="I274" s="14" t="n">
        <f aca="false">F274-F273</f>
        <v>-1660.27735088288</v>
      </c>
      <c r="J274" s="14" t="n">
        <f aca="false">G274-G273</f>
        <v>-694.286022444663</v>
      </c>
      <c r="K274" s="14" t="n">
        <f aca="false">H274-H273</f>
        <v>-1219.68575478537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3" min="2" style="0" width="14"/>
  </cols>
  <sheetData>
    <row r="1" customFormat="false" ht="31.5" hidden="false" customHeight="true" outlineLevel="0" collapsed="false">
      <c r="A1" s="6" t="s">
        <v>46</v>
      </c>
      <c r="B1" s="6" t="s">
        <v>47</v>
      </c>
      <c r="C1" s="6" t="s">
        <v>48</v>
      </c>
      <c r="D1" s="6" t="s">
        <v>29</v>
      </c>
      <c r="E1" s="6" t="s">
        <v>49</v>
      </c>
      <c r="F1" s="6" t="s">
        <v>50</v>
      </c>
      <c r="G1" s="6" t="s">
        <v>51</v>
      </c>
      <c r="H1" s="6" t="s">
        <v>52</v>
      </c>
      <c r="I1" s="6" t="s">
        <v>53</v>
      </c>
      <c r="J1" s="6" t="s">
        <v>54</v>
      </c>
      <c r="K1" s="6" t="s">
        <v>55</v>
      </c>
      <c r="L1" s="6" t="s">
        <v>56</v>
      </c>
      <c r="M1" s="6" t="s">
        <v>57</v>
      </c>
    </row>
    <row r="2" customFormat="false" ht="15" hidden="false" customHeight="false" outlineLevel="0" collapsed="false">
      <c r="A2" s="15" t="s">
        <v>58</v>
      </c>
      <c r="B2" s="16" t="n">
        <f aca="false">Günlük!A2</f>
        <v>46023</v>
      </c>
      <c r="C2" s="16" t="n">
        <f aca="false">Günlük!A5</f>
        <v>46026</v>
      </c>
      <c r="D2" s="15" t="n">
        <v>4</v>
      </c>
      <c r="E2" s="17" t="n">
        <f aca="false">Günlük!F5/Varsayımlar!$B$3-1</f>
        <v>-0.0130528084120205</v>
      </c>
      <c r="F2" s="17" t="n">
        <f aca="false">Günlük!G5/Varsayımlar!$B$3-1</f>
        <v>-0.0145586046005781</v>
      </c>
      <c r="G2" s="17" t="n">
        <f aca="false">Günlük!H5/Varsayımlar!$B$3-1</f>
        <v>-0.0239214621753596</v>
      </c>
      <c r="H2" s="18" t="n">
        <f aca="false">Günlük!F5-Varsayımlar!$B$3</f>
        <v>-652.640420601027</v>
      </c>
      <c r="I2" s="18" t="n">
        <f aca="false">Günlük!G5-Varsayımlar!$B$3</f>
        <v>-727.930230028906</v>
      </c>
      <c r="J2" s="18" t="n">
        <f aca="false">Günlük!H5-Varsayımlar!$B$3</f>
        <v>-1196.07310876798</v>
      </c>
      <c r="K2" s="7" t="n">
        <f aca="false">Günlük!F5</f>
        <v>49347.359579399</v>
      </c>
      <c r="L2" s="7" t="n">
        <f aca="false">Günlük!G5</f>
        <v>49272.0697699711</v>
      </c>
      <c r="M2" s="7" t="n">
        <f aca="false">Günlük!H5</f>
        <v>48803.926891232</v>
      </c>
    </row>
    <row r="3" customFormat="false" ht="15" hidden="false" customHeight="false" outlineLevel="0" collapsed="false">
      <c r="A3" s="15" t="s">
        <v>59</v>
      </c>
      <c r="B3" s="16" t="n">
        <f aca="false">Günlük!A6</f>
        <v>46027</v>
      </c>
      <c r="C3" s="16" t="n">
        <f aca="false">Günlük!A12</f>
        <v>46033</v>
      </c>
      <c r="D3" s="15" t="n">
        <v>7</v>
      </c>
      <c r="E3" s="17" t="n">
        <f aca="false">Günlük!F12/Günlük!F5-1</f>
        <v>0.0855640786010963</v>
      </c>
      <c r="F3" s="17" t="n">
        <f aca="false">Günlük!G12/Günlük!G5-1</f>
        <v>0.102866978477114</v>
      </c>
      <c r="G3" s="17" t="n">
        <f aca="false">Günlük!H12/Günlük!H5-1</f>
        <v>0.108676258269323</v>
      </c>
      <c r="H3" s="18" t="n">
        <f aca="false">Günlük!F12-Günlük!F5</f>
        <v>4222.36135380826</v>
      </c>
      <c r="I3" s="18" t="n">
        <f aca="false">Günlük!G12-Günlük!G5</f>
        <v>5068.46894055047</v>
      </c>
      <c r="J3" s="18" t="n">
        <f aca="false">Günlük!H12-Günlük!H5</f>
        <v>5303.82816338872</v>
      </c>
      <c r="K3" s="7" t="n">
        <f aca="false">Günlük!F12</f>
        <v>53569.7209332072</v>
      </c>
      <c r="L3" s="7" t="n">
        <f aca="false">Günlük!G12</f>
        <v>54340.5387105216</v>
      </c>
      <c r="M3" s="7" t="n">
        <f aca="false">Günlük!H12</f>
        <v>54107.7550546207</v>
      </c>
    </row>
    <row r="4" customFormat="false" ht="15" hidden="false" customHeight="false" outlineLevel="0" collapsed="false">
      <c r="A4" s="15" t="s">
        <v>60</v>
      </c>
      <c r="B4" s="16" t="n">
        <f aca="false">Günlük!A13</f>
        <v>46034</v>
      </c>
      <c r="C4" s="16" t="n">
        <f aca="false">Günlük!A19</f>
        <v>46040</v>
      </c>
      <c r="D4" s="15" t="n">
        <v>7</v>
      </c>
      <c r="E4" s="17" t="n">
        <f aca="false">Günlük!F19/Günlük!F12-1</f>
        <v>0.0968048919129545</v>
      </c>
      <c r="F4" s="17" t="n">
        <f aca="false">Günlük!G19/Günlük!G12-1</f>
        <v>0.11356241685675</v>
      </c>
      <c r="G4" s="17" t="n">
        <f aca="false">Günlük!H19/Günlük!H12-1</f>
        <v>0.112846005995574</v>
      </c>
      <c r="H4" s="18" t="n">
        <f aca="false">Günlük!F19-Günlük!F12</f>
        <v>5185.81104474626</v>
      </c>
      <c r="I4" s="18" t="n">
        <f aca="false">Günlük!G19-Günlük!G12</f>
        <v>6171.04290926463</v>
      </c>
      <c r="J4" s="18" t="n">
        <f aca="false">Günlük!H19-Günlük!H12</f>
        <v>6105.84405130079</v>
      </c>
      <c r="K4" s="7" t="n">
        <f aca="false">Günlük!F19</f>
        <v>58755.5319779535</v>
      </c>
      <c r="L4" s="7" t="n">
        <f aca="false">Günlük!G19</f>
        <v>60511.5816197862</v>
      </c>
      <c r="M4" s="7" t="n">
        <f aca="false">Günlük!H19</f>
        <v>60213.5991059215</v>
      </c>
    </row>
    <row r="5" customFormat="false" ht="15" hidden="false" customHeight="false" outlineLevel="0" collapsed="false">
      <c r="A5" s="15" t="s">
        <v>61</v>
      </c>
      <c r="B5" s="16" t="n">
        <f aca="false">Günlük!A20</f>
        <v>46041</v>
      </c>
      <c r="C5" s="16" t="n">
        <f aca="false">Günlük!A26</f>
        <v>46047</v>
      </c>
      <c r="D5" s="15" t="n">
        <v>7</v>
      </c>
      <c r="E5" s="17" t="n">
        <f aca="false">Günlük!F26/Günlük!F19-1</f>
        <v>0.173032167030563</v>
      </c>
      <c r="F5" s="17" t="n">
        <f aca="false">Günlük!G26/Günlük!G19-1</f>
        <v>0.155049570467794</v>
      </c>
      <c r="G5" s="17" t="n">
        <f aca="false">Günlük!H26/Günlük!H19-1</f>
        <v>0.160868068686151</v>
      </c>
      <c r="H5" s="18" t="n">
        <f aca="false">Günlük!F26-Günlük!F19</f>
        <v>10166.5970231788</v>
      </c>
      <c r="I5" s="18" t="n">
        <f aca="false">Günlük!G26-Günlük!G19</f>
        <v>9382.29473847473</v>
      </c>
      <c r="J5" s="18" t="n">
        <f aca="false">Günlük!H26-Günlük!H19</f>
        <v>9686.44539681175</v>
      </c>
      <c r="K5" s="7" t="n">
        <f aca="false">Günlük!F26</f>
        <v>68922.1290011323</v>
      </c>
      <c r="L5" s="7" t="n">
        <f aca="false">Günlük!G26</f>
        <v>69893.8763582609</v>
      </c>
      <c r="M5" s="7" t="n">
        <f aca="false">Günlük!H26</f>
        <v>69900.0445027333</v>
      </c>
    </row>
    <row r="6" customFormat="false" ht="15" hidden="false" customHeight="false" outlineLevel="0" collapsed="false">
      <c r="A6" s="15" t="s">
        <v>62</v>
      </c>
      <c r="B6" s="16" t="n">
        <f aca="false">Günlük!A27</f>
        <v>46048</v>
      </c>
      <c r="C6" s="16" t="n">
        <f aca="false">Günlük!A33</f>
        <v>46054</v>
      </c>
      <c r="D6" s="15" t="n">
        <v>7</v>
      </c>
      <c r="E6" s="17" t="n">
        <f aca="false">Günlük!F33/Günlük!F26-1</f>
        <v>-0.0017987054186982</v>
      </c>
      <c r="F6" s="17" t="n">
        <f aca="false">Günlük!G33/Günlük!G26-1</f>
        <v>0.00646338383487266</v>
      </c>
      <c r="G6" s="17" t="n">
        <f aca="false">Günlük!H33/Günlük!H26-1</f>
        <v>0.0213834030131539</v>
      </c>
      <c r="H6" s="18" t="n">
        <f aca="false">Günlük!F33-Günlük!F26</f>
        <v>-123.970606902556</v>
      </c>
      <c r="I6" s="18" t="n">
        <f aca="false">Günlük!G33-Günlük!G26</f>
        <v>451.750950610571</v>
      </c>
      <c r="J6" s="18" t="n">
        <f aca="false">Günlük!H33-Günlük!H26</f>
        <v>1494.70082223933</v>
      </c>
      <c r="K6" s="7" t="n">
        <f aca="false">Günlük!F33</f>
        <v>68798.1583942298</v>
      </c>
      <c r="L6" s="7" t="n">
        <f aca="false">Günlük!G33</f>
        <v>70345.6273088715</v>
      </c>
      <c r="M6" s="7" t="n">
        <f aca="false">Günlük!H33</f>
        <v>71394.7453249726</v>
      </c>
    </row>
    <row r="7" customFormat="false" ht="15" hidden="false" customHeight="false" outlineLevel="0" collapsed="false">
      <c r="A7" s="15" t="s">
        <v>63</v>
      </c>
      <c r="B7" s="16" t="n">
        <f aca="false">Günlük!A34</f>
        <v>46055</v>
      </c>
      <c r="C7" s="16" t="n">
        <f aca="false">Günlük!A40</f>
        <v>46061</v>
      </c>
      <c r="D7" s="15" t="n">
        <v>7</v>
      </c>
      <c r="E7" s="17" t="n">
        <f aca="false">Günlük!F40/Günlük!F33-1</f>
        <v>0.0337108737255898</v>
      </c>
      <c r="F7" s="17" t="n">
        <f aca="false">Günlük!G40/Günlük!G33-1</f>
        <v>0.048832139817341</v>
      </c>
      <c r="G7" s="17" t="n">
        <f aca="false">Günlük!H40/Günlük!H33-1</f>
        <v>0.0635902628846026</v>
      </c>
      <c r="H7" s="18" t="n">
        <f aca="false">Günlük!F40-Günlük!F33</f>
        <v>2319.24603018101</v>
      </c>
      <c r="I7" s="18" t="n">
        <f aca="false">Günlük!G40-Günlük!G33</f>
        <v>3435.12750828537</v>
      </c>
      <c r="J7" s="18" t="n">
        <f aca="false">Günlük!H40-Günlük!H33</f>
        <v>4540.01062379425</v>
      </c>
      <c r="K7" s="7" t="n">
        <f aca="false">Günlük!F40</f>
        <v>71117.4044244108</v>
      </c>
      <c r="L7" s="7" t="n">
        <f aca="false">Günlük!G40</f>
        <v>73780.7548171569</v>
      </c>
      <c r="M7" s="7" t="n">
        <f aca="false">Günlük!H40</f>
        <v>75934.7559487669</v>
      </c>
    </row>
    <row r="8" customFormat="false" ht="15" hidden="false" customHeight="false" outlineLevel="0" collapsed="false">
      <c r="A8" s="15" t="s">
        <v>64</v>
      </c>
      <c r="B8" s="16" t="n">
        <f aca="false">Günlük!A41</f>
        <v>46062</v>
      </c>
      <c r="C8" s="16" t="n">
        <f aca="false">Günlük!A47</f>
        <v>46068</v>
      </c>
      <c r="D8" s="15" t="n">
        <v>7</v>
      </c>
      <c r="E8" s="17" t="n">
        <f aca="false">Günlük!F47/Günlük!F40-1</f>
        <v>0.0404583261784224</v>
      </c>
      <c r="F8" s="17" t="n">
        <f aca="false">Günlük!G47/Günlük!G40-1</f>
        <v>0.0590132821451246</v>
      </c>
      <c r="G8" s="17" t="n">
        <f aca="false">Günlük!H47/Günlük!H40-1</f>
        <v>0.0542129162675313</v>
      </c>
      <c r="H8" s="18" t="n">
        <f aca="false">Günlük!F47-Günlük!F40</f>
        <v>2877.29114516558</v>
      </c>
      <c r="I8" s="18" t="n">
        <f aca="false">Günlük!G47-Günlük!G40</f>
        <v>4354.04450090513</v>
      </c>
      <c r="J8" s="18" t="n">
        <f aca="false">Günlük!H47-Günlük!H40</f>
        <v>4116.64456604593</v>
      </c>
      <c r="K8" s="7" t="n">
        <f aca="false">Günlük!F47</f>
        <v>73994.6955695764</v>
      </c>
      <c r="L8" s="7" t="n">
        <f aca="false">Günlük!G47</f>
        <v>78134.799318062</v>
      </c>
      <c r="M8" s="7" t="n">
        <f aca="false">Günlük!H47</f>
        <v>80051.4005148128</v>
      </c>
    </row>
    <row r="9" customFormat="false" ht="15" hidden="false" customHeight="false" outlineLevel="0" collapsed="false">
      <c r="A9" s="15" t="s">
        <v>65</v>
      </c>
      <c r="B9" s="16" t="n">
        <f aca="false">Günlük!A48</f>
        <v>46069</v>
      </c>
      <c r="C9" s="16" t="n">
        <f aca="false">Günlük!A54</f>
        <v>46075</v>
      </c>
      <c r="D9" s="15" t="n">
        <v>7</v>
      </c>
      <c r="E9" s="17" t="n">
        <f aca="false">Günlük!F54/Günlük!F47-1</f>
        <v>-0.0154980444706586</v>
      </c>
      <c r="F9" s="17" t="n">
        <f aca="false">Günlük!G54/Günlük!G47-1</f>
        <v>-0.00792567989979309</v>
      </c>
      <c r="G9" s="17" t="n">
        <f aca="false">Günlük!H54/Günlük!H47-1</f>
        <v>-0.0119136757226327</v>
      </c>
      <c r="H9" s="18" t="n">
        <f aca="false">Günlük!F54-Günlük!F47</f>
        <v>-1146.77308253014</v>
      </c>
      <c r="I9" s="18" t="n">
        <f aca="false">Günlük!G54-Günlük!G47</f>
        <v>-619.271408429529</v>
      </c>
      <c r="J9" s="18" t="n">
        <f aca="false">Günlük!H54-Günlük!H47</f>
        <v>-953.706426876073</v>
      </c>
      <c r="K9" s="7" t="n">
        <f aca="false">Günlük!F54</f>
        <v>72847.9224870462</v>
      </c>
      <c r="L9" s="7" t="n">
        <f aca="false">Günlük!G54</f>
        <v>77515.5279096325</v>
      </c>
      <c r="M9" s="7" t="n">
        <f aca="false">Günlük!H54</f>
        <v>79097.6940879367</v>
      </c>
    </row>
    <row r="10" customFormat="false" ht="15" hidden="false" customHeight="false" outlineLevel="0" collapsed="false">
      <c r="A10" s="15" t="s">
        <v>66</v>
      </c>
      <c r="B10" s="16" t="n">
        <f aca="false">Günlük!A55</f>
        <v>46076</v>
      </c>
      <c r="C10" s="16" t="n">
        <f aca="false">Günlük!A61</f>
        <v>46082</v>
      </c>
      <c r="D10" s="15" t="n">
        <v>7</v>
      </c>
      <c r="E10" s="17" t="n">
        <f aca="false">Günlük!F61/Günlük!F54-1</f>
        <v>0.123337673068571</v>
      </c>
      <c r="F10" s="17" t="n">
        <f aca="false">Günlük!G61/Günlük!G54-1</f>
        <v>0.14867498012859</v>
      </c>
      <c r="G10" s="17" t="n">
        <f aca="false">Günlük!H61/Günlük!H54-1</f>
        <v>0.157038350786534</v>
      </c>
      <c r="H10" s="18" t="n">
        <f aca="false">Günlük!F61-Günlük!F54</f>
        <v>8984.8932474319</v>
      </c>
      <c r="I10" s="18" t="n">
        <f aca="false">Günlük!G61-Günlük!G54</f>
        <v>11524.6195716218</v>
      </c>
      <c r="J10" s="18" t="n">
        <f aca="false">Günlük!H61-Günlük!H54</f>
        <v>12421.3714305874</v>
      </c>
      <c r="K10" s="7" t="n">
        <f aca="false">Günlük!F61</f>
        <v>81832.8157344781</v>
      </c>
      <c r="L10" s="7" t="n">
        <f aca="false">Günlük!G61</f>
        <v>89040.1474812543</v>
      </c>
      <c r="M10" s="7" t="n">
        <f aca="false">Günlük!H61</f>
        <v>91519.0655185241</v>
      </c>
    </row>
    <row r="11" customFormat="false" ht="15" hidden="false" customHeight="false" outlineLevel="0" collapsed="false">
      <c r="A11" s="15" t="s">
        <v>67</v>
      </c>
      <c r="B11" s="16" t="n">
        <f aca="false">Günlük!A62</f>
        <v>46083</v>
      </c>
      <c r="C11" s="16" t="n">
        <f aca="false">Günlük!A68</f>
        <v>46089</v>
      </c>
      <c r="D11" s="15" t="n">
        <v>7</v>
      </c>
      <c r="E11" s="17" t="n">
        <f aca="false">Günlük!F68/Günlük!F61-1</f>
        <v>0.0559265050625029</v>
      </c>
      <c r="F11" s="17" t="n">
        <f aca="false">Günlük!G68/Günlük!G61-1</f>
        <v>0.0584048416078098</v>
      </c>
      <c r="G11" s="17" t="n">
        <f aca="false">Günlük!H68/Günlük!H61-1</f>
        <v>0.0504953980012299</v>
      </c>
      <c r="H11" s="18" t="n">
        <f aca="false">Günlük!F68-Günlük!F61</f>
        <v>4576.62338345315</v>
      </c>
      <c r="I11" s="18" t="n">
        <f aca="false">Günlük!G68-Günlük!G61</f>
        <v>5200.37571037868</v>
      </c>
      <c r="J11" s="18" t="n">
        <f aca="false">Günlük!H68-Günlük!H61</f>
        <v>4621.29163805851</v>
      </c>
      <c r="K11" s="7" t="n">
        <f aca="false">Günlük!F68</f>
        <v>86409.4391179313</v>
      </c>
      <c r="L11" s="7" t="n">
        <f aca="false">Günlük!G68</f>
        <v>94240.5231916329</v>
      </c>
      <c r="M11" s="7" t="n">
        <f aca="false">Günlük!H68</f>
        <v>96140.3571565826</v>
      </c>
    </row>
    <row r="12" customFormat="false" ht="15" hidden="false" customHeight="false" outlineLevel="0" collapsed="false">
      <c r="A12" s="15" t="s">
        <v>68</v>
      </c>
      <c r="B12" s="16" t="n">
        <f aca="false">Günlük!A69</f>
        <v>46090</v>
      </c>
      <c r="C12" s="16" t="n">
        <f aca="false">Günlük!A75</f>
        <v>46096</v>
      </c>
      <c r="D12" s="15" t="n">
        <v>7</v>
      </c>
      <c r="E12" s="17" t="n">
        <f aca="false">Günlük!F75/Günlük!F68-1</f>
        <v>-0.048037862264289</v>
      </c>
      <c r="F12" s="17" t="n">
        <f aca="false">Günlük!G75/Günlük!G68-1</f>
        <v>-0.0637610217969086</v>
      </c>
      <c r="G12" s="17" t="n">
        <f aca="false">Günlük!H75/Günlük!H68-1</f>
        <v>-0.0612925118269091</v>
      </c>
      <c r="H12" s="18" t="n">
        <f aca="false">Günlük!F75-Günlük!F68</f>
        <v>-4150.92473468164</v>
      </c>
      <c r="I12" s="18" t="n">
        <f aca="false">Günlük!G75-Günlük!G68</f>
        <v>-6008.87205337378</v>
      </c>
      <c r="J12" s="18" t="n">
        <f aca="false">Günlük!H75-Günlük!H68</f>
        <v>-5892.6839780631</v>
      </c>
      <c r="K12" s="7" t="n">
        <f aca="false">Günlük!F75</f>
        <v>82258.5143832496</v>
      </c>
      <c r="L12" s="7" t="n">
        <f aca="false">Günlük!G75</f>
        <v>88231.6511382592</v>
      </c>
      <c r="M12" s="7" t="n">
        <f aca="false">Günlük!H75</f>
        <v>90247.6731785195</v>
      </c>
    </row>
    <row r="13" customFormat="false" ht="15" hidden="false" customHeight="false" outlineLevel="0" collapsed="false">
      <c r="A13" s="15" t="s">
        <v>69</v>
      </c>
      <c r="B13" s="16" t="n">
        <f aca="false">Günlük!A76</f>
        <v>46097</v>
      </c>
      <c r="C13" s="16" t="n">
        <f aca="false">Günlük!A82</f>
        <v>46103</v>
      </c>
      <c r="D13" s="15" t="n">
        <v>7</v>
      </c>
      <c r="E13" s="17" t="n">
        <f aca="false">Günlük!F82/Günlük!F75-1</f>
        <v>0.151032756048614</v>
      </c>
      <c r="F13" s="17" t="n">
        <f aca="false">Günlük!G82/Günlük!G75-1</f>
        <v>0.138017096590326</v>
      </c>
      <c r="G13" s="17" t="n">
        <f aca="false">Günlük!H82/Günlük!H75-1</f>
        <v>0.148740262511514</v>
      </c>
      <c r="H13" s="18" t="n">
        <f aca="false">Günlük!F82-Günlük!F75</f>
        <v>12423.7301357667</v>
      </c>
      <c r="I13" s="18" t="n">
        <f aca="false">Günlük!G82-Günlük!G75</f>
        <v>12177.476317473</v>
      </c>
      <c r="J13" s="18" t="n">
        <f aca="false">Günlük!H82-Günlük!H75</f>
        <v>13423.4625996263</v>
      </c>
      <c r="K13" s="7" t="n">
        <f aca="false">Günlük!F82</f>
        <v>94682.2445190163</v>
      </c>
      <c r="L13" s="7" t="n">
        <f aca="false">Günlük!G82</f>
        <v>100409.127455732</v>
      </c>
      <c r="M13" s="7" t="n">
        <f aca="false">Günlük!H82</f>
        <v>103671.135778146</v>
      </c>
    </row>
    <row r="14" customFormat="false" ht="15" hidden="false" customHeight="false" outlineLevel="0" collapsed="false">
      <c r="A14" s="15" t="s">
        <v>70</v>
      </c>
      <c r="B14" s="16" t="n">
        <f aca="false">Günlük!A83</f>
        <v>46104</v>
      </c>
      <c r="C14" s="16" t="n">
        <f aca="false">Günlük!A89</f>
        <v>46110</v>
      </c>
      <c r="D14" s="15" t="n">
        <v>7</v>
      </c>
      <c r="E14" s="17" t="n">
        <f aca="false">Günlük!F89/Günlük!F82-1</f>
        <v>-0.0175712081789855</v>
      </c>
      <c r="F14" s="17" t="n">
        <f aca="false">Günlük!G89/Günlük!G82-1</f>
        <v>0.0219904980228911</v>
      </c>
      <c r="G14" s="17" t="n">
        <f aca="false">Günlük!H89/Günlük!H82-1</f>
        <v>0.022452498682048</v>
      </c>
      <c r="H14" s="18" t="n">
        <f aca="false">Günlük!F89-Günlük!F82</f>
        <v>-1663.68142929724</v>
      </c>
      <c r="I14" s="18" t="n">
        <f aca="false">Günlük!G89-Günlük!G82</f>
        <v>2208.04671879551</v>
      </c>
      <c r="J14" s="18" t="n">
        <f aca="false">Günlük!H89-Günlük!H82</f>
        <v>2327.67603942523</v>
      </c>
      <c r="K14" s="7" t="n">
        <f aca="false">Günlük!F89</f>
        <v>93018.5630897191</v>
      </c>
      <c r="L14" s="7" t="n">
        <f aca="false">Günlük!G89</f>
        <v>102617.174174528</v>
      </c>
      <c r="M14" s="7" t="n">
        <f aca="false">Günlük!H89</f>
        <v>105998.811817571</v>
      </c>
    </row>
    <row r="15" customFormat="false" ht="15" hidden="false" customHeight="false" outlineLevel="0" collapsed="false">
      <c r="A15" s="15" t="s">
        <v>71</v>
      </c>
      <c r="B15" s="16" t="n">
        <f aca="false">Günlük!A90</f>
        <v>46111</v>
      </c>
      <c r="C15" s="16" t="n">
        <f aca="false">Günlük!A96</f>
        <v>46117</v>
      </c>
      <c r="D15" s="15" t="n">
        <v>7</v>
      </c>
      <c r="E15" s="17" t="n">
        <f aca="false">Günlük!F96/Günlük!F89-1</f>
        <v>-0.0498858462963068</v>
      </c>
      <c r="F15" s="17" t="n">
        <f aca="false">Günlük!G96/Günlük!G89-1</f>
        <v>-0.0633773494397478</v>
      </c>
      <c r="G15" s="17" t="n">
        <f aca="false">Günlük!H96/Günlük!H89-1</f>
        <v>-0.0771924206326565</v>
      </c>
      <c r="H15" s="18" t="n">
        <f aca="false">Günlük!F96-Günlük!F89</f>
        <v>-4640.30974099704</v>
      </c>
      <c r="I15" s="18" t="n">
        <f aca="false">Günlük!G96-Günlük!G89</f>
        <v>-6503.60450617851</v>
      </c>
      <c r="J15" s="18" t="n">
        <f aca="false">Günlük!H96-Günlük!H89</f>
        <v>-8182.30486838374</v>
      </c>
      <c r="K15" s="7" t="n">
        <f aca="false">Günlük!F96</f>
        <v>88378.2533487221</v>
      </c>
      <c r="L15" s="7" t="n">
        <f aca="false">Günlük!G96</f>
        <v>96113.5696683492</v>
      </c>
      <c r="M15" s="7" t="n">
        <f aca="false">Günlük!H96</f>
        <v>97816.5069491873</v>
      </c>
    </row>
    <row r="16" customFormat="false" ht="15" hidden="false" customHeight="false" outlineLevel="0" collapsed="false">
      <c r="A16" s="15" t="s">
        <v>72</v>
      </c>
      <c r="B16" s="16" t="n">
        <f aca="false">Günlük!A97</f>
        <v>46118</v>
      </c>
      <c r="C16" s="16" t="n">
        <f aca="false">Günlük!A103</f>
        <v>46124</v>
      </c>
      <c r="D16" s="15" t="n">
        <v>7</v>
      </c>
      <c r="E16" s="17" t="n">
        <f aca="false">Günlük!F103/Günlük!F96-1</f>
        <v>0.0151986069240586</v>
      </c>
      <c r="F16" s="17" t="n">
        <f aca="false">Günlük!G103/Günlük!G96-1</f>
        <v>0.0898160618768524</v>
      </c>
      <c r="G16" s="17" t="n">
        <f aca="false">Günlük!H103/Günlük!H96-1</f>
        <v>0.0941388338695823</v>
      </c>
      <c r="H16" s="18" t="n">
        <f aca="false">Günlük!F103-Günlük!F96</f>
        <v>1343.22633328209</v>
      </c>
      <c r="I16" s="18" t="n">
        <f aca="false">Günlük!G103-Günlük!G96</f>
        <v>8632.54232053761</v>
      </c>
      <c r="J16" s="18" t="n">
        <f aca="false">Günlük!H103-Günlük!H96</f>
        <v>9208.33189739239</v>
      </c>
      <c r="K16" s="7" t="n">
        <f aca="false">Günlük!F103</f>
        <v>89721.4796820041</v>
      </c>
      <c r="L16" s="7" t="n">
        <f aca="false">Günlük!G103</f>
        <v>104746.111988887</v>
      </c>
      <c r="M16" s="7" t="n">
        <f aca="false">Günlük!H103</f>
        <v>107024.83884658</v>
      </c>
    </row>
    <row r="17" customFormat="false" ht="15" hidden="false" customHeight="false" outlineLevel="0" collapsed="false">
      <c r="A17" s="15" t="s">
        <v>73</v>
      </c>
      <c r="B17" s="16" t="n">
        <f aca="false">Günlük!A104</f>
        <v>46125</v>
      </c>
      <c r="C17" s="16" t="n">
        <f aca="false">Günlük!A110</f>
        <v>46131</v>
      </c>
      <c r="D17" s="15" t="n">
        <v>7</v>
      </c>
      <c r="E17" s="17" t="n">
        <f aca="false">Günlük!F110/Günlük!F103-1</f>
        <v>0.153938159772247</v>
      </c>
      <c r="F17" s="17" t="n">
        <f aca="false">Günlük!G110/Günlük!G103-1</f>
        <v>0.157832895055132</v>
      </c>
      <c r="G17" s="17" t="n">
        <f aca="false">Günlük!H110/Günlük!H103-1</f>
        <v>0.151357510720693</v>
      </c>
      <c r="H17" s="18" t="n">
        <f aca="false">Günlük!F110-Günlük!F103</f>
        <v>13811.5594742907</v>
      </c>
      <c r="I17" s="18" t="n">
        <f aca="false">Günlük!G110-Günlük!G103</f>
        <v>16532.382100975</v>
      </c>
      <c r="J17" s="18" t="n">
        <f aca="false">Günlük!H110-Günlük!H103</f>
        <v>16199.0131931016</v>
      </c>
      <c r="K17" s="7" t="n">
        <f aca="false">Günlük!F110</f>
        <v>103533.039156295</v>
      </c>
      <c r="L17" s="7" t="n">
        <f aca="false">Günlük!G110</f>
        <v>121278.494089862</v>
      </c>
      <c r="M17" s="7" t="n">
        <f aca="false">Günlük!H110</f>
        <v>123223.852039681</v>
      </c>
    </row>
    <row r="18" customFormat="false" ht="15" hidden="false" customHeight="false" outlineLevel="0" collapsed="false">
      <c r="A18" s="15" t="s">
        <v>74</v>
      </c>
      <c r="B18" s="16" t="n">
        <f aca="false">Günlük!A111</f>
        <v>46132</v>
      </c>
      <c r="C18" s="16" t="n">
        <f aca="false">Günlük!A117</f>
        <v>46138</v>
      </c>
      <c r="D18" s="15" t="n">
        <v>7</v>
      </c>
      <c r="E18" s="17" t="n">
        <f aca="false">Günlük!F117/Günlük!F110-1</f>
        <v>0.0416177481379927</v>
      </c>
      <c r="F18" s="17" t="n">
        <f aca="false">Günlük!G117/Günlük!G110-1</f>
        <v>0.0377673904902793</v>
      </c>
      <c r="G18" s="17" t="n">
        <f aca="false">Günlük!H117/Günlük!H110-1</f>
        <v>0.0373724439272833</v>
      </c>
      <c r="H18" s="18" t="n">
        <f aca="false">Günlük!F117-Günlük!F110</f>
        <v>4308.81194756762</v>
      </c>
      <c r="I18" s="18" t="n">
        <f aca="false">Günlük!G117-Günlük!G110</f>
        <v>4580.37224436486</v>
      </c>
      <c r="J18" s="18" t="n">
        <f aca="false">Günlük!H117-Günlük!H110</f>
        <v>4605.17650085685</v>
      </c>
      <c r="K18" s="7" t="n">
        <f aca="false">Günlük!F117</f>
        <v>107841.851103863</v>
      </c>
      <c r="L18" s="7" t="n">
        <f aca="false">Günlük!G117</f>
        <v>125858.866334227</v>
      </c>
      <c r="M18" s="7" t="n">
        <f aca="false">Günlük!H117</f>
        <v>127829.028540538</v>
      </c>
    </row>
    <row r="19" customFormat="false" ht="15" hidden="false" customHeight="false" outlineLevel="0" collapsed="false">
      <c r="A19" s="15" t="s">
        <v>75</v>
      </c>
      <c r="B19" s="16" t="n">
        <f aca="false">Günlük!A118</f>
        <v>46139</v>
      </c>
      <c r="C19" s="16" t="n">
        <f aca="false">Günlük!A124</f>
        <v>46145</v>
      </c>
      <c r="D19" s="15" t="n">
        <v>7</v>
      </c>
      <c r="E19" s="17" t="n">
        <f aca="false">Günlük!F124/Günlük!F117-1</f>
        <v>0.0692236014356011</v>
      </c>
      <c r="F19" s="17" t="n">
        <f aca="false">Günlük!G124/Günlük!G117-1</f>
        <v>0.0810394764403557</v>
      </c>
      <c r="G19" s="17" t="n">
        <f aca="false">Günlük!H124/Günlük!H117-1</f>
        <v>0.0848402046582373</v>
      </c>
      <c r="H19" s="18" t="n">
        <f aca="false">Günlük!F124-Günlük!F117</f>
        <v>7465.20131889122</v>
      </c>
      <c r="I19" s="18" t="n">
        <f aca="false">Günlük!G124-Günlük!G117</f>
        <v>10199.5366331024</v>
      </c>
      <c r="J19" s="18" t="n">
        <f aca="false">Günlük!H124-Günlük!H117</f>
        <v>10845.0409426429</v>
      </c>
      <c r="K19" s="7" t="n">
        <f aca="false">Günlük!F124</f>
        <v>115307.052422754</v>
      </c>
      <c r="L19" s="7" t="n">
        <f aca="false">Günlük!G124</f>
        <v>136058.402967329</v>
      </c>
      <c r="M19" s="7" t="n">
        <f aca="false">Günlük!H124</f>
        <v>138674.069483181</v>
      </c>
    </row>
    <row r="20" customFormat="false" ht="15" hidden="false" customHeight="false" outlineLevel="0" collapsed="false">
      <c r="A20" s="15" t="s">
        <v>76</v>
      </c>
      <c r="B20" s="16" t="n">
        <f aca="false">Günlük!A125</f>
        <v>46146</v>
      </c>
      <c r="C20" s="16" t="n">
        <f aca="false">Günlük!A131</f>
        <v>46152</v>
      </c>
      <c r="D20" s="15" t="n">
        <v>7</v>
      </c>
      <c r="E20" s="17" t="n">
        <f aca="false">Günlük!F131/Günlük!F124-1</f>
        <v>0.0679317048077384</v>
      </c>
      <c r="F20" s="17" t="n">
        <f aca="false">Günlük!G131/Günlük!G124-1</f>
        <v>0.0591769734666523</v>
      </c>
      <c r="G20" s="17" t="n">
        <f aca="false">Günlük!H131/Günlük!H124-1</f>
        <v>0.0508996121096059</v>
      </c>
      <c r="H20" s="18" t="n">
        <f aca="false">Günlük!F131-Günlük!F124</f>
        <v>7833.00464743291</v>
      </c>
      <c r="I20" s="18" t="n">
        <f aca="false">Günlük!G131-Günlük!G124</f>
        <v>8051.52450231274</v>
      </c>
      <c r="J20" s="18" t="n">
        <f aca="false">Günlük!H131-Günlük!H124</f>
        <v>7058.45634635445</v>
      </c>
      <c r="K20" s="7" t="n">
        <f aca="false">Günlük!F131</f>
        <v>123140.057070187</v>
      </c>
      <c r="L20" s="7" t="n">
        <f aca="false">Günlük!G131</f>
        <v>144109.927469642</v>
      </c>
      <c r="M20" s="7" t="n">
        <f aca="false">Günlük!H131</f>
        <v>145732.525829535</v>
      </c>
    </row>
    <row r="21" customFormat="false" ht="15" hidden="false" customHeight="false" outlineLevel="0" collapsed="false">
      <c r="A21" s="15" t="s">
        <v>77</v>
      </c>
      <c r="B21" s="16" t="n">
        <f aca="false">Günlük!A132</f>
        <v>46153</v>
      </c>
      <c r="C21" s="16" t="n">
        <f aca="false">Günlük!A138</f>
        <v>46159</v>
      </c>
      <c r="D21" s="15" t="n">
        <v>7</v>
      </c>
      <c r="E21" s="17" t="n">
        <f aca="false">Günlük!F138/Günlük!F131-1</f>
        <v>-0.0280949855857691</v>
      </c>
      <c r="F21" s="17" t="n">
        <f aca="false">Günlük!G138/Günlük!G131-1</f>
        <v>-0.0227041885446229</v>
      </c>
      <c r="G21" s="17" t="n">
        <f aca="false">Günlük!H138/Günlük!H131-1</f>
        <v>-0.0266230435301223</v>
      </c>
      <c r="H21" s="18" t="n">
        <f aca="false">Günlük!F138-Günlük!F131</f>
        <v>-3459.61812841767</v>
      </c>
      <c r="I21" s="18" t="n">
        <f aca="false">Günlük!G138-Günlük!G131</f>
        <v>-3271.89896442267</v>
      </c>
      <c r="J21" s="18" t="n">
        <f aca="false">Günlük!H138-Günlük!H131</f>
        <v>-3879.8433789144</v>
      </c>
      <c r="K21" s="7" t="n">
        <f aca="false">Günlük!F138</f>
        <v>119680.438941769</v>
      </c>
      <c r="L21" s="7" t="n">
        <f aca="false">Günlük!G138</f>
        <v>140838.028505219</v>
      </c>
      <c r="M21" s="7" t="n">
        <f aca="false">Günlük!H138</f>
        <v>141852.682450621</v>
      </c>
    </row>
    <row r="22" customFormat="false" ht="15" hidden="false" customHeight="false" outlineLevel="0" collapsed="false">
      <c r="A22" s="15" t="s">
        <v>78</v>
      </c>
      <c r="B22" s="16" t="n">
        <f aca="false">Günlük!A139</f>
        <v>46160</v>
      </c>
      <c r="C22" s="16" t="n">
        <f aca="false">Günlük!A145</f>
        <v>46166</v>
      </c>
      <c r="D22" s="15" t="n">
        <v>7</v>
      </c>
      <c r="E22" s="17" t="n">
        <f aca="false">Günlük!F145/Günlük!F138-1</f>
        <v>0.0828124579825793</v>
      </c>
      <c r="F22" s="17" t="n">
        <f aca="false">Günlük!G145/Günlük!G138-1</f>
        <v>0.066431048367124</v>
      </c>
      <c r="G22" s="17" t="n">
        <f aca="false">Günlük!H145/Günlük!H138-1</f>
        <v>0.0878313574153695</v>
      </c>
      <c r="H22" s="18" t="n">
        <f aca="false">Günlük!F145-Günlük!F138</f>
        <v>9911.03132120188</v>
      </c>
      <c r="I22" s="18" t="n">
        <f aca="false">Günlük!G145-Günlük!G138</f>
        <v>9356.01788356059</v>
      </c>
      <c r="J22" s="18" t="n">
        <f aca="false">Günlük!H145-Günlük!H138</f>
        <v>12459.1136526494</v>
      </c>
      <c r="K22" s="7" t="n">
        <f aca="false">Günlük!F145</f>
        <v>129591.470262971</v>
      </c>
      <c r="L22" s="7" t="n">
        <f aca="false">Günlük!G145</f>
        <v>150194.04638878</v>
      </c>
      <c r="M22" s="7" t="n">
        <f aca="false">Günlük!H145</f>
        <v>154311.79610327</v>
      </c>
    </row>
    <row r="23" customFormat="false" ht="15" hidden="false" customHeight="false" outlineLevel="0" collapsed="false">
      <c r="A23" s="15" t="s">
        <v>79</v>
      </c>
      <c r="B23" s="16" t="n">
        <f aca="false">Günlük!A146</f>
        <v>46167</v>
      </c>
      <c r="C23" s="16" t="n">
        <f aca="false">Günlük!A152</f>
        <v>46173</v>
      </c>
      <c r="D23" s="15" t="n">
        <v>7</v>
      </c>
      <c r="E23" s="17" t="n">
        <f aca="false">Günlük!F152/Günlük!F145-1</f>
        <v>0.0221740176405147</v>
      </c>
      <c r="F23" s="17" t="n">
        <f aca="false">Günlük!G152/Günlük!G145-1</f>
        <v>0.0342984264294701</v>
      </c>
      <c r="G23" s="17" t="n">
        <f aca="false">Günlük!H152/Günlük!H145-1</f>
        <v>0.0458046050462264</v>
      </c>
      <c r="H23" s="18" t="n">
        <f aca="false">Günlük!F152-Günlük!F145</f>
        <v>2873.56354767135</v>
      </c>
      <c r="I23" s="18" t="n">
        <f aca="false">Günlük!G152-Günlük!G145</f>
        <v>5151.41945020997</v>
      </c>
      <c r="J23" s="18" t="n">
        <f aca="false">Günlük!H152-Günlük!H145</f>
        <v>7068.19087448414</v>
      </c>
      <c r="K23" s="7" t="n">
        <f aca="false">Günlük!F152</f>
        <v>132465.033810642</v>
      </c>
      <c r="L23" s="7" t="n">
        <f aca="false">Günlük!G152</f>
        <v>155345.46583899</v>
      </c>
      <c r="M23" s="7" t="n">
        <f aca="false">Günlük!H152</f>
        <v>161379.986977755</v>
      </c>
    </row>
    <row r="24" customFormat="false" ht="15" hidden="false" customHeight="false" outlineLevel="0" collapsed="false">
      <c r="A24" s="15" t="s">
        <v>80</v>
      </c>
      <c r="B24" s="16" t="n">
        <f aca="false">Günlük!A153</f>
        <v>46174</v>
      </c>
      <c r="C24" s="16" t="n">
        <f aca="false">Günlük!A159</f>
        <v>46180</v>
      </c>
      <c r="D24" s="15" t="n">
        <v>7</v>
      </c>
      <c r="E24" s="17" t="n">
        <f aca="false">Günlük!F159/Günlük!F152-1</f>
        <v>0.0337672832665079</v>
      </c>
      <c r="F24" s="17" t="n">
        <f aca="false">Günlük!G159/Günlük!G152-1</f>
        <v>0.0736523649241083</v>
      </c>
      <c r="G24" s="17" t="n">
        <f aca="false">Günlük!H159/Günlük!H152-1</f>
        <v>0.0997196394835702</v>
      </c>
      <c r="H24" s="18" t="n">
        <f aca="false">Günlük!F159-Günlük!F152</f>
        <v>4472.98431959152</v>
      </c>
      <c r="I24" s="18" t="n">
        <f aca="false">Günlük!G159-Günlük!G152</f>
        <v>11441.5609392789</v>
      </c>
      <c r="J24" s="18" t="n">
        <f aca="false">Günlük!H159-Günlük!H152</f>
        <v>16092.7541212849</v>
      </c>
      <c r="K24" s="7" t="n">
        <f aca="false">Günlük!F159</f>
        <v>136938.018130234</v>
      </c>
      <c r="L24" s="7" t="n">
        <f aca="false">Günlük!G159</f>
        <v>166787.026778269</v>
      </c>
      <c r="M24" s="7" t="n">
        <f aca="false">Günlük!H159</f>
        <v>177472.74109904</v>
      </c>
    </row>
    <row r="25" customFormat="false" ht="15" hidden="false" customHeight="false" outlineLevel="0" collapsed="false">
      <c r="A25" s="15" t="s">
        <v>81</v>
      </c>
      <c r="B25" s="16" t="n">
        <f aca="false">Günlük!A160</f>
        <v>46181</v>
      </c>
      <c r="C25" s="16" t="n">
        <f aca="false">Günlük!A166</f>
        <v>46187</v>
      </c>
      <c r="D25" s="15" t="n">
        <v>7</v>
      </c>
      <c r="E25" s="17" t="n">
        <f aca="false">Günlük!F166/Günlük!F159-1</f>
        <v>-0.0055321955650447</v>
      </c>
      <c r="F25" s="17" t="n">
        <f aca="false">Günlük!G166/Günlük!G159-1</f>
        <v>-0.0084272671410448</v>
      </c>
      <c r="G25" s="17" t="n">
        <f aca="false">Günlük!H166/Günlük!H159-1</f>
        <v>-0.000136016371438008</v>
      </c>
      <c r="H25" s="18" t="n">
        <f aca="false">Günlük!F166-Günlük!F159</f>
        <v>-757.567896586086</v>
      </c>
      <c r="I25" s="18" t="n">
        <f aca="false">Günlük!G166-Günlük!G159</f>
        <v>-1405.55883032107</v>
      </c>
      <c r="J25" s="18" t="n">
        <f aca="false">Günlük!H166-Günlük!H159</f>
        <v>-24.1391982734494</v>
      </c>
      <c r="K25" s="7" t="n">
        <f aca="false">Günlük!F166</f>
        <v>136180.450233648</v>
      </c>
      <c r="L25" s="7" t="n">
        <f aca="false">Günlük!G166</f>
        <v>165381.467947948</v>
      </c>
      <c r="M25" s="7" t="n">
        <f aca="false">Günlük!H166</f>
        <v>177448.601900766</v>
      </c>
    </row>
    <row r="26" customFormat="false" ht="15" hidden="false" customHeight="false" outlineLevel="0" collapsed="false">
      <c r="A26" s="15" t="s">
        <v>82</v>
      </c>
      <c r="B26" s="16" t="n">
        <f aca="false">Günlük!A167</f>
        <v>46188</v>
      </c>
      <c r="C26" s="16" t="n">
        <f aca="false">Günlük!A173</f>
        <v>46194</v>
      </c>
      <c r="D26" s="15" t="n">
        <v>7</v>
      </c>
      <c r="E26" s="17" t="n">
        <f aca="false">Günlük!F173/Günlük!F166-1</f>
        <v>0.00834951433337272</v>
      </c>
      <c r="F26" s="17" t="n">
        <f aca="false">Günlük!G173/Günlük!G166-1</f>
        <v>0.0199977365978095</v>
      </c>
      <c r="G26" s="17" t="n">
        <f aca="false">Günlük!H173/Günlük!H166-1</f>
        <v>0.0429776806431408</v>
      </c>
      <c r="H26" s="18" t="n">
        <f aca="false">Günlük!F173-Günlük!F166</f>
        <v>1137.04062115098</v>
      </c>
      <c r="I26" s="18" t="n">
        <f aca="false">Günlük!G173-Günlük!G166</f>
        <v>3307.25503418213</v>
      </c>
      <c r="J26" s="18" t="n">
        <f aca="false">Günlük!H173-Günlük!H166</f>
        <v>7626.32934306294</v>
      </c>
      <c r="K26" s="7" t="n">
        <f aca="false">Günlük!F173</f>
        <v>137317.490854799</v>
      </c>
      <c r="L26" s="7" t="n">
        <f aca="false">Günlük!G173</f>
        <v>168688.72298213</v>
      </c>
      <c r="M26" s="7" t="n">
        <f aca="false">Günlük!H173</f>
        <v>185074.931243829</v>
      </c>
    </row>
    <row r="27" customFormat="false" ht="15" hidden="false" customHeight="false" outlineLevel="0" collapsed="false">
      <c r="A27" s="15" t="s">
        <v>83</v>
      </c>
      <c r="B27" s="16" t="n">
        <f aca="false">Günlük!A174</f>
        <v>46195</v>
      </c>
      <c r="C27" s="16" t="n">
        <f aca="false">Günlük!A180</f>
        <v>46201</v>
      </c>
      <c r="D27" s="15" t="n">
        <v>7</v>
      </c>
      <c r="E27" s="17" t="n">
        <f aca="false">Günlük!F180/Günlük!F173-1</f>
        <v>0.119015322033321</v>
      </c>
      <c r="F27" s="17" t="n">
        <f aca="false">Günlük!G180/Günlük!G173-1</f>
        <v>0.071077537549721</v>
      </c>
      <c r="G27" s="17" t="n">
        <f aca="false">Günlük!H180/Günlük!H173-1</f>
        <v>0.0978963294316846</v>
      </c>
      <c r="H27" s="18" t="n">
        <f aca="false">Günlük!F180-Günlük!F173</f>
        <v>16342.8853948915</v>
      </c>
      <c r="I27" s="18" t="n">
        <f aca="false">Günlük!G180-Günlük!G173</f>
        <v>11989.9790419768</v>
      </c>
      <c r="J27" s="18" t="n">
        <f aca="false">Günlük!H180-Günlük!H173</f>
        <v>18118.1564385922</v>
      </c>
      <c r="K27" s="7" t="n">
        <f aca="false">Günlük!F180</f>
        <v>153660.37624969</v>
      </c>
      <c r="L27" s="7" t="n">
        <f aca="false">Günlük!G180</f>
        <v>180678.702024107</v>
      </c>
      <c r="M27" s="7" t="n">
        <f aca="false">Günlük!H180</f>
        <v>203193.087682421</v>
      </c>
    </row>
    <row r="28" customFormat="false" ht="15" hidden="false" customHeight="false" outlineLevel="0" collapsed="false">
      <c r="A28" s="15" t="s">
        <v>84</v>
      </c>
      <c r="B28" s="16" t="n">
        <f aca="false">Günlük!A181</f>
        <v>46202</v>
      </c>
      <c r="C28" s="16" t="n">
        <f aca="false">Günlük!A187</f>
        <v>46208</v>
      </c>
      <c r="D28" s="15" t="n">
        <v>7</v>
      </c>
      <c r="E28" s="17" t="n">
        <f aca="false">Günlük!F187/Günlük!F180-1</f>
        <v>-0.000649612636937524</v>
      </c>
      <c r="F28" s="17" t="n">
        <f aca="false">Günlük!G187/Günlük!G180-1</f>
        <v>0.0385122991300015</v>
      </c>
      <c r="G28" s="17" t="n">
        <f aca="false">Günlük!H187/Günlük!H180-1</f>
        <v>0.0541686785788231</v>
      </c>
      <c r="H28" s="18" t="n">
        <f aca="false">Günlük!F187-Günlük!F180</f>
        <v>-99.8197222083691</v>
      </c>
      <c r="I28" s="18" t="n">
        <f aca="false">Günlük!G187-Günlük!G180</f>
        <v>6958.35221877281</v>
      </c>
      <c r="J28" s="18" t="n">
        <f aca="false">Günlük!H187-Günlük!H180</f>
        <v>11006.7010561077</v>
      </c>
      <c r="K28" s="7" t="n">
        <f aca="false">Günlük!F187</f>
        <v>153560.556527482</v>
      </c>
      <c r="L28" s="7" t="n">
        <f aca="false">Günlük!G187</f>
        <v>187637.054242879</v>
      </c>
      <c r="M28" s="7" t="n">
        <f aca="false">Günlük!H187</f>
        <v>214199.788738529</v>
      </c>
    </row>
    <row r="29" customFormat="false" ht="15" hidden="false" customHeight="false" outlineLevel="0" collapsed="false">
      <c r="A29" s="15" t="s">
        <v>85</v>
      </c>
      <c r="B29" s="16" t="n">
        <f aca="false">Günlük!A188</f>
        <v>46209</v>
      </c>
      <c r="C29" s="16" t="n">
        <f aca="false">Günlük!A194</f>
        <v>46215</v>
      </c>
      <c r="D29" s="15" t="n">
        <v>7</v>
      </c>
      <c r="E29" s="17" t="n">
        <f aca="false">Günlük!F194/Günlük!F187-1</f>
        <v>-0.005437039680248</v>
      </c>
      <c r="F29" s="17" t="n">
        <f aca="false">Günlük!G194/Günlük!G187-1</f>
        <v>-0.0173376376581218</v>
      </c>
      <c r="G29" s="17" t="n">
        <f aca="false">Günlük!H194/Günlük!H187-1</f>
        <v>-0.0339854114578929</v>
      </c>
      <c r="H29" s="18" t="n">
        <f aca="false">Günlük!F194-Günlük!F187</f>
        <v>-834.914839160891</v>
      </c>
      <c r="I29" s="18" t="n">
        <f aca="false">Günlük!G194-Günlük!G187</f>
        <v>-3253.18325770038</v>
      </c>
      <c r="J29" s="18" t="n">
        <f aca="false">Günlük!H194-Günlük!H187</f>
        <v>-7279.66795447265</v>
      </c>
      <c r="K29" s="7" t="n">
        <f aca="false">Günlük!F194</f>
        <v>152725.641688321</v>
      </c>
      <c r="L29" s="7" t="n">
        <f aca="false">Günlük!G194</f>
        <v>184383.870985179</v>
      </c>
      <c r="M29" s="7" t="n">
        <f aca="false">Günlük!H194</f>
        <v>206920.120784056</v>
      </c>
    </row>
    <row r="30" customFormat="false" ht="15" hidden="false" customHeight="false" outlineLevel="0" collapsed="false">
      <c r="A30" s="15" t="s">
        <v>86</v>
      </c>
      <c r="B30" s="16" t="n">
        <f aca="false">Günlük!A195</f>
        <v>46216</v>
      </c>
      <c r="C30" s="16" t="n">
        <f aca="false">Günlük!A201</f>
        <v>46222</v>
      </c>
      <c r="D30" s="15" t="n">
        <v>7</v>
      </c>
      <c r="E30" s="17" t="n">
        <f aca="false">Günlük!F201/Günlük!F194-1</f>
        <v>0.0735996941788759</v>
      </c>
      <c r="F30" s="17" t="n">
        <f aca="false">Günlük!G201/Günlük!G194-1</f>
        <v>0.0512211459112113</v>
      </c>
      <c r="G30" s="17" t="n">
        <f aca="false">Günlük!H201/Günlük!H194-1</f>
        <v>0.0735861184890247</v>
      </c>
      <c r="H30" s="18" t="n">
        <f aca="false">Günlük!F201-Günlük!F194</f>
        <v>11240.560521533</v>
      </c>
      <c r="I30" s="18" t="n">
        <f aca="false">Günlük!G201-Günlük!G194</f>
        <v>9444.35315940582</v>
      </c>
      <c r="J30" s="18" t="n">
        <f aca="false">Günlük!H201-Günlük!H194</f>
        <v>15226.4485257789</v>
      </c>
      <c r="K30" s="7" t="n">
        <f aca="false">Günlük!F201</f>
        <v>163966.202209854</v>
      </c>
      <c r="L30" s="7" t="n">
        <f aca="false">Günlük!G201</f>
        <v>193828.224144585</v>
      </c>
      <c r="M30" s="7" t="n">
        <f aca="false">Günlük!H201</f>
        <v>222146.569309835</v>
      </c>
    </row>
    <row r="31" customFormat="false" ht="15" hidden="false" customHeight="false" outlineLevel="0" collapsed="false">
      <c r="A31" s="15" t="s">
        <v>87</v>
      </c>
      <c r="B31" s="16" t="n">
        <f aca="false">Günlük!A202</f>
        <v>46223</v>
      </c>
      <c r="C31" s="16" t="n">
        <f aca="false">Günlük!A208</f>
        <v>46229</v>
      </c>
      <c r="D31" s="15" t="n">
        <v>7</v>
      </c>
      <c r="E31" s="17" t="n">
        <f aca="false">Günlük!F208/Günlük!F201-1</f>
        <v>0.00235733082021161</v>
      </c>
      <c r="F31" s="17" t="n">
        <f aca="false">Günlük!G208/Günlük!G201-1</f>
        <v>0.00371104298525826</v>
      </c>
      <c r="G31" s="17" t="n">
        <f aca="false">Günlük!H208/Günlük!H201-1</f>
        <v>0.00591790957206428</v>
      </c>
      <c r="H31" s="18" t="n">
        <f aca="false">Günlük!F208-Günlük!F201</f>
        <v>386.522581942321</v>
      </c>
      <c r="I31" s="18" t="n">
        <f aca="false">Günlük!G208-Günlük!G201</f>
        <v>719.304871556844</v>
      </c>
      <c r="J31" s="18" t="n">
        <f aca="false">Günlük!H208-Günlük!H201</f>
        <v>1314.64330891991</v>
      </c>
      <c r="K31" s="7" t="n">
        <f aca="false">Günlük!F208</f>
        <v>164352.724791796</v>
      </c>
      <c r="L31" s="7" t="n">
        <f aca="false">Günlük!G208</f>
        <v>194547.529016142</v>
      </c>
      <c r="M31" s="7" t="n">
        <f aca="false">Günlük!H208</f>
        <v>223461.212618755</v>
      </c>
    </row>
    <row r="32" customFormat="false" ht="15" hidden="false" customHeight="false" outlineLevel="0" collapsed="false">
      <c r="A32" s="15" t="s">
        <v>88</v>
      </c>
      <c r="B32" s="16" t="n">
        <f aca="false">Günlük!A209</f>
        <v>46230</v>
      </c>
      <c r="C32" s="16" t="n">
        <f aca="false">Günlük!A215</f>
        <v>46236</v>
      </c>
      <c r="D32" s="15" t="n">
        <v>7</v>
      </c>
      <c r="E32" s="17" t="n">
        <f aca="false">Günlük!F215/Günlük!F208-1</f>
        <v>0.0317098600834904</v>
      </c>
      <c r="F32" s="17" t="n">
        <f aca="false">Günlük!G215/Günlük!G208-1</f>
        <v>0.0176241922282134</v>
      </c>
      <c r="G32" s="17" t="n">
        <f aca="false">Günlük!H215/Günlük!H208-1</f>
        <v>0.0183628544822632</v>
      </c>
      <c r="H32" s="18" t="n">
        <f aca="false">Günlük!F215-Günlük!F208</f>
        <v>5211.60190748825</v>
      </c>
      <c r="I32" s="18" t="n">
        <f aca="false">Günlük!G215-Günlük!G208</f>
        <v>3428.74304890441</v>
      </c>
      <c r="J32" s="18" t="n">
        <f aca="false">Günlük!H215-Günlük!H208</f>
        <v>4103.38572974829</v>
      </c>
      <c r="K32" s="7" t="n">
        <f aca="false">Günlük!F215</f>
        <v>169564.326699284</v>
      </c>
      <c r="L32" s="7" t="n">
        <f aca="false">Günlük!G215</f>
        <v>197976.272065046</v>
      </c>
      <c r="M32" s="7" t="n">
        <f aca="false">Günlük!H215</f>
        <v>227564.598348503</v>
      </c>
    </row>
    <row r="33" customFormat="false" ht="15" hidden="false" customHeight="false" outlineLevel="0" collapsed="false">
      <c r="A33" s="15" t="s">
        <v>89</v>
      </c>
      <c r="B33" s="16" t="n">
        <f aca="false">Günlük!A216</f>
        <v>46237</v>
      </c>
      <c r="C33" s="16" t="n">
        <f aca="false">Günlük!A222</f>
        <v>46243</v>
      </c>
      <c r="D33" s="15" t="n">
        <v>7</v>
      </c>
      <c r="E33" s="17" t="n">
        <f aca="false">Günlük!F222/Günlük!F215-1</f>
        <v>0.0687014792397331</v>
      </c>
      <c r="F33" s="17" t="n">
        <f aca="false">Günlük!G222/Günlük!G215-1</f>
        <v>0.0537205299132859</v>
      </c>
      <c r="G33" s="17" t="n">
        <f aca="false">Günlük!H222/Günlük!H215-1</f>
        <v>0.0550145146796766</v>
      </c>
      <c r="H33" s="18" t="n">
        <f aca="false">Günlük!F222-Günlük!F215</f>
        <v>11649.3200705302</v>
      </c>
      <c r="I33" s="18" t="n">
        <f aca="false">Günlük!G222-Günlük!G215</f>
        <v>10635.3902455911</v>
      </c>
      <c r="J33" s="18" t="n">
        <f aca="false">Günlük!H222-Günlük!H215</f>
        <v>12519.3559364184</v>
      </c>
      <c r="K33" s="7" t="n">
        <f aca="false">Günlük!F222</f>
        <v>181213.646769815</v>
      </c>
      <c r="L33" s="7" t="n">
        <f aca="false">Günlük!G222</f>
        <v>208611.662310637</v>
      </c>
      <c r="M33" s="7" t="n">
        <f aca="false">Günlük!H222</f>
        <v>240083.954284922</v>
      </c>
    </row>
    <row r="34" customFormat="false" ht="15" hidden="false" customHeight="false" outlineLevel="0" collapsed="false">
      <c r="A34" s="15" t="s">
        <v>90</v>
      </c>
      <c r="B34" s="16" t="n">
        <f aca="false">Günlük!A223</f>
        <v>46244</v>
      </c>
      <c r="C34" s="16" t="n">
        <f aca="false">Günlük!A229</f>
        <v>46250</v>
      </c>
      <c r="D34" s="15" t="n">
        <v>7</v>
      </c>
      <c r="E34" s="17" t="n">
        <f aca="false">Günlük!F229/Günlük!F222-1</f>
        <v>-0.0644016715431135</v>
      </c>
      <c r="F34" s="17" t="n">
        <f aca="false">Günlük!G229/Günlük!G222-1</f>
        <v>-0.0941500067575369</v>
      </c>
      <c r="G34" s="17" t="n">
        <f aca="false">Günlük!H229/Günlük!H222-1</f>
        <v>-0.111023609758318</v>
      </c>
      <c r="H34" s="18" t="n">
        <f aca="false">Günlük!F229-Günlük!F222</f>
        <v>-11670.4617583994</v>
      </c>
      <c r="I34" s="18" t="n">
        <f aca="false">Günlük!G229-Günlük!G222</f>
        <v>-19640.7894162475</v>
      </c>
      <c r="J34" s="18" t="n">
        <f aca="false">Günlük!H229-Günlük!H222</f>
        <v>-26654.987249763</v>
      </c>
      <c r="K34" s="7" t="n">
        <f aca="false">Günlük!F229</f>
        <v>169543.185011415</v>
      </c>
      <c r="L34" s="7" t="n">
        <f aca="false">Günlük!G229</f>
        <v>188970.87289439</v>
      </c>
      <c r="M34" s="7" t="n">
        <f aca="false">Günlük!H229</f>
        <v>213428.967035159</v>
      </c>
    </row>
    <row r="35" customFormat="false" ht="15" hidden="false" customHeight="false" outlineLevel="0" collapsed="false">
      <c r="A35" s="15" t="s">
        <v>91</v>
      </c>
      <c r="B35" s="16" t="n">
        <f aca="false">Günlük!A230</f>
        <v>46251</v>
      </c>
      <c r="C35" s="16" t="n">
        <f aca="false">Günlük!A236</f>
        <v>46257</v>
      </c>
      <c r="D35" s="15" t="n">
        <v>7</v>
      </c>
      <c r="E35" s="17" t="n">
        <f aca="false">Günlük!F236/Günlük!F229-1</f>
        <v>-0.00363530635472875</v>
      </c>
      <c r="F35" s="17" t="n">
        <f aca="false">Günlük!G236/Günlük!G229-1</f>
        <v>0.0275448244851741</v>
      </c>
      <c r="G35" s="17" t="n">
        <f aca="false">Günlük!H236/Günlük!H229-1</f>
        <v>0.0467177027013794</v>
      </c>
      <c r="H35" s="18" t="n">
        <f aca="false">Günlük!F236-Günlük!F229</f>
        <v>-616.341417872958</v>
      </c>
      <c r="I35" s="18" t="n">
        <f aca="false">Günlük!G236-Günlük!G229</f>
        <v>5205.16952668611</v>
      </c>
      <c r="J35" s="18" t="n">
        <f aca="false">Günlük!H236-Günlük!H229</f>
        <v>9970.91102981108</v>
      </c>
      <c r="K35" s="7" t="n">
        <f aca="false">Günlük!F236</f>
        <v>168926.843593542</v>
      </c>
      <c r="L35" s="7" t="n">
        <f aca="false">Günlük!G236</f>
        <v>194176.042421076</v>
      </c>
      <c r="M35" s="7" t="n">
        <f aca="false">Günlük!H236</f>
        <v>223399.87806497</v>
      </c>
    </row>
    <row r="36" customFormat="false" ht="15" hidden="false" customHeight="false" outlineLevel="0" collapsed="false">
      <c r="A36" s="15" t="s">
        <v>92</v>
      </c>
      <c r="B36" s="16" t="n">
        <f aca="false">Günlük!A237</f>
        <v>46258</v>
      </c>
      <c r="C36" s="16" t="n">
        <f aca="false">Günlük!A243</f>
        <v>46264</v>
      </c>
      <c r="D36" s="15" t="n">
        <v>7</v>
      </c>
      <c r="E36" s="17" t="n">
        <f aca="false">Günlük!F243/Günlük!F236-1</f>
        <v>0.103955487516675</v>
      </c>
      <c r="F36" s="17" t="n">
        <f aca="false">Günlük!G243/Günlük!G236-1</f>
        <v>0.10505533610888</v>
      </c>
      <c r="G36" s="17" t="n">
        <f aca="false">Günlük!H243/Günlük!H236-1</f>
        <v>0.141854751345794</v>
      </c>
      <c r="H36" s="18" t="n">
        <f aca="false">Günlük!F243-Günlük!F236</f>
        <v>17560.8723804198</v>
      </c>
      <c r="I36" s="18" t="n">
        <f aca="false">Günlük!G243-Günlük!G236</f>
        <v>20399.2294008383</v>
      </c>
      <c r="J36" s="18" t="n">
        <f aca="false">Günlük!H243-Günlük!H236</f>
        <v>31690.334153587</v>
      </c>
      <c r="K36" s="7" t="n">
        <f aca="false">Günlük!F243</f>
        <v>186487.715973962</v>
      </c>
      <c r="L36" s="7" t="n">
        <f aca="false">Günlük!G243</f>
        <v>214575.271821914</v>
      </c>
      <c r="M36" s="7" t="n">
        <f aca="false">Günlük!H243</f>
        <v>255090.212218557</v>
      </c>
    </row>
    <row r="37" customFormat="false" ht="15" hidden="false" customHeight="false" outlineLevel="0" collapsed="false">
      <c r="A37" s="15" t="s">
        <v>93</v>
      </c>
      <c r="B37" s="16" t="n">
        <f aca="false">Günlük!A244</f>
        <v>46265</v>
      </c>
      <c r="C37" s="16" t="n">
        <f aca="false">Günlük!A250</f>
        <v>46271</v>
      </c>
      <c r="D37" s="15" t="n">
        <v>7</v>
      </c>
      <c r="E37" s="17" t="n">
        <f aca="false">Günlük!F250/Günlük!F243-1</f>
        <v>0.0146115729862606</v>
      </c>
      <c r="F37" s="17" t="n">
        <f aca="false">Günlük!G250/Günlük!G243-1</f>
        <v>-0.0101716226752063</v>
      </c>
      <c r="G37" s="17" t="n">
        <f aca="false">Günlük!H250/Günlük!H243-1</f>
        <v>-0.0158376553126378</v>
      </c>
      <c r="H37" s="18" t="n">
        <f aca="false">Günlük!F250-Günlük!F243</f>
        <v>2724.8788729946</v>
      </c>
      <c r="I37" s="18" t="n">
        <f aca="false">Günlük!G250-Günlük!G243</f>
        <v>-2182.57870040234</v>
      </c>
      <c r="J37" s="18" t="n">
        <f aca="false">Günlük!H250-Günlük!H243</f>
        <v>-4040.03085474513</v>
      </c>
      <c r="K37" s="7" t="n">
        <f aca="false">Günlük!F250</f>
        <v>189212.594846957</v>
      </c>
      <c r="L37" s="7" t="n">
        <f aca="false">Günlük!G250</f>
        <v>212392.693121512</v>
      </c>
      <c r="M37" s="7" t="n">
        <f aca="false">Günlük!H250</f>
        <v>251050.181363812</v>
      </c>
    </row>
    <row r="38" customFormat="false" ht="15" hidden="false" customHeight="false" outlineLevel="0" collapsed="false">
      <c r="A38" s="15" t="s">
        <v>94</v>
      </c>
      <c r="B38" s="16" t="n">
        <f aca="false">Günlük!A251</f>
        <v>46272</v>
      </c>
      <c r="C38" s="16" t="n">
        <f aca="false">Günlük!A257</f>
        <v>46278</v>
      </c>
      <c r="D38" s="15" t="n">
        <v>7</v>
      </c>
      <c r="E38" s="17" t="n">
        <f aca="false">Günlük!F257/Günlük!F250-1</f>
        <v>0.0854969744356018</v>
      </c>
      <c r="F38" s="17" t="n">
        <f aca="false">Günlük!G257/Günlük!G250-1</f>
        <v>0.0711012610615491</v>
      </c>
      <c r="G38" s="17" t="n">
        <f aca="false">Günlük!H257/Günlük!H250-1</f>
        <v>0.098683130099426</v>
      </c>
      <c r="H38" s="18" t="n">
        <f aca="false">Günlük!F257-Günlük!F250</f>
        <v>16177.1043845241</v>
      </c>
      <c r="I38" s="18" t="n">
        <f aca="false">Günlük!G257-Günlük!G250</f>
        <v>15101.3883211981</v>
      </c>
      <c r="J38" s="18" t="n">
        <f aca="false">Günlük!H257-Günlük!H250</f>
        <v>24774.4177090095</v>
      </c>
      <c r="K38" s="7" t="n">
        <f aca="false">Günlük!F257</f>
        <v>205389.699231481</v>
      </c>
      <c r="L38" s="7" t="n">
        <f aca="false">Günlük!G257</f>
        <v>227494.08144271</v>
      </c>
      <c r="M38" s="7" t="n">
        <f aca="false">Günlük!H257</f>
        <v>275824.599072821</v>
      </c>
    </row>
    <row r="39" customFormat="false" ht="15" hidden="false" customHeight="false" outlineLevel="0" collapsed="false">
      <c r="A39" s="15" t="s">
        <v>95</v>
      </c>
      <c r="B39" s="16" t="n">
        <f aca="false">Günlük!A258</f>
        <v>46279</v>
      </c>
      <c r="C39" s="16" t="n">
        <f aca="false">Günlük!A264</f>
        <v>46285</v>
      </c>
      <c r="D39" s="15" t="n">
        <v>7</v>
      </c>
      <c r="E39" s="17" t="n">
        <f aca="false">Günlük!F264/Günlük!F257-1</f>
        <v>0.0423699744307136</v>
      </c>
      <c r="F39" s="17" t="n">
        <f aca="false">Günlük!G264/Günlük!G257-1</f>
        <v>0.058773760589693</v>
      </c>
      <c r="G39" s="17" t="n">
        <f aca="false">Günlük!H264/Günlük!H257-1</f>
        <v>0.0804839849369765</v>
      </c>
      <c r="H39" s="18" t="n">
        <f aca="false">Günlük!F264-Günlük!F257</f>
        <v>8702.35630476978</v>
      </c>
      <c r="I39" s="18" t="n">
        <f aca="false">Günlük!G264-Günlük!G257</f>
        <v>13370.6826782859</v>
      </c>
      <c r="J39" s="18" t="n">
        <f aca="false">Günlük!H264-Günlük!H257</f>
        <v>22199.4628770245</v>
      </c>
      <c r="K39" s="7" t="n">
        <f aca="false">Günlük!F264</f>
        <v>214092.055536251</v>
      </c>
      <c r="L39" s="7" t="n">
        <f aca="false">Günlük!G264</f>
        <v>240864.764120996</v>
      </c>
      <c r="M39" s="7" t="n">
        <f aca="false">Günlük!H264</f>
        <v>298024.061949846</v>
      </c>
    </row>
    <row r="40" customFormat="false" ht="15" hidden="false" customHeight="false" outlineLevel="0" collapsed="false">
      <c r="A40" s="15" t="s">
        <v>96</v>
      </c>
      <c r="B40" s="16" t="n">
        <f aca="false">Günlük!A265</f>
        <v>46286</v>
      </c>
      <c r="C40" s="16" t="n">
        <f aca="false">Günlük!A271</f>
        <v>46292</v>
      </c>
      <c r="D40" s="15" t="n">
        <v>7</v>
      </c>
      <c r="E40" s="17" t="n">
        <f aca="false">Günlük!F271/Günlük!F264-1</f>
        <v>-0.0482659192910794</v>
      </c>
      <c r="F40" s="17" t="n">
        <f aca="false">Günlük!G271/Günlük!G264-1</f>
        <v>-0.0359379219356001</v>
      </c>
      <c r="G40" s="17" t="n">
        <f aca="false">Günlük!H271/Günlük!H264-1</f>
        <v>-0.0442178018046198</v>
      </c>
      <c r="H40" s="18" t="n">
        <f aca="false">Günlük!F271-Günlük!F264</f>
        <v>-10333.349873374</v>
      </c>
      <c r="I40" s="18" t="n">
        <f aca="false">Günlük!G271-Günlük!G264</f>
        <v>-8656.17909001707</v>
      </c>
      <c r="J40" s="18" t="n">
        <f aca="false">Günlük!H271-Günlük!H264</f>
        <v>-13177.968904306</v>
      </c>
      <c r="K40" s="7" t="n">
        <f aca="false">Günlük!F271</f>
        <v>203758.705662877</v>
      </c>
      <c r="L40" s="7" t="n">
        <f aca="false">Günlük!G271</f>
        <v>232208.585030979</v>
      </c>
      <c r="M40" s="7" t="n">
        <f aca="false">Günlük!H271</f>
        <v>284846.09304554</v>
      </c>
    </row>
    <row r="41" customFormat="false" ht="15" hidden="false" customHeight="false" outlineLevel="0" collapsed="false">
      <c r="A41" s="15" t="s">
        <v>97</v>
      </c>
      <c r="B41" s="16" t="n">
        <f aca="false">Günlük!A272</f>
        <v>46293</v>
      </c>
      <c r="C41" s="16" t="n">
        <f aca="false">Günlük!A274</f>
        <v>46295</v>
      </c>
      <c r="D41" s="15" t="n">
        <v>3</v>
      </c>
      <c r="E41" s="17" t="n">
        <f aca="false">Günlük!F274/Günlük!F271-1</f>
        <v>0.0170495859820343</v>
      </c>
      <c r="F41" s="17" t="n">
        <f aca="false">Günlük!G274/Günlük!G271-1</f>
        <v>0.0192519280522956</v>
      </c>
      <c r="G41" s="17" t="n">
        <f aca="false">Günlük!H274/Günlük!H271-1</f>
        <v>0.0336529037871851</v>
      </c>
      <c r="H41" s="18" t="n">
        <f aca="false">Günlük!F274-Günlük!F271</f>
        <v>3474.00157178726</v>
      </c>
      <c r="I41" s="18" t="n">
        <f aca="false">Günlük!G274-Günlük!G271</f>
        <v>4470.46297214174</v>
      </c>
      <c r="J41" s="18" t="n">
        <f aca="false">Günlük!H274-Günlük!H271</f>
        <v>9585.89816341712</v>
      </c>
      <c r="K41" s="7" t="n">
        <f aca="false">Günlük!F274</f>
        <v>207232.707234664</v>
      </c>
      <c r="L41" s="7" t="n">
        <f aca="false">Günlük!G274</f>
        <v>236679.04800312</v>
      </c>
      <c r="M41" s="7" t="n">
        <f aca="false">Günlük!H274</f>
        <v>294431.991208957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3" min="2" style="0" width="14"/>
  </cols>
  <sheetData>
    <row r="1" customFormat="false" ht="31.5" hidden="false" customHeight="true" outlineLevel="0" collapsed="false">
      <c r="A1" s="6" t="s">
        <v>98</v>
      </c>
      <c r="B1" s="6" t="s">
        <v>47</v>
      </c>
      <c r="C1" s="6" t="s">
        <v>48</v>
      </c>
      <c r="D1" s="6" t="s">
        <v>29</v>
      </c>
      <c r="E1" s="6" t="s">
        <v>49</v>
      </c>
      <c r="F1" s="6" t="s">
        <v>50</v>
      </c>
      <c r="G1" s="6" t="s">
        <v>51</v>
      </c>
      <c r="H1" s="6" t="s">
        <v>52</v>
      </c>
      <c r="I1" s="6" t="s">
        <v>53</v>
      </c>
      <c r="J1" s="6" t="s">
        <v>54</v>
      </c>
      <c r="K1" s="6" t="s">
        <v>55</v>
      </c>
      <c r="L1" s="6" t="s">
        <v>56</v>
      </c>
      <c r="M1" s="6" t="s">
        <v>57</v>
      </c>
    </row>
    <row r="2" customFormat="false" ht="15" hidden="false" customHeight="false" outlineLevel="0" collapsed="false">
      <c r="A2" s="15" t="s">
        <v>99</v>
      </c>
      <c r="B2" s="16" t="n">
        <f aca="false">Günlük!A2</f>
        <v>46023</v>
      </c>
      <c r="C2" s="16" t="n">
        <f aca="false">Günlük!A32</f>
        <v>46053</v>
      </c>
      <c r="D2" s="15" t="n">
        <v>31</v>
      </c>
      <c r="E2" s="17" t="n">
        <f aca="false">Günlük!F32/Varsayımlar!$B$3-1</f>
        <v>0.371224954381052</v>
      </c>
      <c r="F2" s="17" t="n">
        <f aca="false">Günlük!G32/Varsayımlar!$B$3-1</f>
        <v>0.438769013982738</v>
      </c>
      <c r="G2" s="17" t="n">
        <f aca="false">Günlük!H32/Varsayımlar!$B$3-1</f>
        <v>0.456635810291784</v>
      </c>
      <c r="H2" s="18" t="n">
        <f aca="false">Günlük!F32-Varsayımlar!$B$3</f>
        <v>18561.2477190526</v>
      </c>
      <c r="I2" s="18" t="n">
        <f aca="false">Günlük!G32-Varsayımlar!$B$3</f>
        <v>21938.4506991369</v>
      </c>
      <c r="J2" s="18" t="n">
        <f aca="false">Günlük!H32-Varsayımlar!$B$3</f>
        <v>22831.7905145892</v>
      </c>
      <c r="K2" s="7" t="n">
        <f aca="false">Günlük!F32</f>
        <v>68561.2477190526</v>
      </c>
      <c r="L2" s="7" t="n">
        <f aca="false">Günlük!G32</f>
        <v>71938.4506991369</v>
      </c>
      <c r="M2" s="7" t="n">
        <f aca="false">Günlük!H32</f>
        <v>72831.7905145892</v>
      </c>
    </row>
    <row r="3" customFormat="false" ht="15" hidden="false" customHeight="false" outlineLevel="0" collapsed="false">
      <c r="A3" s="15" t="s">
        <v>100</v>
      </c>
      <c r="B3" s="16" t="n">
        <f aca="false">Günlük!A33</f>
        <v>46054</v>
      </c>
      <c r="C3" s="16" t="n">
        <f aca="false">Günlük!A60</f>
        <v>46081</v>
      </c>
      <c r="D3" s="15" t="n">
        <v>28</v>
      </c>
      <c r="E3" s="17" t="n">
        <f aca="false">Günlük!F60/Günlük!F32-1</f>
        <v>0.180707021188961</v>
      </c>
      <c r="F3" s="17" t="n">
        <f aca="false">Günlük!G60/Günlük!G32-1</f>
        <v>0.228085255990436</v>
      </c>
      <c r="G3" s="17" t="n">
        <f aca="false">Günlük!H60/Günlük!H32-1</f>
        <v>0.243487633946943</v>
      </c>
      <c r="H3" s="18" t="n">
        <f aca="false">Günlük!F60-Günlük!F32</f>
        <v>12389.4988443085</v>
      </c>
      <c r="I3" s="18" t="n">
        <f aca="false">Günlük!G60-Günlük!G32</f>
        <v>16408.099943268</v>
      </c>
      <c r="J3" s="18" t="n">
        <f aca="false">Günlük!H60-Günlük!H32</f>
        <v>17733.6403485168</v>
      </c>
      <c r="K3" s="7" t="n">
        <f aca="false">Günlük!F60</f>
        <v>80950.7465633611</v>
      </c>
      <c r="L3" s="7" t="n">
        <f aca="false">Günlük!G60</f>
        <v>88346.5506424049</v>
      </c>
      <c r="M3" s="7" t="n">
        <f aca="false">Günlük!H60</f>
        <v>90565.430863106</v>
      </c>
    </row>
    <row r="4" customFormat="false" ht="15" hidden="false" customHeight="false" outlineLevel="0" collapsed="false">
      <c r="A4" s="15" t="s">
        <v>101</v>
      </c>
      <c r="B4" s="16" t="n">
        <f aca="false">Günlük!A61</f>
        <v>46082</v>
      </c>
      <c r="C4" s="16" t="n">
        <f aca="false">Günlük!A91</f>
        <v>46112</v>
      </c>
      <c r="D4" s="15" t="n">
        <v>31</v>
      </c>
      <c r="E4" s="17" t="n">
        <f aca="false">Günlük!F91/Günlük!F60-1</f>
        <v>0.101905871706501</v>
      </c>
      <c r="F4" s="17" t="n">
        <f aca="false">Günlük!G91/Günlük!G60-1</f>
        <v>0.0818190692230321</v>
      </c>
      <c r="G4" s="17" t="n">
        <f aca="false">Günlük!H91/Günlük!H60-1</f>
        <v>0.0901591517313209</v>
      </c>
      <c r="H4" s="18" t="n">
        <f aca="false">Günlük!F91-Günlük!F60</f>
        <v>8249.35639383133</v>
      </c>
      <c r="I4" s="18" t="n">
        <f aca="false">Günlük!G91-Günlük!G60</f>
        <v>7228.43254262704</v>
      </c>
      <c r="J4" s="18" t="n">
        <f aca="false">Günlük!H91-Günlük!H60</f>
        <v>8165.30242279923</v>
      </c>
      <c r="K4" s="7" t="n">
        <f aca="false">Günlük!F91</f>
        <v>89200.1029571924</v>
      </c>
      <c r="L4" s="7" t="n">
        <f aca="false">Günlük!G91</f>
        <v>95574.9831850319</v>
      </c>
      <c r="M4" s="7" t="n">
        <f aca="false">Günlük!H91</f>
        <v>98730.7332859052</v>
      </c>
    </row>
    <row r="5" customFormat="false" ht="15" hidden="false" customHeight="false" outlineLevel="0" collapsed="false">
      <c r="A5" s="15" t="s">
        <v>102</v>
      </c>
      <c r="B5" s="16" t="n">
        <f aca="false">Günlük!A92</f>
        <v>46113</v>
      </c>
      <c r="C5" s="16" t="n">
        <f aca="false">Günlük!A121</f>
        <v>46142</v>
      </c>
      <c r="D5" s="15" t="n">
        <v>30</v>
      </c>
      <c r="E5" s="17" t="n">
        <f aca="false">Günlük!F121/Günlük!F91-1</f>
        <v>0.260913113186646</v>
      </c>
      <c r="F5" s="17" t="n">
        <f aca="false">Günlük!G121/Günlük!G91-1</f>
        <v>0.386469124538274</v>
      </c>
      <c r="G5" s="17" t="n">
        <f aca="false">Günlük!H121/Günlük!H91-1</f>
        <v>0.366986364479197</v>
      </c>
      <c r="H5" s="18" t="n">
        <f aca="false">Günlük!F121-Günlük!F91</f>
        <v>23273.4765591304</v>
      </c>
      <c r="I5" s="18" t="n">
        <f aca="false">Günlük!G121-Günlük!G91</f>
        <v>36936.7800792795</v>
      </c>
      <c r="J5" s="18" t="n">
        <f aca="false">Günlük!H121-Günlük!H91</f>
        <v>36232.8328709596</v>
      </c>
      <c r="K5" s="7" t="n">
        <f aca="false">Günlük!F121</f>
        <v>112473.579516323</v>
      </c>
      <c r="L5" s="7" t="n">
        <f aca="false">Günlük!G121</f>
        <v>132511.763264311</v>
      </c>
      <c r="M5" s="7" t="n">
        <f aca="false">Günlük!H121</f>
        <v>134963.566156865</v>
      </c>
    </row>
    <row r="6" customFormat="false" ht="15" hidden="false" customHeight="false" outlineLevel="0" collapsed="false">
      <c r="A6" s="15" t="s">
        <v>103</v>
      </c>
      <c r="B6" s="16" t="n">
        <f aca="false">Günlük!A122</f>
        <v>46143</v>
      </c>
      <c r="C6" s="16" t="n">
        <f aca="false">Günlük!A152</f>
        <v>46173</v>
      </c>
      <c r="D6" s="15" t="n">
        <v>31</v>
      </c>
      <c r="E6" s="17" t="n">
        <f aca="false">Günlük!F152/Günlük!F121-1</f>
        <v>0.177743558801008</v>
      </c>
      <c r="F6" s="17" t="n">
        <f aca="false">Günlük!G152/Günlük!G121-1</f>
        <v>0.172314532779506</v>
      </c>
      <c r="G6" s="17" t="n">
        <f aca="false">Günlük!H152/Günlük!H121-1</f>
        <v>0.195730014944824</v>
      </c>
      <c r="H6" s="18" t="n">
        <f aca="false">Günlük!F152-Günlük!F121</f>
        <v>19991.4542943194</v>
      </c>
      <c r="I6" s="18" t="n">
        <f aca="false">Günlük!G152-Günlük!G121</f>
        <v>22833.7025746783</v>
      </c>
      <c r="J6" s="18" t="n">
        <f aca="false">Günlük!H152-Günlük!H121</f>
        <v>26416.4208208899</v>
      </c>
      <c r="K6" s="7" t="n">
        <f aca="false">Günlük!F152</f>
        <v>132465.033810642</v>
      </c>
      <c r="L6" s="7" t="n">
        <f aca="false">Günlük!G152</f>
        <v>155345.46583899</v>
      </c>
      <c r="M6" s="7" t="n">
        <f aca="false">Günlük!H152</f>
        <v>161379.986977755</v>
      </c>
    </row>
    <row r="7" customFormat="false" ht="15" hidden="false" customHeight="false" outlineLevel="0" collapsed="false">
      <c r="A7" s="15" t="s">
        <v>104</v>
      </c>
      <c r="B7" s="16" t="n">
        <f aca="false">Günlük!A153</f>
        <v>46174</v>
      </c>
      <c r="C7" s="16" t="n">
        <f aca="false">Günlük!A182</f>
        <v>46203</v>
      </c>
      <c r="D7" s="15" t="n">
        <v>30</v>
      </c>
      <c r="E7" s="17" t="n">
        <f aca="false">Günlük!F182/Günlük!F152-1</f>
        <v>0.216160331847311</v>
      </c>
      <c r="F7" s="17" t="n">
        <f aca="false">Günlük!G182/Günlük!G152-1</f>
        <v>0.221568751980439</v>
      </c>
      <c r="G7" s="17" t="n">
        <f aca="false">Günlük!H182/Günlük!H152-1</f>
        <v>0.350525765558533</v>
      </c>
      <c r="H7" s="18" t="n">
        <f aca="false">Günlük!F182-Günlük!F152</f>
        <v>28633.6856666737</v>
      </c>
      <c r="I7" s="18" t="n">
        <f aca="false">Günlük!G182-Günlük!G152</f>
        <v>34419.7009917648</v>
      </c>
      <c r="J7" s="18" t="n">
        <f aca="false">Günlük!H182-Günlük!H152</f>
        <v>56567.8434812035</v>
      </c>
      <c r="K7" s="7" t="n">
        <f aca="false">Günlük!F182</f>
        <v>161098.719477316</v>
      </c>
      <c r="L7" s="7" t="n">
        <f aca="false">Günlük!G182</f>
        <v>189765.166830755</v>
      </c>
      <c r="M7" s="7" t="n">
        <f aca="false">Günlük!H182</f>
        <v>217947.830458958</v>
      </c>
    </row>
    <row r="8" customFormat="false" ht="15" hidden="false" customHeight="false" outlineLevel="0" collapsed="false">
      <c r="A8" s="15" t="s">
        <v>105</v>
      </c>
      <c r="B8" s="16" t="n">
        <f aca="false">Günlük!A183</f>
        <v>46204</v>
      </c>
      <c r="C8" s="16" t="n">
        <f aca="false">Günlük!A213</f>
        <v>46234</v>
      </c>
      <c r="D8" s="15" t="n">
        <v>31</v>
      </c>
      <c r="E8" s="17" t="n">
        <f aca="false">Günlük!F213/Günlük!F182-1</f>
        <v>0.04342240339686</v>
      </c>
      <c r="F8" s="17" t="n">
        <f aca="false">Günlük!G213/Günlük!G182-1</f>
        <v>0.0338379817842394</v>
      </c>
      <c r="G8" s="17" t="n">
        <f aca="false">Günlük!H213/Günlük!H182-1</f>
        <v>0.0373598719049328</v>
      </c>
      <c r="H8" s="18" t="n">
        <f aca="false">Günlük!F213-Günlük!F182</f>
        <v>6995.29358386161</v>
      </c>
      <c r="I8" s="18" t="n">
        <f aca="false">Günlük!G213-Günlük!G182</f>
        <v>6421.27025850222</v>
      </c>
      <c r="J8" s="18" t="n">
        <f aca="false">Günlük!H213-Günlük!H182</f>
        <v>8142.50302790469</v>
      </c>
      <c r="K8" s="7" t="n">
        <f aca="false">Günlük!F213</f>
        <v>168094.013061178</v>
      </c>
      <c r="L8" s="7" t="n">
        <f aca="false">Günlük!G213</f>
        <v>196186.437089257</v>
      </c>
      <c r="M8" s="7" t="n">
        <f aca="false">Günlük!H213</f>
        <v>226090.333486863</v>
      </c>
    </row>
    <row r="9" customFormat="false" ht="15" hidden="false" customHeight="false" outlineLevel="0" collapsed="false">
      <c r="A9" s="15" t="s">
        <v>106</v>
      </c>
      <c r="B9" s="16" t="n">
        <f aca="false">Günlük!A214</f>
        <v>46235</v>
      </c>
      <c r="C9" s="16" t="n">
        <f aca="false">Günlük!A244</f>
        <v>46265</v>
      </c>
      <c r="D9" s="15" t="n">
        <v>31</v>
      </c>
      <c r="E9" s="17" t="n">
        <f aca="false">Günlük!F244/Günlük!F213-1</f>
        <v>0.101690871304921</v>
      </c>
      <c r="F9" s="17" t="n">
        <f aca="false">Günlük!G244/Günlük!G213-1</f>
        <v>0.0875855531177543</v>
      </c>
      <c r="G9" s="17" t="n">
        <f aca="false">Günlük!H244/Günlük!H213-1</f>
        <v>0.11947037124627</v>
      </c>
      <c r="H9" s="18" t="n">
        <f aca="false">Günlük!F244-Günlük!F213</f>
        <v>17093.6266493319</v>
      </c>
      <c r="I9" s="18" t="n">
        <f aca="false">Günlük!G244-Günlük!G213</f>
        <v>17183.0976066641</v>
      </c>
      <c r="J9" s="18" t="n">
        <f aca="false">Günlük!H244-Günlük!H213</f>
        <v>27011.0960768685</v>
      </c>
      <c r="K9" s="7" t="n">
        <f aca="false">Günlük!F244</f>
        <v>185187.639710509</v>
      </c>
      <c r="L9" s="7" t="n">
        <f aca="false">Günlük!G244</f>
        <v>213369.534695921</v>
      </c>
      <c r="M9" s="7" t="n">
        <f aca="false">Günlük!H244</f>
        <v>253101.429563731</v>
      </c>
    </row>
    <row r="10" customFormat="false" ht="15" hidden="false" customHeight="false" outlineLevel="0" collapsed="false">
      <c r="A10" s="15" t="s">
        <v>107</v>
      </c>
      <c r="B10" s="16" t="n">
        <f aca="false">Günlük!A245</f>
        <v>46266</v>
      </c>
      <c r="C10" s="16" t="n">
        <f aca="false">Günlük!A274</f>
        <v>46295</v>
      </c>
      <c r="D10" s="15" t="n">
        <v>30</v>
      </c>
      <c r="E10" s="17" t="n">
        <f aca="false">Günlük!F274/Günlük!F244-1</f>
        <v>0.1190417867986</v>
      </c>
      <c r="F10" s="17" t="n">
        <f aca="false">Günlük!G274/Günlük!G244-1</f>
        <v>0.109244805451812</v>
      </c>
      <c r="G10" s="17" t="n">
        <f aca="false">Günlük!H274/Günlük!H244-1</f>
        <v>0.163296436991553</v>
      </c>
      <c r="H10" s="18" t="n">
        <f aca="false">Günlük!F274-Günlük!F244</f>
        <v>22045.0675241544</v>
      </c>
      <c r="I10" s="18" t="n">
        <f aca="false">Günlük!G274-Günlük!G244</f>
        <v>23309.5133071996</v>
      </c>
      <c r="J10" s="18" t="n">
        <f aca="false">Günlük!H274-Günlük!H244</f>
        <v>41330.5616452257</v>
      </c>
      <c r="K10" s="7" t="n">
        <f aca="false">Günlük!F274</f>
        <v>207232.707234664</v>
      </c>
      <c r="L10" s="7" t="n">
        <f aca="false">Günlük!G274</f>
        <v>236679.04800312</v>
      </c>
      <c r="M10" s="7" t="n">
        <f aca="false">Günlük!H274</f>
        <v>294431.991208957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2026-10-27T19:52:56Z</dcterms:created>
  <dc:creator>openpyxl</dc:creator>
  <dc:description/>
  <dc:language>en-US</dc:language>
  <cp:lastModifiedBy/>
  <dcterms:modified xsi:type="dcterms:W3CDTF">2026-10-27T19:52:56Z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