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sayımlar" sheetId="1" state="visible" r:id="rId3"/>
    <sheet name="Özet" sheetId="2" state="visible" r:id="rId4"/>
    <sheet name="Günlük" sheetId="3" state="visible" r:id="rId5"/>
    <sheet name="Haftalık" sheetId="4" state="visible" r:id="rId6"/>
    <sheet name="Aylı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<sst xmlns="http://schemas.openxmlformats.org/spreadsheetml/2006/main" count="407" uniqueCount="122">
  <si>
    <t xml:space="preserve">2026 kazanç defteri — varsayımlar</t>
  </si>
  <si>
    <t xml:space="preserve">Başlangıç bakiyesi (1 Ocak 2026, $)</t>
  </si>
  <si>
    <t xml:space="preserve">← değiştirilebilir (bu sayfadaki getiriler 2000 $ seviyesinin evreniyle ölçüldü)</t>
  </si>
  <si>
    <t xml:space="preserve">Kaynak: binance-carry-bot backtest motoru (g33.py), KAR_HARITASI madde 601 / 623 / 628 / 629. Günlük getiriler 'Günlük' sayfasında (mavi = motor çıktısı).</t>
  </si>
  <si>
    <t xml:space="preserve">Model: gerçekçi (canlı gibi tek hesap girişi + işlem başı 5 bp + düzeltilmiş kademe dolumu), iki dilim hizasının ortalaması. Evren: D8 (2.000 $; PDF defterleriyle AYNI seri).</t>
  </si>
  <si>
    <t xml:space="preserve">T4 = kod varsayılanı, kaldıraçsız. T7K 1,15x: günlük getiri × kaldıraç (T4 ile aynı 6 yıllık maks düşüş, madde 596 yöntemi).</t>
  </si>
  <si>
    <t xml:space="preserve">Koşullu stop = CARRY_LONG_24S_PIYASA=0,03 (24 sa long stop yalnız piyasa medyanı ≤ −%3 iken). Bot ritminde (8 sa'te bir kontrol). 'Eski stop' = borsada koşulsuz 24 sa stop.</t>
  </si>
  <si>
    <t xml:space="preserve">Kâr her gün yeniden yatırılır (bileşik). 2026 ölçümü 1 Ocak – 30 Eylül (Ekim verisi henüz yok).</t>
  </si>
  <si>
    <t xml:space="preserve">Bunlar geçmiş verinin simülasyonudur; canlı hesabın gerçek sonucu değildir ve gelecek için garanti vermez.</t>
  </si>
  <si>
    <t xml:space="preserve">2026 (1 Ocak – 30 Eylül) özet — 2.000 $ (D8)</t>
  </si>
  <si>
    <t xml:space="preserve">Ölçü</t>
  </si>
  <si>
    <t xml:space="preserve">T4 (şimdiki)</t>
  </si>
  <si>
    <t xml:space="preserve">T7K 1,15x + koşullu stop</t>
  </si>
  <si>
    <t xml:space="preserve">T7K 1,15x eski stop</t>
  </si>
  <si>
    <t xml:space="preserve">Eski bot T1</t>
  </si>
  <si>
    <t xml:space="preserve">T6 1x + koşullu stop (bilgi)</t>
  </si>
  <si>
    <t xml:space="preserve">Başlangıç bakiyesi $</t>
  </si>
  <si>
    <t xml:space="preserve">30 Eylül bakiyesi $</t>
  </si>
  <si>
    <t xml:space="preserve">Toplam kâr $</t>
  </si>
  <si>
    <t xml:space="preserve">Toplam getiri %</t>
  </si>
  <si>
    <t xml:space="preserve">Ortalama günlük getiri %</t>
  </si>
  <si>
    <t xml:space="preserve">En iyi gün %</t>
  </si>
  <si>
    <t xml:space="preserve">En kötü gün %</t>
  </si>
  <si>
    <t xml:space="preserve">Kazançlı gün sayısı</t>
  </si>
  <si>
    <t xml:space="preserve">Zararlı gün sayısı</t>
  </si>
  <si>
    <t xml:space="preserve">−%3'ten kötü gün</t>
  </si>
  <si>
    <t xml:space="preserve">−%5'ten kötü gün</t>
  </si>
  <si>
    <t xml:space="preserve">En kötü hafta %</t>
  </si>
  <si>
    <t xml:space="preserve">En kötü ay %</t>
  </si>
  <si>
    <t xml:space="preserve">Zararlı hafta sayısı</t>
  </si>
  <si>
    <t xml:space="preserve">Tarih</t>
  </si>
  <si>
    <t xml:space="preserve">Gün</t>
  </si>
  <si>
    <t xml:space="preserve">T4 (şimdiki) günlük %</t>
  </si>
  <si>
    <t xml:space="preserve">T7K 1,15x + koşullu stop günlük %</t>
  </si>
  <si>
    <t xml:space="preserve">T7K 1,15x eski stop günlük %</t>
  </si>
  <si>
    <t xml:space="preserve">Eski bot T1 günlük %</t>
  </si>
  <si>
    <t xml:space="preserve">T6 1x + koşullu stop (bilgi) günlük %</t>
  </si>
  <si>
    <t xml:space="preserve">T4 (şimdiki) bakiye $</t>
  </si>
  <si>
    <t xml:space="preserve">T7K 1,15x + koşullu stop bakiye $</t>
  </si>
  <si>
    <t xml:space="preserve">T7K 1,15x eski stop bakiye $</t>
  </si>
  <si>
    <t xml:space="preserve">Eski bot T1 bakiye $</t>
  </si>
  <si>
    <t xml:space="preserve">T6 1x + koşullu stop (bilgi) bakiye $</t>
  </si>
  <si>
    <t xml:space="preserve">T4 (şimdiki) günlük kâr $</t>
  </si>
  <si>
    <t xml:space="preserve">T7K 1,15x + koşullu stop günlük kâr $</t>
  </si>
  <si>
    <t xml:space="preserve">T7K 1,15x eski stop günlük kâr $</t>
  </si>
  <si>
    <t xml:space="preserve">Eski bot T1 günlük kâr $</t>
  </si>
  <si>
    <t xml:space="preserve">T6 1x + koşullu stop (bilgi) günlük kâr $</t>
  </si>
  <si>
    <t xml:space="preserve">Per</t>
  </si>
  <si>
    <t xml:space="preserve">Cum</t>
  </si>
  <si>
    <t xml:space="preserve">Cmt</t>
  </si>
  <si>
    <t xml:space="preserve">Paz</t>
  </si>
  <si>
    <t xml:space="preserve">Pzt</t>
  </si>
  <si>
    <t xml:space="preserve">Sal</t>
  </si>
  <si>
    <t xml:space="preserve">Çar</t>
  </si>
  <si>
    <t xml:space="preserve">Hafta</t>
  </si>
  <si>
    <t xml:space="preserve">Başlangıç</t>
  </si>
  <si>
    <t xml:space="preserve">Bitiş</t>
  </si>
  <si>
    <t xml:space="preserve">T4 (şimdiki) getiri %</t>
  </si>
  <si>
    <t xml:space="preserve">T7K 1,15x + koşullu stop getiri %</t>
  </si>
  <si>
    <t xml:space="preserve">T7K 1,15x eski stop getiri %</t>
  </si>
  <si>
    <t xml:space="preserve">Eski bot T1 getiri %</t>
  </si>
  <si>
    <t xml:space="preserve">T6 1x + koşullu stop (bilgi) getiri %</t>
  </si>
  <si>
    <t xml:space="preserve">T4 (şimdiki) kâr $</t>
  </si>
  <si>
    <t xml:space="preserve">T7K 1,15x + koşullu stop kâr $</t>
  </si>
  <si>
    <t xml:space="preserve">T7K 1,15x eski stop kâr $</t>
  </si>
  <si>
    <t xml:space="preserve">Eski bot T1 kâr $</t>
  </si>
  <si>
    <t xml:space="preserve">T6 1x + koşullu stop (bilgi) kâr $</t>
  </si>
  <si>
    <t xml:space="preserve">T4 (şimdiki) dönem sonu bakiye $</t>
  </si>
  <si>
    <t xml:space="preserve">T7K 1,15x + koşullu stop dönem sonu bakiye $</t>
  </si>
  <si>
    <t xml:space="preserve">T7K 1,15x eski stop dönem sonu bakiye $</t>
  </si>
  <si>
    <t xml:space="preserve">Eski bot T1 dönem sonu bakiye $</t>
  </si>
  <si>
    <t xml:space="preserve">T6 1x + koşullu stop (bilgi) dönem sonu bakiye $</t>
  </si>
  <si>
    <t xml:space="preserve">29.12 haftası</t>
  </si>
  <si>
    <t xml:space="preserve">05.01 haftası</t>
  </si>
  <si>
    <t xml:space="preserve">12.01 haftası</t>
  </si>
  <si>
    <t xml:space="preserve">19.01 haftası</t>
  </si>
  <si>
    <t xml:space="preserve">26.01 haftası</t>
  </si>
  <si>
    <t xml:space="preserve">02.02 haftası</t>
  </si>
  <si>
    <t xml:space="preserve">09.02 haftası</t>
  </si>
  <si>
    <t xml:space="preserve">16.02 haftası</t>
  </si>
  <si>
    <t xml:space="preserve">23.02 haftası</t>
  </si>
  <si>
    <t xml:space="preserve">02.03 haftası</t>
  </si>
  <si>
    <t xml:space="preserve">09.03 haftası</t>
  </si>
  <si>
    <t xml:space="preserve">16.03 haftası</t>
  </si>
  <si>
    <t xml:space="preserve">23.03 haftası</t>
  </si>
  <si>
    <t xml:space="preserve">30.03 haftası</t>
  </si>
  <si>
    <t xml:space="preserve">06.04 haftası</t>
  </si>
  <si>
    <t xml:space="preserve">13.04 haftası</t>
  </si>
  <si>
    <t xml:space="preserve">20.04 haftası</t>
  </si>
  <si>
    <t xml:space="preserve">27.04 haftası</t>
  </si>
  <si>
    <t xml:space="preserve">04.05 haftası</t>
  </si>
  <si>
    <t xml:space="preserve">11.05 haftası</t>
  </si>
  <si>
    <t xml:space="preserve">18.05 haftası</t>
  </si>
  <si>
    <t xml:space="preserve">25.05 haftası</t>
  </si>
  <si>
    <t xml:space="preserve">01.06 haftası</t>
  </si>
  <si>
    <t xml:space="preserve">08.06 haftası</t>
  </si>
  <si>
    <t xml:space="preserve">15.06 haftası</t>
  </si>
  <si>
    <t xml:space="preserve">22.06 haftası</t>
  </si>
  <si>
    <t xml:space="preserve">29.06 haftası</t>
  </si>
  <si>
    <t xml:space="preserve">06.07 haftası</t>
  </si>
  <si>
    <t xml:space="preserve">13.07 haftası</t>
  </si>
  <si>
    <t xml:space="preserve">20.07 haftası</t>
  </si>
  <si>
    <t xml:space="preserve">27.07 haftası</t>
  </si>
  <si>
    <t xml:space="preserve">03.08 haftası</t>
  </si>
  <si>
    <t xml:space="preserve">10.08 haftası</t>
  </si>
  <si>
    <t xml:space="preserve">17.08 haftası</t>
  </si>
  <si>
    <t xml:space="preserve">24.08 haftası</t>
  </si>
  <si>
    <t xml:space="preserve">31.08 haftası</t>
  </si>
  <si>
    <t xml:space="preserve">07.09 haftası</t>
  </si>
  <si>
    <t xml:space="preserve">14.09 haftası</t>
  </si>
  <si>
    <t xml:space="preserve">21.09 haftası</t>
  </si>
  <si>
    <t xml:space="preserve">28.09 haftası</t>
  </si>
  <si>
    <t xml:space="preserve">Ay</t>
  </si>
  <si>
    <t xml:space="preserve">Ocak 2026</t>
  </si>
  <si>
    <t xml:space="preserve">Şubat 2026</t>
  </si>
  <si>
    <t xml:space="preserve">Mart 2026</t>
  </si>
  <si>
    <t xml:space="preserve">Nisan 2026</t>
  </si>
  <si>
    <t xml:space="preserve">Mayıs 2026</t>
  </si>
  <si>
    <t xml:space="preserve">Haziran 2026</t>
  </si>
  <si>
    <t xml:space="preserve">Temmuz 2026</t>
  </si>
  <si>
    <t xml:space="preserve">Ağustos 2026</t>
  </si>
  <si>
    <t xml:space="preserve">Eylül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</si>
</sst>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%;\-0.00%;\-"/>
    <numFmt numFmtId="168" formatCode="0"/>
    <numFmt numFmtId="169" formatCode="dd\.mm\.yyyy"/>
    <numFmt numFmtId="170" formatCode="0.0%;\-0.0%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2000</v>
      </c>
      <c r="C3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1" t="s">
        <v>9</v>
      </c>
    </row>
    <row r="3" customFormat="false" ht="31.5" hidden="false" customHeight="true" outlineLevel="0" collapsed="false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</row>
    <row r="4" customFormat="false" ht="15" hidden="false" customHeight="false" outlineLevel="0" collapsed="false">
      <c r="A4" s="2" t="s">
        <v>16</v>
      </c>
      <c r="B4" s="7" t="n">
        <f aca="false">Varsayımlar!$B$3</f>
        <v>2000</v>
      </c>
      <c r="C4" s="7" t="n">
        <f aca="false">Varsayımlar!$B$3</f>
        <v>2000</v>
      </c>
      <c r="D4" s="7" t="n">
        <f aca="false">Varsayımlar!$B$3</f>
        <v>2000</v>
      </c>
      <c r="E4" s="7" t="n">
        <f aca="false">Varsayımlar!$B$3</f>
        <v>2000</v>
      </c>
      <c r="F4" s="7" t="n">
        <f aca="false">Varsayımlar!$B$3</f>
        <v>2000</v>
      </c>
    </row>
    <row r="5" customFormat="false" ht="15" hidden="false" customHeight="false" outlineLevel="0" collapsed="false">
      <c r="A5" s="2" t="s">
        <v>17</v>
      </c>
      <c r="B5" s="7" t="n">
        <f aca="false">Günlük!H274</f>
        <v>7678.71922669622</v>
      </c>
      <c r="C5" s="7" t="n">
        <f aca="false">Günlük!I274</f>
        <v>9280.70455996405</v>
      </c>
      <c r="D5" s="7" t="n">
        <f aca="false">Günlük!J274</f>
        <v>8711.75936928412</v>
      </c>
      <c r="E5" s="7" t="n">
        <f aca="false">Günlük!K274</f>
        <v>6272.46694598081</v>
      </c>
      <c r="F5" s="7" t="n">
        <f aca="false">Günlük!L274</f>
        <v>9823.03486227943</v>
      </c>
    </row>
    <row r="6" customFormat="false" ht="15" hidden="false" customHeight="false" outlineLevel="0" collapsed="false">
      <c r="A6" s="2" t="s">
        <v>18</v>
      </c>
      <c r="B6" s="7" t="n">
        <f aca="false">Günlük!H274-Varsayımlar!$B$3</f>
        <v>5678.71922669622</v>
      </c>
      <c r="C6" s="7" t="n">
        <f aca="false">Günlük!I274-Varsayımlar!$B$3</f>
        <v>7280.70455996405</v>
      </c>
      <c r="D6" s="7" t="n">
        <f aca="false">Günlük!J274-Varsayımlar!$B$3</f>
        <v>6711.75936928412</v>
      </c>
      <c r="E6" s="7" t="n">
        <f aca="false">Günlük!K274-Varsayımlar!$B$3</f>
        <v>4272.46694598081</v>
      </c>
      <c r="F6" s="7" t="n">
        <f aca="false">Günlük!L274-Varsayımlar!$B$3</f>
        <v>7823.03486227943</v>
      </c>
    </row>
    <row r="7" customFormat="false" ht="15" hidden="false" customHeight="false" outlineLevel="0" collapsed="false">
      <c r="A7" s="2" t="s">
        <v>19</v>
      </c>
      <c r="B7" s="8" t="n">
        <f aca="false">Günlük!H274/Varsayımlar!$B$3-1</f>
        <v>2.83935961334811</v>
      </c>
      <c r="C7" s="8" t="n">
        <f aca="false">Günlük!I274/Varsayımlar!$B$3-1</f>
        <v>3.64035227998203</v>
      </c>
      <c r="D7" s="8" t="n">
        <f aca="false">Günlük!J274/Varsayımlar!$B$3-1</f>
        <v>3.35587968464206</v>
      </c>
      <c r="E7" s="8" t="n">
        <f aca="false">Günlük!K274/Varsayımlar!$B$3-1</f>
        <v>2.1362334729904</v>
      </c>
      <c r="F7" s="8" t="n">
        <f aca="false">Günlük!L274/Varsayımlar!$B$3-1</f>
        <v>3.91151743113971</v>
      </c>
    </row>
    <row r="8" customFormat="false" ht="15" hidden="false" customHeight="false" outlineLevel="0" collapsed="false">
      <c r="A8" s="2" t="s">
        <v>20</v>
      </c>
      <c r="B8" s="9" t="n">
        <f aca="false">AVERAGE(Günlük!C2:C274)</f>
        <v>0.00516071188814585</v>
      </c>
      <c r="C8" s="9" t="n">
        <f aca="false">AVERAGE(Günlük!D2:D274)</f>
        <v>0.005898618069434</v>
      </c>
      <c r="D8" s="9" t="n">
        <f aca="false">AVERAGE(Günlük!E2:E274)</f>
        <v>0.00565046207560023</v>
      </c>
      <c r="E8" s="9" t="n">
        <f aca="false">AVERAGE(Günlük!F2:F274)</f>
        <v>0.0044110009501523</v>
      </c>
      <c r="F8" s="9" t="n">
        <f aca="false">AVERAGE(Günlük!G2:G274)</f>
        <v>0.00611174779228776</v>
      </c>
    </row>
    <row r="9" customFormat="false" ht="15" hidden="false" customHeight="false" outlineLevel="0" collapsed="false">
      <c r="A9" s="2" t="s">
        <v>21</v>
      </c>
      <c r="B9" s="9" t="n">
        <f aca="false">MAX(Günlük!C2:C274)</f>
        <v>0.0795773895942146</v>
      </c>
      <c r="C9" s="9" t="n">
        <f aca="false">MAX(Günlük!D2:D274)</f>
        <v>0.0901466650678459</v>
      </c>
      <c r="D9" s="9" t="n">
        <f aca="false">MAX(Günlük!E2:E274)</f>
        <v>0.0898283057466846</v>
      </c>
      <c r="E9" s="9" t="n">
        <f aca="false">MAX(Günlük!F2:F274)</f>
        <v>0.0708028553376304</v>
      </c>
      <c r="F9" s="9" t="n">
        <f aca="false">MAX(Günlük!G2:G274)</f>
        <v>0.0791873614219296</v>
      </c>
    </row>
    <row r="10" customFormat="false" ht="15" hidden="false" customHeight="false" outlineLevel="0" collapsed="false">
      <c r="A10" s="2" t="s">
        <v>22</v>
      </c>
      <c r="B10" s="9" t="n">
        <f aca="false">MIN(Günlük!C2:C274)</f>
        <v>-0.0468579886523653</v>
      </c>
      <c r="C10" s="9" t="n">
        <f aca="false">MIN(Günlük!D2:D274)</f>
        <v>-0.0603344525883172</v>
      </c>
      <c r="D10" s="9" t="n">
        <f aca="false">MIN(Günlük!E2:E274)</f>
        <v>-0.0494886572507098</v>
      </c>
      <c r="E10" s="9" t="n">
        <f aca="false">MIN(Günlük!F2:F274)</f>
        <v>-0.0534187017875504</v>
      </c>
      <c r="F10" s="9" t="n">
        <f aca="false">MIN(Günlük!G2:G274)</f>
        <v>-0.0506161695498172</v>
      </c>
    </row>
    <row r="11" customFormat="false" ht="15" hidden="false" customHeight="false" outlineLevel="0" collapsed="false">
      <c r="A11" s="2" t="s">
        <v>23</v>
      </c>
      <c r="B11" s="10" t="n">
        <f aca="false">COUNTIF(Günlük!C2:C274,"&gt;0")</f>
        <v>153</v>
      </c>
      <c r="C11" s="10" t="n">
        <f aca="false">COUNTIF(Günlük!D2:D274,"&gt;0")</f>
        <v>164</v>
      </c>
      <c r="D11" s="10" t="n">
        <f aca="false">COUNTIF(Günlük!E2:E274,"&gt;0")</f>
        <v>158</v>
      </c>
      <c r="E11" s="10" t="n">
        <f aca="false">COUNTIF(Günlük!F2:F274,"&gt;0")</f>
        <v>157</v>
      </c>
      <c r="F11" s="10" t="n">
        <f aca="false">COUNTIF(Günlük!G2:G274,"&gt;0")</f>
        <v>165</v>
      </c>
    </row>
    <row r="12" customFormat="false" ht="15" hidden="false" customHeight="false" outlineLevel="0" collapsed="false">
      <c r="A12" s="2" t="s">
        <v>24</v>
      </c>
      <c r="B12" s="10" t="n">
        <f aca="false">COUNTIF(Günlük!C2:C274,"&lt;0")</f>
        <v>120</v>
      </c>
      <c r="C12" s="10" t="n">
        <f aca="false">COUNTIF(Günlük!D2:D274,"&lt;0")</f>
        <v>109</v>
      </c>
      <c r="D12" s="10" t="n">
        <f aca="false">COUNTIF(Günlük!E2:E274,"&lt;0")</f>
        <v>115</v>
      </c>
      <c r="E12" s="10" t="n">
        <f aca="false">COUNTIF(Günlük!F2:F274,"&lt;0")</f>
        <v>116</v>
      </c>
      <c r="F12" s="10" t="n">
        <f aca="false">COUNTIF(Günlük!G2:G274,"&lt;0")</f>
        <v>108</v>
      </c>
    </row>
    <row r="13" customFormat="false" ht="15" hidden="false" customHeight="false" outlineLevel="0" collapsed="false">
      <c r="A13" s="2" t="s">
        <v>25</v>
      </c>
      <c r="B13" s="10" t="n">
        <f aca="false">COUNTIF(Günlük!C2:C274,"&lt;-0.03")</f>
        <v>11</v>
      </c>
      <c r="C13" s="10" t="n">
        <f aca="false">COUNTIF(Günlük!D2:D274,"&lt;-0.03")</f>
        <v>15</v>
      </c>
      <c r="D13" s="10" t="n">
        <f aca="false">COUNTIF(Günlük!E2:E274,"&lt;-0.03")</f>
        <v>12</v>
      </c>
      <c r="E13" s="10" t="n">
        <f aca="false">COUNTIF(Günlük!F2:F274,"&lt;-0.03")</f>
        <v>12</v>
      </c>
      <c r="F13" s="10" t="n">
        <f aca="false">COUNTIF(Günlük!G2:G274,"&lt;-0.03")</f>
        <v>18</v>
      </c>
    </row>
    <row r="14" customFormat="false" ht="15" hidden="false" customHeight="false" outlineLevel="0" collapsed="false">
      <c r="A14" s="2" t="s">
        <v>26</v>
      </c>
      <c r="B14" s="10" t="n">
        <f aca="false">COUNTIF(Günlük!C2:C274,"&lt;-0.05")</f>
        <v>0</v>
      </c>
      <c r="C14" s="10" t="n">
        <f aca="false">COUNTIF(Günlük!D2:D274,"&lt;-0.05")</f>
        <v>2</v>
      </c>
      <c r="D14" s="10" t="n">
        <f aca="false">COUNTIF(Günlük!E2:E274,"&lt;-0.05")</f>
        <v>0</v>
      </c>
      <c r="E14" s="10" t="n">
        <f aca="false">COUNTIF(Günlük!F2:F274,"&lt;-0.05")</f>
        <v>1</v>
      </c>
      <c r="F14" s="10" t="n">
        <f aca="false">COUNTIF(Günlük!G2:G274,"&lt;-0.05")</f>
        <v>1</v>
      </c>
    </row>
    <row r="15" customFormat="false" ht="15" hidden="false" customHeight="false" outlineLevel="0" collapsed="false">
      <c r="A15" s="2" t="s">
        <v>27</v>
      </c>
      <c r="B15" s="8" t="n">
        <f aca="false">MIN(Haftalık!E2:E41)</f>
        <v>-0.0804923287010079</v>
      </c>
      <c r="C15" s="8" t="n">
        <f aca="false">MIN(Haftalık!F2:F41)</f>
        <v>-0.0945081678379549</v>
      </c>
      <c r="D15" s="8" t="n">
        <f aca="false">MIN(Haftalık!G2:G41)</f>
        <v>-0.0839478331564072</v>
      </c>
      <c r="E15" s="8" t="n">
        <f aca="false">MIN(Haftalık!H2:H41)</f>
        <v>-0.105730053399022</v>
      </c>
      <c r="F15" s="8" t="n">
        <f aca="false">MIN(Haftalık!I2:I41)</f>
        <v>-0.105499221673351</v>
      </c>
    </row>
    <row r="16" customFormat="false" ht="15" hidden="false" customHeight="false" outlineLevel="0" collapsed="false">
      <c r="A16" s="2" t="s">
        <v>28</v>
      </c>
      <c r="B16" s="8" t="n">
        <f aca="false">MIN(Aylık!E2:E10)</f>
        <v>0.0281902099870086</v>
      </c>
      <c r="C16" s="8" t="n">
        <f aca="false">MIN(Aylık!F2:F10)</f>
        <v>0.00906660831386574</v>
      </c>
      <c r="D16" s="8" t="n">
        <f aca="false">MIN(Aylık!G2:G10)</f>
        <v>0.0213483637574927</v>
      </c>
      <c r="E16" s="8" t="n">
        <f aca="false">MIN(Aylık!H2:H10)</f>
        <v>-0.0267342060325382</v>
      </c>
      <c r="F16" s="8" t="n">
        <f aca="false">MIN(Aylık!I2:I10)</f>
        <v>0.0162078596517821</v>
      </c>
    </row>
    <row r="17" customFormat="false" ht="15" hidden="false" customHeight="false" outlineLevel="0" collapsed="false">
      <c r="A17" s="2" t="s">
        <v>29</v>
      </c>
      <c r="B17" s="10" t="n">
        <f aca="false">COUNTIF(Haftalık!E2:E41,"&lt;0")</f>
        <v>11</v>
      </c>
      <c r="C17" s="10" t="n">
        <f aca="false">COUNTIF(Haftalık!F2:F41,"&lt;0")</f>
        <v>10</v>
      </c>
      <c r="D17" s="10" t="n">
        <f aca="false">COUNTIF(Haftalık!G2:G41,"&lt;0")</f>
        <v>11</v>
      </c>
      <c r="E17" s="10" t="n">
        <f aca="false">COUNTIF(Haftalık!H2:H41,"&lt;0")</f>
        <v>11</v>
      </c>
      <c r="F17" s="10" t="n">
        <f aca="false">COUNTIF(Haftalık!I2:I41,"&lt;0")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17" min="3" style="0" width="15"/>
  </cols>
  <sheetData>
    <row r="1" customFormat="false" ht="31.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</row>
    <row r="2" customFormat="false" ht="15" hidden="false" customHeight="false" outlineLevel="0" collapsed="false">
      <c r="A2" s="11" t="n">
        <v>46023</v>
      </c>
      <c r="B2" s="12" t="s">
        <v>47</v>
      </c>
      <c r="C2" s="13" t="n">
        <v>-0.00848733732523499</v>
      </c>
      <c r="D2" s="13" t="n">
        <v>-0.0150586979967246</v>
      </c>
      <c r="E2" s="13" t="n">
        <v>-0.0164938952563754</v>
      </c>
      <c r="F2" s="13" t="n">
        <v>-0.0146752798410552</v>
      </c>
      <c r="G2" s="13" t="n">
        <v>-0.0154208541568289</v>
      </c>
      <c r="H2" s="14" t="n">
        <f aca="false">Varsayımlar!$B$3*(1+C2)</f>
        <v>1983.02532534953</v>
      </c>
      <c r="I2" s="14" t="n">
        <f aca="false">Varsayımlar!$B$3*(1+D2)</f>
        <v>1969.88260400655</v>
      </c>
      <c r="J2" s="14" t="n">
        <f aca="false">Varsayımlar!$B$3*(1+E2)</f>
        <v>1967.01220948725</v>
      </c>
      <c r="K2" s="14" t="n">
        <f aca="false">Varsayımlar!$B$3*(1+F2)</f>
        <v>1970.64944031789</v>
      </c>
      <c r="L2" s="14" t="n">
        <f aca="false">Varsayımlar!$B$3*(1+G2)</f>
        <v>1969.15829168634</v>
      </c>
      <c r="M2" s="14" t="n">
        <f aca="false">H2-Varsayımlar!$B$3</f>
        <v>-16.97467465047</v>
      </c>
      <c r="N2" s="14" t="n">
        <f aca="false">I2-Varsayımlar!$B$3</f>
        <v>-30.1173959934492</v>
      </c>
      <c r="O2" s="14" t="n">
        <f aca="false">J2-Varsayımlar!$B$3</f>
        <v>-32.9877905127507</v>
      </c>
      <c r="P2" s="14" t="n">
        <f aca="false">K2-Varsayımlar!$B$3</f>
        <v>-29.3505596821103</v>
      </c>
      <c r="Q2" s="14" t="n">
        <f aca="false">L2-Varsayımlar!$B$3</f>
        <v>-30.8417083136578</v>
      </c>
    </row>
    <row r="3" customFormat="false" ht="15" hidden="false" customHeight="false" outlineLevel="0" collapsed="false">
      <c r="A3" s="11" t="n">
        <v>46024</v>
      </c>
      <c r="B3" s="12" t="s">
        <v>48</v>
      </c>
      <c r="C3" s="13" t="n">
        <v>-0.0221435183939501</v>
      </c>
      <c r="D3" s="13" t="n">
        <v>-0.0327053236083943</v>
      </c>
      <c r="E3" s="13" t="n">
        <v>-0.0330658972430414</v>
      </c>
      <c r="F3" s="13" t="n">
        <v>-0.0203584456934327</v>
      </c>
      <c r="G3" s="13" t="n">
        <v>-0.0327377630514233</v>
      </c>
      <c r="H3" s="14" t="n">
        <f aca="false">H2*(1+C3)</f>
        <v>1939.11416758198</v>
      </c>
      <c r="I3" s="14" t="n">
        <f aca="false">I2*(1+D3)</f>
        <v>1905.45695597197</v>
      </c>
      <c r="J3" s="14" t="n">
        <f aca="false">J2*(1+E3)</f>
        <v>1901.97118589254</v>
      </c>
      <c r="K3" s="14" t="n">
        <f aca="false">K2*(1+F3)</f>
        <v>1930.53008070638</v>
      </c>
      <c r="L3" s="14" t="n">
        <f aca="false">L2*(1+G3)</f>
        <v>1904.69245412237</v>
      </c>
      <c r="M3" s="14" t="n">
        <f aca="false">H3-H2</f>
        <v>-43.9111577675462</v>
      </c>
      <c r="N3" s="14" t="n">
        <f aca="false">I3-I2</f>
        <v>-64.4256480345807</v>
      </c>
      <c r="O3" s="14" t="n">
        <f aca="false">J3-J2</f>
        <v>-65.0410235947134</v>
      </c>
      <c r="P3" s="14" t="n">
        <f aca="false">K3-K2</f>
        <v>-40.1193596115054</v>
      </c>
      <c r="Q3" s="14" t="n">
        <f aca="false">L3-L2</f>
        <v>-64.4658375639729</v>
      </c>
    </row>
    <row r="4" customFormat="false" ht="15" hidden="false" customHeight="false" outlineLevel="0" collapsed="false">
      <c r="A4" s="11" t="n">
        <v>46025</v>
      </c>
      <c r="B4" s="12" t="s">
        <v>49</v>
      </c>
      <c r="C4" s="13" t="n">
        <v>0.00284664921270927</v>
      </c>
      <c r="D4" s="13" t="n">
        <v>0.000545490420114464</v>
      </c>
      <c r="E4" s="13" t="n">
        <v>0.00150305291442731</v>
      </c>
      <c r="F4" s="13" t="n">
        <v>-0.000773295999433099</v>
      </c>
      <c r="G4" s="13" t="n">
        <v>0.000578165186264024</v>
      </c>
      <c r="H4" s="14" t="n">
        <f aca="false">H3*(1+C4)</f>
        <v>1944.63414540048</v>
      </c>
      <c r="I4" s="14" t="n">
        <f aca="false">I3*(1+D4)</f>
        <v>1906.49636448739</v>
      </c>
      <c r="J4" s="14" t="n">
        <f aca="false">J3*(1+E4)</f>
        <v>1904.82994922665</v>
      </c>
      <c r="K4" s="14" t="n">
        <f aca="false">K3*(1+F4)</f>
        <v>1929.03720951819</v>
      </c>
      <c r="L4" s="14" t="n">
        <f aca="false">L3*(1+G4)</f>
        <v>1905.79368098988</v>
      </c>
      <c r="M4" s="14" t="n">
        <f aca="false">H4-H3</f>
        <v>5.51997781850059</v>
      </c>
      <c r="N4" s="14" t="n">
        <f aca="false">I4-I3</f>
        <v>1.03940851542325</v>
      </c>
      <c r="O4" s="14" t="n">
        <f aca="false">J4-J3</f>
        <v>2.85876333411261</v>
      </c>
      <c r="P4" s="14" t="n">
        <f aca="false">K4-K3</f>
        <v>-1.49287118819552</v>
      </c>
      <c r="Q4" s="14" t="n">
        <f aca="false">L4-L3</f>
        <v>1.10122686751333</v>
      </c>
    </row>
    <row r="5" customFormat="false" ht="15" hidden="false" customHeight="false" outlineLevel="0" collapsed="false">
      <c r="A5" s="11" t="n">
        <v>46026</v>
      </c>
      <c r="B5" s="12" t="s">
        <v>50</v>
      </c>
      <c r="C5" s="13" t="n">
        <v>0.00573679194812071</v>
      </c>
      <c r="D5" s="13" t="n">
        <v>0.0122227708999345</v>
      </c>
      <c r="E5" s="13" t="n">
        <v>0.0121179102227311</v>
      </c>
      <c r="F5" s="13" t="n">
        <v>0.0005422149583999</v>
      </c>
      <c r="G5" s="13" t="n">
        <v>0.00882726592316996</v>
      </c>
      <c r="H5" s="14" t="n">
        <f aca="false">H4*(1+C5)</f>
        <v>1955.79010690786</v>
      </c>
      <c r="I5" s="14" t="n">
        <f aca="false">I4*(1+D5)</f>
        <v>1929.79903277208</v>
      </c>
      <c r="J5" s="14" t="n">
        <f aca="false">J4*(1+E5)</f>
        <v>1927.91250754095</v>
      </c>
      <c r="K5" s="14" t="n">
        <f aca="false">K4*(1+F5)</f>
        <v>1930.0831623485</v>
      </c>
      <c r="L5" s="14" t="n">
        <f aca="false">L4*(1+G5)</f>
        <v>1922.61662860668</v>
      </c>
      <c r="M5" s="14" t="n">
        <f aca="false">H5-H4</f>
        <v>11.1559615073738</v>
      </c>
      <c r="N5" s="14" t="n">
        <f aca="false">I5-I4</f>
        <v>23.3026682846873</v>
      </c>
      <c r="O5" s="14" t="n">
        <f aca="false">J5-J4</f>
        <v>23.082558314298</v>
      </c>
      <c r="P5" s="14" t="n">
        <f aca="false">K5-K4</f>
        <v>1.04595283031063</v>
      </c>
      <c r="Q5" s="14" t="n">
        <f aca="false">L5-L4</f>
        <v>16.8229476167944</v>
      </c>
    </row>
    <row r="6" customFormat="false" ht="15" hidden="false" customHeight="false" outlineLevel="0" collapsed="false">
      <c r="A6" s="11" t="n">
        <v>46027</v>
      </c>
      <c r="B6" s="12" t="s">
        <v>51</v>
      </c>
      <c r="C6" s="13" t="n">
        <v>0.0218546110189982</v>
      </c>
      <c r="D6" s="13" t="n">
        <v>0.0218977892928351</v>
      </c>
      <c r="E6" s="13" t="n">
        <v>0.0220066232707237</v>
      </c>
      <c r="F6" s="13" t="n">
        <v>0.0255660878531755</v>
      </c>
      <c r="G6" s="13" t="n">
        <v>0.017649111742776</v>
      </c>
      <c r="H6" s="14" t="n">
        <f aca="false">H5*(1+C6)</f>
        <v>1998.53313892913</v>
      </c>
      <c r="I6" s="14" t="n">
        <f aca="false">I5*(1+D6)</f>
        <v>1972.05736536924</v>
      </c>
      <c r="J6" s="14" t="n">
        <f aca="false">J5*(1+E6)</f>
        <v>1970.33935179332</v>
      </c>
      <c r="K6" s="14" t="n">
        <f aca="false">K5*(1+F6)</f>
        <v>1979.42783804104</v>
      </c>
      <c r="L6" s="14" t="n">
        <f aca="false">L5*(1+G6)</f>
        <v>1956.54910432348</v>
      </c>
      <c r="M6" s="14" t="n">
        <f aca="false">H6-H5</f>
        <v>42.7430320212764</v>
      </c>
      <c r="N6" s="14" t="n">
        <f aca="false">I6-I5</f>
        <v>42.25833259716</v>
      </c>
      <c r="O6" s="14" t="n">
        <f aca="false">J6-J5</f>
        <v>42.4268442523699</v>
      </c>
      <c r="P6" s="14" t="n">
        <f aca="false">K6-K5</f>
        <v>49.3446756925364</v>
      </c>
      <c r="Q6" s="14" t="n">
        <f aca="false">L6-L5</f>
        <v>33.9324757167983</v>
      </c>
    </row>
    <row r="7" customFormat="false" ht="15" hidden="false" customHeight="false" outlineLevel="0" collapsed="false">
      <c r="A7" s="11" t="n">
        <v>46028</v>
      </c>
      <c r="B7" s="12" t="s">
        <v>52</v>
      </c>
      <c r="C7" s="13" t="n">
        <v>0.0411741747914522</v>
      </c>
      <c r="D7" s="13" t="n">
        <v>0.0468118150319608</v>
      </c>
      <c r="E7" s="13" t="n">
        <v>0.0468699277506962</v>
      </c>
      <c r="F7" s="13" t="n">
        <v>0.0425317023482025</v>
      </c>
      <c r="G7" s="13" t="n">
        <v>0.0395056197803301</v>
      </c>
      <c r="H7" s="14" t="n">
        <f aca="false">H6*(1+C7)</f>
        <v>2080.82109171791</v>
      </c>
      <c r="I7" s="14" t="n">
        <f aca="false">I6*(1+D7)</f>
        <v>2064.37294998932</v>
      </c>
      <c r="J7" s="14" t="n">
        <f aca="false">J6*(1+E7)</f>
        <v>2062.68901485622</v>
      </c>
      <c r="K7" s="14" t="n">
        <f aca="false">K6*(1+F7)</f>
        <v>2063.61627366834</v>
      </c>
      <c r="L7" s="14" t="n">
        <f aca="false">L6*(1+G7)</f>
        <v>2033.84378932042</v>
      </c>
      <c r="M7" s="14" t="n">
        <f aca="false">H7-H6</f>
        <v>82.2879527887781</v>
      </c>
      <c r="N7" s="14" t="n">
        <f aca="false">I7-I6</f>
        <v>92.3155846200809</v>
      </c>
      <c r="O7" s="14" t="n">
        <f aca="false">J7-J6</f>
        <v>92.3496630629061</v>
      </c>
      <c r="P7" s="14" t="n">
        <f aca="false">K7-K6</f>
        <v>84.1884356273074</v>
      </c>
      <c r="Q7" s="14" t="n">
        <f aca="false">L7-L6</f>
        <v>77.2946849969485</v>
      </c>
    </row>
    <row r="8" customFormat="false" ht="15" hidden="false" customHeight="false" outlineLevel="0" collapsed="false">
      <c r="A8" s="11" t="n">
        <v>46029</v>
      </c>
      <c r="B8" s="12" t="s">
        <v>53</v>
      </c>
      <c r="C8" s="13" t="n">
        <v>-0.00191176974436974</v>
      </c>
      <c r="D8" s="13" t="n">
        <v>0.00044940332038228</v>
      </c>
      <c r="E8" s="13" t="n">
        <v>0.000449299515965862</v>
      </c>
      <c r="F8" s="13" t="n">
        <v>0.00642551781010992</v>
      </c>
      <c r="G8" s="13" t="n">
        <v>0.00652578304545881</v>
      </c>
      <c r="H8" s="14" t="n">
        <f aca="false">H7*(1+C8)</f>
        <v>2076.84304091132</v>
      </c>
      <c r="I8" s="14" t="n">
        <f aca="false">I7*(1+D8)</f>
        <v>2065.30068604755</v>
      </c>
      <c r="J8" s="14" t="n">
        <f aca="false">J7*(1+E8)</f>
        <v>2063.61578003219</v>
      </c>
      <c r="K8" s="14" t="n">
        <f aca="false">K7*(1+F8)</f>
        <v>2076.87607678803</v>
      </c>
      <c r="L8" s="14" t="n">
        <f aca="false">L7*(1+G8)</f>
        <v>2047.11621263788</v>
      </c>
      <c r="M8" s="14" t="n">
        <f aca="false">H8-H7</f>
        <v>-3.97805080659282</v>
      </c>
      <c r="N8" s="14" t="n">
        <f aca="false">I8-I7</f>
        <v>0.927736058232767</v>
      </c>
      <c r="O8" s="14" t="n">
        <f aca="false">J8-J7</f>
        <v>0.926765175963283</v>
      </c>
      <c r="P8" s="14" t="n">
        <f aca="false">K8-K7</f>
        <v>13.259803119689</v>
      </c>
      <c r="Q8" s="14" t="n">
        <f aca="false">L8-L7</f>
        <v>13.272423317459</v>
      </c>
    </row>
    <row r="9" customFormat="false" ht="15" hidden="false" customHeight="false" outlineLevel="0" collapsed="false">
      <c r="A9" s="11" t="n">
        <v>46030</v>
      </c>
      <c r="B9" s="12" t="s">
        <v>47</v>
      </c>
      <c r="C9" s="13" t="n">
        <v>0.0116456438717038</v>
      </c>
      <c r="D9" s="13" t="n">
        <v>0.0125875887739957</v>
      </c>
      <c r="E9" s="13" t="n">
        <v>0.0125875329998382</v>
      </c>
      <c r="F9" s="13" t="n">
        <v>0.0139941681578212</v>
      </c>
      <c r="G9" s="13" t="n">
        <v>0.0152412063015881</v>
      </c>
      <c r="H9" s="14" t="n">
        <f aca="false">H8*(1+C9)</f>
        <v>2101.0292153432</v>
      </c>
      <c r="I9" s="14" t="n">
        <f aca="false">I8*(1+D9)</f>
        <v>2091.29784177817</v>
      </c>
      <c r="J9" s="14" t="n">
        <f aca="false">J8*(1+E9)</f>
        <v>2089.59161176233</v>
      </c>
      <c r="K9" s="14" t="n">
        <f aca="false">K8*(1+F9)</f>
        <v>2105.94022984956</v>
      </c>
      <c r="L9" s="14" t="n">
        <f aca="false">L8*(1+G9)</f>
        <v>2078.31673315802</v>
      </c>
      <c r="M9" s="14" t="n">
        <f aca="false">H9-H8</f>
        <v>24.1861744318799</v>
      </c>
      <c r="N9" s="14" t="n">
        <f aca="false">I9-I8</f>
        <v>25.9971557306176</v>
      </c>
      <c r="O9" s="14" t="n">
        <f aca="false">J9-J8</f>
        <v>25.9758317301421</v>
      </c>
      <c r="P9" s="14" t="n">
        <f aca="false">K9-K8</f>
        <v>29.0641530615276</v>
      </c>
      <c r="Q9" s="14" t="n">
        <f aca="false">L9-L8</f>
        <v>31.2005205201397</v>
      </c>
    </row>
    <row r="10" customFormat="false" ht="15" hidden="false" customHeight="false" outlineLevel="0" collapsed="false">
      <c r="A10" s="11" t="n">
        <v>46031</v>
      </c>
      <c r="B10" s="12" t="s">
        <v>48</v>
      </c>
      <c r="C10" s="13" t="n">
        <v>-0.00396654881782466</v>
      </c>
      <c r="D10" s="13" t="n">
        <v>-0.00306022562887609</v>
      </c>
      <c r="E10" s="13" t="n">
        <v>-0.00306008221561312</v>
      </c>
      <c r="F10" s="13" t="n">
        <v>-0.00344347559152208</v>
      </c>
      <c r="G10" s="13" t="n">
        <v>-0.00218069502793644</v>
      </c>
      <c r="H10" s="14" t="n">
        <f aca="false">H9*(1+C10)</f>
        <v>2092.69538039287</v>
      </c>
      <c r="I10" s="14" t="n">
        <f aca="false">I9*(1+D10)</f>
        <v>2084.89799852515</v>
      </c>
      <c r="J10" s="14" t="n">
        <f aca="false">J9*(1+E10)</f>
        <v>2083.19728963328</v>
      </c>
      <c r="K10" s="14" t="n">
        <f aca="false">K9*(1+F10)</f>
        <v>2098.68847607087</v>
      </c>
      <c r="L10" s="14" t="n">
        <f aca="false">L9*(1+G10)</f>
        <v>2073.78455819155</v>
      </c>
      <c r="M10" s="14" t="n">
        <f aca="false">H10-H9</f>
        <v>-8.33383495033468</v>
      </c>
      <c r="N10" s="14" t="n">
        <f aca="false">I10-I9</f>
        <v>-6.39984325302294</v>
      </c>
      <c r="O10" s="14" t="n">
        <f aca="false">J10-J9</f>
        <v>-6.39432212904831</v>
      </c>
      <c r="P10" s="14" t="n">
        <f aca="false">K10-K9</f>
        <v>-7.25175377869164</v>
      </c>
      <c r="Q10" s="14" t="n">
        <f aca="false">L10-L9</f>
        <v>-4.53217496647449</v>
      </c>
    </row>
    <row r="11" customFormat="false" ht="15" hidden="false" customHeight="false" outlineLevel="0" collapsed="false">
      <c r="A11" s="11" t="n">
        <v>46032</v>
      </c>
      <c r="B11" s="12" t="s">
        <v>49</v>
      </c>
      <c r="C11" s="13" t="n">
        <v>-0.000110608440421545</v>
      </c>
      <c r="D11" s="13" t="n">
        <v>-0.00271238822677733</v>
      </c>
      <c r="E11" s="13" t="n">
        <v>-0.00271261824916794</v>
      </c>
      <c r="F11" s="13" t="n">
        <v>-0.00653275236059314</v>
      </c>
      <c r="G11" s="13" t="n">
        <v>-0.00204441670215838</v>
      </c>
      <c r="H11" s="14" t="n">
        <f aca="false">H10*(1+C11)</f>
        <v>2092.46391062056</v>
      </c>
      <c r="I11" s="14" t="n">
        <f aca="false">I10*(1+D11)</f>
        <v>2079.24294573992</v>
      </c>
      <c r="J11" s="14" t="n">
        <f aca="false">J10*(1+E11)</f>
        <v>2077.5463706488</v>
      </c>
      <c r="K11" s="14" t="n">
        <f aca="false">K10*(1+F11)</f>
        <v>2084.97826397467</v>
      </c>
      <c r="L11" s="14" t="n">
        <f aca="false">L10*(1+G11)</f>
        <v>2069.5448784041</v>
      </c>
      <c r="M11" s="14" t="n">
        <f aca="false">H11-H10</f>
        <v>-0.231469772302717</v>
      </c>
      <c r="N11" s="14" t="n">
        <f aca="false">I11-I10</f>
        <v>-5.65505278523142</v>
      </c>
      <c r="O11" s="14" t="n">
        <f aca="false">J11-J10</f>
        <v>-5.65091898447645</v>
      </c>
      <c r="P11" s="14" t="n">
        <f aca="false">K11-K10</f>
        <v>-13.7102120962018</v>
      </c>
      <c r="Q11" s="14" t="n">
        <f aca="false">L11-L10</f>
        <v>-4.23967978744486</v>
      </c>
    </row>
    <row r="12" customFormat="false" ht="15" hidden="false" customHeight="false" outlineLevel="0" collapsed="false">
      <c r="A12" s="11" t="n">
        <v>46033</v>
      </c>
      <c r="B12" s="12" t="s">
        <v>50</v>
      </c>
      <c r="C12" s="13" t="n">
        <v>0.0301230702692784</v>
      </c>
      <c r="D12" s="13" t="n">
        <v>0.0355189195542943</v>
      </c>
      <c r="E12" s="13" t="n">
        <v>0.0355195090774672</v>
      </c>
      <c r="F12" s="13" t="n">
        <v>0.0347173857892265</v>
      </c>
      <c r="G12" s="13" t="n">
        <v>0.0311645541072567</v>
      </c>
      <c r="H12" s="14" t="n">
        <f aca="false">H11*(1+C12)</f>
        <v>2155.49534803611</v>
      </c>
      <c r="I12" s="14" t="n">
        <f aca="false">I11*(1+D12)</f>
        <v>2153.09540866349</v>
      </c>
      <c r="J12" s="14" t="n">
        <f aca="false">J11*(1+E12)</f>
        <v>2151.33979781992</v>
      </c>
      <c r="K12" s="14" t="n">
        <f aca="false">K11*(1+F12)</f>
        <v>2157.36325872723</v>
      </c>
      <c r="L12" s="14" t="n">
        <f aca="false">L11*(1+G12)</f>
        <v>2134.04132174452</v>
      </c>
      <c r="M12" s="14" t="n">
        <f aca="false">H12-H11</f>
        <v>63.0314374155523</v>
      </c>
      <c r="N12" s="14" t="n">
        <f aca="false">I12-I11</f>
        <v>73.8524629235699</v>
      </c>
      <c r="O12" s="14" t="n">
        <f aca="false">J12-J11</f>
        <v>73.7934271711192</v>
      </c>
      <c r="P12" s="14" t="n">
        <f aca="false">K12-K11</f>
        <v>72.38499475256</v>
      </c>
      <c r="Q12" s="14" t="n">
        <f aca="false">L12-L11</f>
        <v>64.4964433404207</v>
      </c>
    </row>
    <row r="13" customFormat="false" ht="15" hidden="false" customHeight="false" outlineLevel="0" collapsed="false">
      <c r="A13" s="11" t="n">
        <v>46034</v>
      </c>
      <c r="B13" s="12" t="s">
        <v>51</v>
      </c>
      <c r="C13" s="13" t="n">
        <v>0.0111307002200579</v>
      </c>
      <c r="D13" s="13" t="n">
        <v>0.0137300283992713</v>
      </c>
      <c r="E13" s="13" t="n">
        <v>0.0137301305485866</v>
      </c>
      <c r="F13" s="13" t="n">
        <v>0.0130225528872784</v>
      </c>
      <c r="G13" s="13" t="n">
        <v>0.0145639682271721</v>
      </c>
      <c r="H13" s="14" t="n">
        <f aca="false">H12*(1+C13)</f>
        <v>2179.48752058083</v>
      </c>
      <c r="I13" s="14" t="n">
        <f aca="false">I12*(1+D13)</f>
        <v>2182.65746977078</v>
      </c>
      <c r="J13" s="14" t="n">
        <f aca="false">J12*(1+E13)</f>
        <v>2180.87797409836</v>
      </c>
      <c r="K13" s="14" t="n">
        <f aca="false">K12*(1+F13)</f>
        <v>2185.45763586107</v>
      </c>
      <c r="L13" s="14" t="n">
        <f aca="false">L12*(1+G13)</f>
        <v>2165.12143174988</v>
      </c>
      <c r="M13" s="14" t="n">
        <f aca="false">H13-H12</f>
        <v>23.9921725447198</v>
      </c>
      <c r="N13" s="14" t="n">
        <f aca="false">I13-I12</f>
        <v>29.5620611072904</v>
      </c>
      <c r="O13" s="14" t="n">
        <f aca="false">J13-J12</f>
        <v>29.5381762784373</v>
      </c>
      <c r="P13" s="14" t="n">
        <f aca="false">K13-K12</f>
        <v>28.0943771338461</v>
      </c>
      <c r="Q13" s="14" t="n">
        <f aca="false">L13-L12</f>
        <v>31.0801100053595</v>
      </c>
    </row>
    <row r="14" customFormat="false" ht="15" hidden="false" customHeight="false" outlineLevel="0" collapsed="false">
      <c r="A14" s="11" t="n">
        <v>46035</v>
      </c>
      <c r="B14" s="12" t="s">
        <v>52</v>
      </c>
      <c r="C14" s="13" t="n">
        <v>0.00901723941628385</v>
      </c>
      <c r="D14" s="13" t="n">
        <v>0.00811784040513221</v>
      </c>
      <c r="E14" s="13" t="n">
        <v>0.00812166900386377</v>
      </c>
      <c r="F14" s="13" t="n">
        <v>-0.000543759911081521</v>
      </c>
      <c r="G14" s="13" t="n">
        <v>-0.000795369842446936</v>
      </c>
      <c r="H14" s="14" t="n">
        <f aca="false">H13*(1+C14)</f>
        <v>2199.14048135871</v>
      </c>
      <c r="I14" s="14" t="n">
        <f aca="false">I13*(1+D14)</f>
        <v>2200.37593476945</v>
      </c>
      <c r="J14" s="14" t="n">
        <f aca="false">J13*(1+E14)</f>
        <v>2198.5903431418</v>
      </c>
      <c r="K14" s="14" t="n">
        <f aca="false">K13*(1+F14)</f>
        <v>2184.26927161132</v>
      </c>
      <c r="L14" s="14" t="n">
        <f aca="false">L13*(1+G14)</f>
        <v>2163.39935945783</v>
      </c>
      <c r="M14" s="14" t="n">
        <f aca="false">H14-H13</f>
        <v>19.6529607778798</v>
      </c>
      <c r="N14" s="14" t="n">
        <f aca="false">I14-I13</f>
        <v>17.7184649986689</v>
      </c>
      <c r="O14" s="14" t="n">
        <f aca="false">J14-J13</f>
        <v>17.7123690434437</v>
      </c>
      <c r="P14" s="14" t="n">
        <f aca="false">K14-K13</f>
        <v>-1.18836424974825</v>
      </c>
      <c r="Q14" s="14" t="n">
        <f aca="false">L14-L13</f>
        <v>-1.72207229204969</v>
      </c>
    </row>
    <row r="15" customFormat="false" ht="15" hidden="false" customHeight="false" outlineLevel="0" collapsed="false">
      <c r="A15" s="11" t="n">
        <v>46036</v>
      </c>
      <c r="B15" s="12" t="s">
        <v>53</v>
      </c>
      <c r="C15" s="13" t="n">
        <v>0.0286525013144581</v>
      </c>
      <c r="D15" s="13" t="n">
        <v>0.0320081969425143</v>
      </c>
      <c r="E15" s="13" t="n">
        <v>0.0320025500645412</v>
      </c>
      <c r="F15" s="13" t="n">
        <v>0.0298332262064841</v>
      </c>
      <c r="G15" s="13" t="n">
        <v>0.0278527116153302</v>
      </c>
      <c r="H15" s="14" t="n">
        <f aca="false">H14*(1+C15)</f>
        <v>2262.15135689152</v>
      </c>
      <c r="I15" s="14" t="n">
        <f aca="false">I14*(1+D15)</f>
        <v>2270.80600103712</v>
      </c>
      <c r="J15" s="14" t="n">
        <f aca="false">J14*(1+E15)</f>
        <v>2268.95084066962</v>
      </c>
      <c r="K15" s="14" t="n">
        <f aca="false">K14*(1+F15)</f>
        <v>2249.43307088718</v>
      </c>
      <c r="L15" s="14" t="n">
        <f aca="false">L14*(1+G15)</f>
        <v>2223.6558979256</v>
      </c>
      <c r="M15" s="14" t="n">
        <f aca="false">H15-H14</f>
        <v>63.0108755328083</v>
      </c>
      <c r="N15" s="14" t="n">
        <f aca="false">I15-I14</f>
        <v>70.4300662676696</v>
      </c>
      <c r="O15" s="14" t="n">
        <f aca="false">J15-J14</f>
        <v>70.3604975278126</v>
      </c>
      <c r="P15" s="14" t="n">
        <f aca="false">K15-K14</f>
        <v>65.1637992758533</v>
      </c>
      <c r="Q15" s="14" t="n">
        <f aca="false">L15-L14</f>
        <v>60.2565384677691</v>
      </c>
    </row>
    <row r="16" customFormat="false" ht="15" hidden="false" customHeight="false" outlineLevel="0" collapsed="false">
      <c r="A16" s="11" t="n">
        <v>46037</v>
      </c>
      <c r="B16" s="12" t="s">
        <v>47</v>
      </c>
      <c r="C16" s="13" t="n">
        <v>0.0199446268303035</v>
      </c>
      <c r="D16" s="13" t="n">
        <v>0.0208254080795356</v>
      </c>
      <c r="E16" s="13" t="n">
        <v>0.0208267942939153</v>
      </c>
      <c r="F16" s="13" t="n">
        <v>0.0213028561214191</v>
      </c>
      <c r="G16" s="13" t="n">
        <v>0.0216879449165577</v>
      </c>
      <c r="H16" s="14" t="n">
        <f aca="false">H15*(1+C16)</f>
        <v>2307.26912153839</v>
      </c>
      <c r="I16" s="14" t="n">
        <f aca="false">I15*(1+D16)</f>
        <v>2318.09646267817</v>
      </c>
      <c r="J16" s="14" t="n">
        <f aca="false">J15*(1+E16)</f>
        <v>2316.20581309125</v>
      </c>
      <c r="K16" s="14" t="n">
        <f aca="false">K15*(1+F16)</f>
        <v>2297.35241995105</v>
      </c>
      <c r="L16" s="14" t="n">
        <f aca="false">L15*(1+G16)</f>
        <v>2271.88242455319</v>
      </c>
      <c r="M16" s="14" t="n">
        <f aca="false">H16-H15</f>
        <v>45.1177646468659</v>
      </c>
      <c r="N16" s="14" t="n">
        <f aca="false">I16-I15</f>
        <v>47.2904616410565</v>
      </c>
      <c r="O16" s="14" t="n">
        <f aca="false">J16-J15</f>
        <v>47.2549724216324</v>
      </c>
      <c r="P16" s="14" t="n">
        <f aca="false">K16-K15</f>
        <v>47.9193490638713</v>
      </c>
      <c r="Q16" s="14" t="n">
        <f aca="false">L16-L15</f>
        <v>48.226526627589</v>
      </c>
    </row>
    <row r="17" customFormat="false" ht="15" hidden="false" customHeight="false" outlineLevel="0" collapsed="false">
      <c r="A17" s="11" t="n">
        <v>46038</v>
      </c>
      <c r="B17" s="12" t="s">
        <v>48</v>
      </c>
      <c r="C17" s="13" t="n">
        <v>0.0266722698346262</v>
      </c>
      <c r="D17" s="13" t="n">
        <v>0.0262304088351005</v>
      </c>
      <c r="E17" s="13" t="n">
        <v>0.0262078336352573</v>
      </c>
      <c r="F17" s="13" t="n">
        <v>0.0172508125730471</v>
      </c>
      <c r="G17" s="13" t="n">
        <v>0.0224410063485024</v>
      </c>
      <c r="H17" s="14" t="n">
        <f aca="false">H16*(1+C17)</f>
        <v>2368.80922612916</v>
      </c>
      <c r="I17" s="14" t="n">
        <f aca="false">I16*(1+D17)</f>
        <v>2378.90108061342</v>
      </c>
      <c r="J17" s="14" t="n">
        <f aca="false">J16*(1+E17)</f>
        <v>2376.90854970576</v>
      </c>
      <c r="K17" s="14" t="n">
        <f aca="false">K16*(1+F17)</f>
        <v>2336.98361596186</v>
      </c>
      <c r="L17" s="14" t="n">
        <f aca="false">L16*(1+G17)</f>
        <v>2322.86575246564</v>
      </c>
      <c r="M17" s="14" t="n">
        <f aca="false">H17-H16</f>
        <v>61.5401045907729</v>
      </c>
      <c r="N17" s="14" t="n">
        <f aca="false">I17-I16</f>
        <v>60.8046179352491</v>
      </c>
      <c r="O17" s="14" t="n">
        <f aca="false">J17-J16</f>
        <v>60.7027366145117</v>
      </c>
      <c r="P17" s="14" t="n">
        <f aca="false">K17-K16</f>
        <v>39.6311960108114</v>
      </c>
      <c r="Q17" s="14" t="n">
        <f aca="false">L17-L16</f>
        <v>50.9833279124491</v>
      </c>
    </row>
    <row r="18" customFormat="false" ht="15" hidden="false" customHeight="false" outlineLevel="0" collapsed="false">
      <c r="A18" s="11" t="n">
        <v>46039</v>
      </c>
      <c r="B18" s="12" t="s">
        <v>49</v>
      </c>
      <c r="C18" s="13" t="n">
        <v>-0.0374384639268283</v>
      </c>
      <c r="D18" s="13" t="n">
        <v>-0.0400339007856586</v>
      </c>
      <c r="E18" s="13" t="n">
        <v>-0.0400706054759308</v>
      </c>
      <c r="F18" s="13" t="n">
        <v>-0.0386069304637918</v>
      </c>
      <c r="G18" s="13" t="n">
        <v>-0.0353180995749647</v>
      </c>
      <c r="H18" s="14" t="n">
        <f aca="false">H17*(1+C18)</f>
        <v>2280.12464736719</v>
      </c>
      <c r="I18" s="14" t="n">
        <f aca="false">I17*(1+D18)</f>
        <v>2283.66439077325</v>
      </c>
      <c r="J18" s="14" t="n">
        <f aca="false">J17*(1+E18)</f>
        <v>2281.66438495813</v>
      </c>
      <c r="K18" s="14" t="n">
        <f aca="false">K17*(1+F18)</f>
        <v>2246.7598520054</v>
      </c>
      <c r="L18" s="14" t="n">
        <f aca="false">L17*(1+G18)</f>
        <v>2240.82654852078</v>
      </c>
      <c r="M18" s="14" t="n">
        <f aca="false">H18-H17</f>
        <v>-88.6845787619745</v>
      </c>
      <c r="N18" s="14" t="n">
        <f aca="false">I18-I17</f>
        <v>-95.2366898401738</v>
      </c>
      <c r="O18" s="14" t="n">
        <f aca="false">J18-J17</f>
        <v>-95.2441647476262</v>
      </c>
      <c r="P18" s="14" t="n">
        <f aca="false">K18-K17</f>
        <v>-90.2237639564605</v>
      </c>
      <c r="Q18" s="14" t="n">
        <f aca="false">L18-L17</f>
        <v>-82.0392039448566</v>
      </c>
    </row>
    <row r="19" customFormat="false" ht="15" hidden="false" customHeight="false" outlineLevel="0" collapsed="false">
      <c r="A19" s="11" t="n">
        <v>46040</v>
      </c>
      <c r="B19" s="12" t="s">
        <v>50</v>
      </c>
      <c r="C19" s="13" t="n">
        <v>0.0483183364074399</v>
      </c>
      <c r="D19" s="13" t="n">
        <v>0.0537276819334855</v>
      </c>
      <c r="E19" s="13" t="n">
        <v>0.0538317634417051</v>
      </c>
      <c r="F19" s="13" t="n">
        <v>0.0547781426775185</v>
      </c>
      <c r="G19" s="13" t="n">
        <v>0.049606800200963</v>
      </c>
      <c r="H19" s="14" t="n">
        <f aca="false">H18*(1+C19)</f>
        <v>2390.29647712957</v>
      </c>
      <c r="I19" s="14" t="n">
        <f aca="false">I18*(1+D19)</f>
        <v>2406.36038480354</v>
      </c>
      <c r="J19" s="14" t="n">
        <f aca="false">J18*(1+E19)</f>
        <v>2404.49040238256</v>
      </c>
      <c r="K19" s="14" t="n">
        <f aca="false">K18*(1+F19)</f>
        <v>2369.83318374067</v>
      </c>
      <c r="L19" s="14" t="n">
        <f aca="false">L18*(1+G19)</f>
        <v>2351.98678339827</v>
      </c>
      <c r="M19" s="14" t="n">
        <f aca="false">H19-H18</f>
        <v>110.171829762383</v>
      </c>
      <c r="N19" s="14" t="n">
        <f aca="false">I19-I18</f>
        <v>122.695994030292</v>
      </c>
      <c r="O19" s="14" t="n">
        <f aca="false">J19-J18</f>
        <v>122.82601742443</v>
      </c>
      <c r="P19" s="14" t="n">
        <f aca="false">K19-K18</f>
        <v>123.073331735272</v>
      </c>
      <c r="Q19" s="14" t="n">
        <f aca="false">L19-L18</f>
        <v>111.160234877484</v>
      </c>
    </row>
    <row r="20" customFormat="false" ht="15" hidden="false" customHeight="false" outlineLevel="0" collapsed="false">
      <c r="A20" s="11" t="n">
        <v>46041</v>
      </c>
      <c r="B20" s="12" t="s">
        <v>51</v>
      </c>
      <c r="C20" s="13" t="n">
        <v>0.025016376630824</v>
      </c>
      <c r="D20" s="13" t="n">
        <v>0.0274998735736571</v>
      </c>
      <c r="E20" s="13" t="n">
        <v>0.0277449917781768</v>
      </c>
      <c r="F20" s="13" t="n">
        <v>0.0318751907848716</v>
      </c>
      <c r="G20" s="13" t="n">
        <v>0.029051496738736</v>
      </c>
      <c r="H20" s="14" t="n">
        <f aca="false">H19*(1+C20)</f>
        <v>2450.09303406077</v>
      </c>
      <c r="I20" s="14" t="n">
        <f aca="false">I19*(1+D20)</f>
        <v>2472.5349911583</v>
      </c>
      <c r="J20" s="14" t="n">
        <f aca="false">J19*(1+E20)</f>
        <v>2471.20296882737</v>
      </c>
      <c r="K20" s="14" t="n">
        <f aca="false">K19*(1+F20)</f>
        <v>2445.37206860073</v>
      </c>
      <c r="L20" s="14" t="n">
        <f aca="false">L19*(1+G20)</f>
        <v>2420.31551976571</v>
      </c>
      <c r="M20" s="14" t="n">
        <f aca="false">H20-H19</f>
        <v>59.796556931205</v>
      </c>
      <c r="N20" s="14" t="n">
        <f aca="false">I20-I19</f>
        <v>66.1746063547544</v>
      </c>
      <c r="O20" s="14" t="n">
        <f aca="false">J20-J19</f>
        <v>66.712566444809</v>
      </c>
      <c r="P20" s="14" t="n">
        <f aca="false">K20-K19</f>
        <v>75.5388848600533</v>
      </c>
      <c r="Q20" s="14" t="n">
        <f aca="false">L20-L19</f>
        <v>68.3287363674444</v>
      </c>
    </row>
    <row r="21" customFormat="false" ht="15" hidden="false" customHeight="false" outlineLevel="0" collapsed="false">
      <c r="A21" s="11" t="n">
        <v>46042</v>
      </c>
      <c r="B21" s="12" t="s">
        <v>52</v>
      </c>
      <c r="C21" s="13" t="n">
        <v>0.043144616866287</v>
      </c>
      <c r="D21" s="13" t="n">
        <v>0.0523395438531689</v>
      </c>
      <c r="E21" s="13" t="n">
        <v>0.0523218222655391</v>
      </c>
      <c r="F21" s="13" t="n">
        <v>0.0346913834125775</v>
      </c>
      <c r="G21" s="13" t="n">
        <v>0.046138853965665</v>
      </c>
      <c r="H21" s="14" t="n">
        <f aca="false">H20*(1+C21)</f>
        <v>2555.80135930209</v>
      </c>
      <c r="I21" s="14" t="n">
        <f aca="false">I20*(1+D21)</f>
        <v>2601.94634475652</v>
      </c>
      <c r="J21" s="14" t="n">
        <f aca="false">J20*(1+E21)</f>
        <v>2600.50081134443</v>
      </c>
      <c r="K21" s="14" t="n">
        <f aca="false">K20*(1+F21)</f>
        <v>2530.20540861896</v>
      </c>
      <c r="L21" s="14" t="n">
        <f aca="false">L20*(1+G21)</f>
        <v>2531.98610408302</v>
      </c>
      <c r="M21" s="14" t="n">
        <f aca="false">H21-H20</f>
        <v>105.708325241311</v>
      </c>
      <c r="N21" s="14" t="n">
        <f aca="false">I21-I20</f>
        <v>129.411353598224</v>
      </c>
      <c r="O21" s="14" t="n">
        <f aca="false">J21-J20</f>
        <v>129.297842517058</v>
      </c>
      <c r="P21" s="14" t="n">
        <f aca="false">K21-K20</f>
        <v>84.8333400182355</v>
      </c>
      <c r="Q21" s="14" t="n">
        <f aca="false">L21-L20</f>
        <v>111.670584317303</v>
      </c>
    </row>
    <row r="22" customFormat="false" ht="15" hidden="false" customHeight="false" outlineLevel="0" collapsed="false">
      <c r="A22" s="11" t="n">
        <v>46043</v>
      </c>
      <c r="B22" s="12" t="s">
        <v>53</v>
      </c>
      <c r="C22" s="13" t="n">
        <v>0.021911516898307</v>
      </c>
      <c r="D22" s="13" t="n">
        <v>0.0157503770270409</v>
      </c>
      <c r="E22" s="13" t="n">
        <v>0.0157289896261722</v>
      </c>
      <c r="F22" s="13" t="n">
        <v>0.028640919661534</v>
      </c>
      <c r="G22" s="13" t="n">
        <v>0.012680957302207</v>
      </c>
      <c r="H22" s="14" t="n">
        <f aca="false">H21*(1+C22)</f>
        <v>2611.80284397515</v>
      </c>
      <c r="I22" s="14" t="n">
        <f aca="false">I21*(1+D22)</f>
        <v>2642.92798069057</v>
      </c>
      <c r="J22" s="14" t="n">
        <f aca="false">J21*(1+E22)</f>
        <v>2641.40406162892</v>
      </c>
      <c r="K22" s="14" t="n">
        <f aca="false">K21*(1+F22)</f>
        <v>2602.6728184544</v>
      </c>
      <c r="L22" s="14" t="n">
        <f aca="false">L21*(1+G22)</f>
        <v>2564.09411175867</v>
      </c>
      <c r="M22" s="14" t="n">
        <f aca="false">H22-H21</f>
        <v>56.0014846730637</v>
      </c>
      <c r="N22" s="14" t="n">
        <f aca="false">I22-I21</f>
        <v>40.9816359340462</v>
      </c>
      <c r="O22" s="14" t="n">
        <f aca="false">J22-J21</f>
        <v>40.9032502844893</v>
      </c>
      <c r="P22" s="14" t="n">
        <f aca="false">K22-K21</f>
        <v>72.4674098354344</v>
      </c>
      <c r="Q22" s="14" t="n">
        <f aca="false">L22-L21</f>
        <v>32.108007675658</v>
      </c>
    </row>
    <row r="23" customFormat="false" ht="15" hidden="false" customHeight="false" outlineLevel="0" collapsed="false">
      <c r="A23" s="11" t="n">
        <v>46044</v>
      </c>
      <c r="B23" s="12" t="s">
        <v>47</v>
      </c>
      <c r="C23" s="13" t="n">
        <v>0.0218159010773431</v>
      </c>
      <c r="D23" s="13" t="n">
        <v>0.0116207269530067</v>
      </c>
      <c r="E23" s="13" t="n">
        <v>0.011611966345222</v>
      </c>
      <c r="F23" s="13" t="n">
        <v>0.0163932062412282</v>
      </c>
      <c r="G23" s="13" t="n">
        <v>0.0109196231152472</v>
      </c>
      <c r="H23" s="14" t="n">
        <f aca="false">H22*(1+C23)</f>
        <v>2668.78167645283</v>
      </c>
      <c r="I23" s="14" t="n">
        <f aca="false">I22*(1+D23)</f>
        <v>2673.64072511063</v>
      </c>
      <c r="J23" s="14" t="n">
        <f aca="false">J22*(1+E23)</f>
        <v>2672.07595669669</v>
      </c>
      <c r="K23" s="14" t="n">
        <f aca="false">K22*(1+F23)</f>
        <v>2645.33897074576</v>
      </c>
      <c r="L23" s="14" t="n">
        <f aca="false">L22*(1+G23)</f>
        <v>2592.0930530911</v>
      </c>
      <c r="M23" s="14" t="n">
        <f aca="false">H23-H22</f>
        <v>56.978832477685</v>
      </c>
      <c r="N23" s="14" t="n">
        <f aca="false">I23-I22</f>
        <v>30.7127444200664</v>
      </c>
      <c r="O23" s="14" t="n">
        <f aca="false">J23-J22</f>
        <v>30.6718950677673</v>
      </c>
      <c r="P23" s="14" t="n">
        <f aca="false">K23-K22</f>
        <v>42.6661522913614</v>
      </c>
      <c r="Q23" s="14" t="n">
        <f aca="false">L23-L22</f>
        <v>27.9989413324297</v>
      </c>
    </row>
    <row r="24" customFormat="false" ht="15" hidden="false" customHeight="false" outlineLevel="0" collapsed="false">
      <c r="A24" s="11" t="n">
        <v>46045</v>
      </c>
      <c r="B24" s="12" t="s">
        <v>48</v>
      </c>
      <c r="C24" s="13" t="n">
        <v>-0.00200827394064307</v>
      </c>
      <c r="D24" s="13" t="n">
        <v>-0.0108834203630187</v>
      </c>
      <c r="E24" s="13" t="n">
        <v>-0.0108924585453442</v>
      </c>
      <c r="F24" s="13" t="n">
        <v>-0.0106704371302496</v>
      </c>
      <c r="G24" s="13" t="n">
        <v>-0.0095415247194775</v>
      </c>
      <c r="H24" s="14" t="n">
        <f aca="false">H23*(1+C24)</f>
        <v>2663.42203175875</v>
      </c>
      <c r="I24" s="14" t="n">
        <f aca="false">I23*(1+D24)</f>
        <v>2644.54236919957</v>
      </c>
      <c r="J24" s="14" t="n">
        <f aca="false">J23*(1+E24)</f>
        <v>2642.97048010836</v>
      </c>
      <c r="K24" s="14" t="n">
        <f aca="false">K23*(1+F24)</f>
        <v>2617.11204757021</v>
      </c>
      <c r="L24" s="14" t="n">
        <f aca="false">L23*(1+G24)</f>
        <v>2567.36053314985</v>
      </c>
      <c r="M24" s="14" t="n">
        <f aca="false">H24-H23</f>
        <v>-5.359644694086</v>
      </c>
      <c r="N24" s="14" t="n">
        <f aca="false">I24-I23</f>
        <v>-29.098355911065</v>
      </c>
      <c r="O24" s="14" t="n">
        <f aca="false">J24-J23</f>
        <v>-29.1054765883296</v>
      </c>
      <c r="P24" s="14" t="n">
        <f aca="false">K24-K23</f>
        <v>-28.2269231755417</v>
      </c>
      <c r="Q24" s="14" t="n">
        <f aca="false">L24-L23</f>
        <v>-24.7325199412544</v>
      </c>
    </row>
    <row r="25" customFormat="false" ht="15" hidden="false" customHeight="false" outlineLevel="0" collapsed="false">
      <c r="A25" s="11" t="n">
        <v>46046</v>
      </c>
      <c r="B25" s="12" t="s">
        <v>49</v>
      </c>
      <c r="C25" s="13" t="n">
        <v>0.0317764174785435</v>
      </c>
      <c r="D25" s="13" t="n">
        <v>0.0359635878425045</v>
      </c>
      <c r="E25" s="13" t="n">
        <v>0.0359636623318699</v>
      </c>
      <c r="F25" s="13" t="n">
        <v>0.0327434722465787</v>
      </c>
      <c r="G25" s="13" t="n">
        <v>0.0315128404758953</v>
      </c>
      <c r="H25" s="14" t="n">
        <f aca="false">H24*(1+C25)</f>
        <v>2748.05604216147</v>
      </c>
      <c r="I25" s="14" t="n">
        <f aca="false">I24*(1+D25)</f>
        <v>2739.6496009975</v>
      </c>
      <c r="J25" s="14" t="n">
        <f aca="false">J24*(1+E25)</f>
        <v>2738.02137800808</v>
      </c>
      <c r="K25" s="14" t="n">
        <f aca="false">K24*(1+F25)</f>
        <v>2702.80538326602</v>
      </c>
      <c r="L25" s="14" t="n">
        <f aca="false">L24*(1+G25)</f>
        <v>2648.26535607511</v>
      </c>
      <c r="M25" s="14" t="n">
        <f aca="false">H25-H24</f>
        <v>84.6340104027167</v>
      </c>
      <c r="N25" s="14" t="n">
        <f aca="false">I25-I24</f>
        <v>95.1072317979333</v>
      </c>
      <c r="O25" s="14" t="n">
        <f aca="false">J25-J24</f>
        <v>95.0508978997173</v>
      </c>
      <c r="P25" s="14" t="n">
        <f aca="false">K25-K24</f>
        <v>85.693335695802</v>
      </c>
      <c r="Q25" s="14" t="n">
        <f aca="false">L25-L24</f>
        <v>80.9048229252608</v>
      </c>
    </row>
    <row r="26" customFormat="false" ht="15" hidden="false" customHeight="false" outlineLevel="0" collapsed="false">
      <c r="A26" s="11" t="n">
        <v>46047</v>
      </c>
      <c r="B26" s="12" t="s">
        <v>50</v>
      </c>
      <c r="C26" s="13" t="n">
        <v>0.0197284204759382</v>
      </c>
      <c r="D26" s="13" t="n">
        <v>0.0170430727552432</v>
      </c>
      <c r="E26" s="13" t="n">
        <v>0.0170430417931195</v>
      </c>
      <c r="F26" s="13" t="n">
        <v>0.0253100838573866</v>
      </c>
      <c r="G26" s="13" t="n">
        <v>0.0210430088171149</v>
      </c>
      <c r="H26" s="14" t="n">
        <f aca="false">H25*(1+C26)</f>
        <v>2802.27084725267</v>
      </c>
      <c r="I26" s="14" t="n">
        <f aca="false">I25*(1+D26)</f>
        <v>2786.34164847117</v>
      </c>
      <c r="J26" s="14" t="n">
        <f aca="false">J25*(1+E26)</f>
        <v>2784.68559078392</v>
      </c>
      <c r="K26" s="14" t="n">
        <f aca="false">K25*(1+F26)</f>
        <v>2771.21361416668</v>
      </c>
      <c r="L26" s="14" t="n">
        <f aca="false">L25*(1+G26)</f>
        <v>2703.99282731306</v>
      </c>
      <c r="M26" s="14" t="n">
        <f aca="false">H26-H25</f>
        <v>54.2148050912042</v>
      </c>
      <c r="N26" s="14" t="n">
        <f aca="false">I26-I25</f>
        <v>46.692047473673</v>
      </c>
      <c r="O26" s="14" t="n">
        <f aca="false">J26-J25</f>
        <v>46.6642127758464</v>
      </c>
      <c r="P26" s="14" t="n">
        <f aca="false">K26-K25</f>
        <v>68.4082309006585</v>
      </c>
      <c r="Q26" s="14" t="n">
        <f aca="false">L26-L25</f>
        <v>55.7274712379481</v>
      </c>
    </row>
    <row r="27" customFormat="false" ht="15" hidden="false" customHeight="false" outlineLevel="0" collapsed="false">
      <c r="A27" s="11" t="n">
        <v>46048</v>
      </c>
      <c r="B27" s="12" t="s">
        <v>51</v>
      </c>
      <c r="C27" s="13" t="n">
        <v>-0.00778482091259075</v>
      </c>
      <c r="D27" s="13" t="n">
        <v>-0.0132464871237597</v>
      </c>
      <c r="E27" s="13" t="n">
        <v>-0.0132464908295061</v>
      </c>
      <c r="F27" s="13" t="n">
        <v>-0.0097590254097441</v>
      </c>
      <c r="G27" s="13" t="n">
        <v>-0.0147745779680687</v>
      </c>
      <c r="H27" s="14" t="n">
        <f aca="false">H26*(1+C27)</f>
        <v>2780.45567055823</v>
      </c>
      <c r="I27" s="14" t="n">
        <f aca="false">I26*(1+D27)</f>
        <v>2749.4324097023</v>
      </c>
      <c r="J27" s="14" t="n">
        <f aca="false">J26*(1+E27)</f>
        <v>2747.79827864254</v>
      </c>
      <c r="K27" s="14" t="n">
        <f aca="false">K26*(1+F27)</f>
        <v>2744.16927009019</v>
      </c>
      <c r="L27" s="14" t="n">
        <f aca="false">L26*(1+G27)</f>
        <v>2664.04247446082</v>
      </c>
      <c r="M27" s="14" t="n">
        <f aca="false">H27-H26</f>
        <v>-21.8151766944361</v>
      </c>
      <c r="N27" s="14" t="n">
        <f aca="false">I27-I26</f>
        <v>-36.9092387688688</v>
      </c>
      <c r="O27" s="14" t="n">
        <f aca="false">J27-J26</f>
        <v>-36.8873121413772</v>
      </c>
      <c r="P27" s="14" t="n">
        <f aca="false">K27-K26</f>
        <v>-27.0443440764816</v>
      </c>
      <c r="Q27" s="14" t="n">
        <f aca="false">L27-L26</f>
        <v>-39.9503528522355</v>
      </c>
    </row>
    <row r="28" customFormat="false" ht="15" hidden="false" customHeight="false" outlineLevel="0" collapsed="false">
      <c r="A28" s="11" t="n">
        <v>46049</v>
      </c>
      <c r="B28" s="12" t="s">
        <v>52</v>
      </c>
      <c r="C28" s="13" t="n">
        <v>0.00815345151775959</v>
      </c>
      <c r="D28" s="13" t="n">
        <v>0.0184704619036371</v>
      </c>
      <c r="E28" s="13" t="n">
        <v>0.00659506981098814</v>
      </c>
      <c r="F28" s="13" t="n">
        <v>0.00742412973634743</v>
      </c>
      <c r="G28" s="13" t="n">
        <v>0.0152624385827967</v>
      </c>
      <c r="H28" s="14" t="n">
        <f aca="false">H27*(1+C28)</f>
        <v>2803.12598106541</v>
      </c>
      <c r="I28" s="14" t="n">
        <f aca="false">I27*(1+D28)</f>
        <v>2800.21569628234</v>
      </c>
      <c r="J28" s="14" t="n">
        <f aca="false">J27*(1+E28)</f>
        <v>2765.92020011671</v>
      </c>
      <c r="K28" s="14" t="n">
        <f aca="false">K27*(1+F28)</f>
        <v>2764.54233876984</v>
      </c>
      <c r="L28" s="14" t="n">
        <f aca="false">L27*(1+G28)</f>
        <v>2704.70225910924</v>
      </c>
      <c r="M28" s="14" t="n">
        <f aca="false">H28-H27</f>
        <v>22.6703105071765</v>
      </c>
      <c r="N28" s="14" t="n">
        <f aca="false">I28-I27</f>
        <v>50.7832865800315</v>
      </c>
      <c r="O28" s="14" t="n">
        <f aca="false">J28-J27</f>
        <v>18.1219214741609</v>
      </c>
      <c r="P28" s="14" t="n">
        <f aca="false">K28-K27</f>
        <v>20.3730686796471</v>
      </c>
      <c r="Q28" s="14" t="n">
        <f aca="false">L28-L27</f>
        <v>40.6597846484196</v>
      </c>
    </row>
    <row r="29" customFormat="false" ht="15" hidden="false" customHeight="false" outlineLevel="0" collapsed="false">
      <c r="A29" s="11" t="n">
        <v>46050</v>
      </c>
      <c r="B29" s="12" t="s">
        <v>53</v>
      </c>
      <c r="C29" s="13" t="n">
        <v>-0.00762795257038745</v>
      </c>
      <c r="D29" s="13" t="n">
        <v>-0.0106890628256197</v>
      </c>
      <c r="E29" s="13" t="n">
        <v>-0.00998954195811146</v>
      </c>
      <c r="F29" s="13" t="n">
        <v>-0.00680237130605205</v>
      </c>
      <c r="G29" s="13" t="n">
        <v>-0.00905342651720853</v>
      </c>
      <c r="H29" s="14" t="n">
        <f aca="false">H28*(1+C29)</f>
        <v>2781.74386903302</v>
      </c>
      <c r="I29" s="14" t="n">
        <f aca="false">I28*(1+D29)</f>
        <v>2770.28401477949</v>
      </c>
      <c r="J29" s="14" t="n">
        <f aca="false">J28*(1+E29)</f>
        <v>2738.28992422485</v>
      </c>
      <c r="K29" s="14" t="n">
        <f aca="false">K28*(1+F29)</f>
        <v>2745.73689529023</v>
      </c>
      <c r="L29" s="14" t="n">
        <f aca="false">L28*(1+G29)</f>
        <v>2680.21543595547</v>
      </c>
      <c r="M29" s="14" t="n">
        <f aca="false">H29-H28</f>
        <v>-21.3821120323878</v>
      </c>
      <c r="N29" s="14" t="n">
        <f aca="false">I29-I28</f>
        <v>-29.9316815028483</v>
      </c>
      <c r="O29" s="14" t="n">
        <f aca="false">J29-J28</f>
        <v>-27.6302758918537</v>
      </c>
      <c r="P29" s="14" t="n">
        <f aca="false">K29-K28</f>
        <v>-18.805443479614</v>
      </c>
      <c r="Q29" s="14" t="n">
        <f aca="false">L29-L28</f>
        <v>-24.4868231537735</v>
      </c>
    </row>
    <row r="30" customFormat="false" ht="15" hidden="false" customHeight="false" outlineLevel="0" collapsed="false">
      <c r="A30" s="11" t="n">
        <v>46051</v>
      </c>
      <c r="B30" s="12" t="s">
        <v>47</v>
      </c>
      <c r="C30" s="13" t="n">
        <v>-0.0157030849310828</v>
      </c>
      <c r="D30" s="13" t="n">
        <v>-0.025618966330443</v>
      </c>
      <c r="E30" s="13" t="n">
        <v>-0.0272288479511125</v>
      </c>
      <c r="F30" s="13" t="n">
        <v>-0.0203487430625133</v>
      </c>
      <c r="G30" s="13" t="n">
        <v>-0.0173362458732512</v>
      </c>
      <c r="H30" s="14" t="n">
        <f aca="false">H29*(1+C30)</f>
        <v>2738.06190880108</v>
      </c>
      <c r="I30" s="14" t="n">
        <f aca="false">I29*(1+D30)</f>
        <v>2699.31220187909</v>
      </c>
      <c r="J30" s="14" t="n">
        <f aca="false">J29*(1+E30)</f>
        <v>2663.72944423207</v>
      </c>
      <c r="K30" s="14" t="n">
        <f aca="false">K29*(1+F30)</f>
        <v>2689.8646006907</v>
      </c>
      <c r="L30" s="14" t="n">
        <f aca="false">L29*(1+G30)</f>
        <v>2633.75056216446</v>
      </c>
      <c r="M30" s="14" t="n">
        <f aca="false">H30-H29</f>
        <v>-43.6819602319447</v>
      </c>
      <c r="N30" s="14" t="n">
        <f aca="false">I30-I29</f>
        <v>-70.9718129004004</v>
      </c>
      <c r="O30" s="14" t="n">
        <f aca="false">J30-J29</f>
        <v>-74.5604799927819</v>
      </c>
      <c r="P30" s="14" t="n">
        <f aca="false">K30-K29</f>
        <v>-55.8722945995237</v>
      </c>
      <c r="Q30" s="14" t="n">
        <f aca="false">L30-L29</f>
        <v>-46.464873791007</v>
      </c>
    </row>
    <row r="31" customFormat="false" ht="15" hidden="false" customHeight="false" outlineLevel="0" collapsed="false">
      <c r="A31" s="11" t="n">
        <v>46052</v>
      </c>
      <c r="B31" s="12" t="s">
        <v>48</v>
      </c>
      <c r="C31" s="13" t="n">
        <v>0.00309989639270047</v>
      </c>
      <c r="D31" s="13" t="n">
        <v>0.00905624272103394</v>
      </c>
      <c r="E31" s="13" t="n">
        <v>0.00898106289745368</v>
      </c>
      <c r="F31" s="13" t="n">
        <v>-0.00264918034946748</v>
      </c>
      <c r="G31" s="13" t="n">
        <v>0.0118104482470982</v>
      </c>
      <c r="H31" s="14" t="n">
        <f aca="false">H30*(1+C31)</f>
        <v>2746.54961703516</v>
      </c>
      <c r="I31" s="14" t="n">
        <f aca="false">I30*(1+D31)</f>
        <v>2723.75782835915</v>
      </c>
      <c r="J31" s="14" t="n">
        <f aca="false">J30*(1+E31)</f>
        <v>2687.65256591252</v>
      </c>
      <c r="K31" s="14" t="n">
        <f aca="false">K30*(1+F31)</f>
        <v>2682.73866424783</v>
      </c>
      <c r="L31" s="14" t="n">
        <f aca="false">L30*(1+G31)</f>
        <v>2664.85633687467</v>
      </c>
      <c r="M31" s="14" t="n">
        <f aca="false">H31-H30</f>
        <v>8.48770823408313</v>
      </c>
      <c r="N31" s="14" t="n">
        <f aca="false">I31-I30</f>
        <v>24.4456264800656</v>
      </c>
      <c r="O31" s="14" t="n">
        <f aca="false">J31-J30</f>
        <v>23.9231216804474</v>
      </c>
      <c r="P31" s="14" t="n">
        <f aca="false">K31-K30</f>
        <v>-7.1259364428779</v>
      </c>
      <c r="Q31" s="14" t="n">
        <f aca="false">L31-L30</f>
        <v>31.1057747102091</v>
      </c>
    </row>
    <row r="32" customFormat="false" ht="15" hidden="false" customHeight="false" outlineLevel="0" collapsed="false">
      <c r="A32" s="11" t="n">
        <v>46053</v>
      </c>
      <c r="B32" s="12" t="s">
        <v>49</v>
      </c>
      <c r="C32" s="13" t="n">
        <v>0.0277757040786076</v>
      </c>
      <c r="D32" s="13" t="n">
        <v>0.0492983975584163</v>
      </c>
      <c r="E32" s="13" t="n">
        <v>0.0487312507179165</v>
      </c>
      <c r="F32" s="13" t="n">
        <v>0.0312374938273706</v>
      </c>
      <c r="G32" s="13" t="n">
        <v>0.0575432363767964</v>
      </c>
      <c r="H32" s="14" t="n">
        <f aca="false">H31*(1+C32)</f>
        <v>2822.83696643514</v>
      </c>
      <c r="I32" s="14" t="n">
        <f aca="false">I31*(1+D32)</f>
        <v>2858.03472463445</v>
      </c>
      <c r="J32" s="14" t="n">
        <f aca="false">J31*(1+E32)</f>
        <v>2818.62523694465</v>
      </c>
      <c r="K32" s="14" t="n">
        <f aca="false">K31*(1+F32)</f>
        <v>2766.54069671271</v>
      </c>
      <c r="L32" s="14" t="n">
        <f aca="false">L31*(1+G32)</f>
        <v>2818.20079497765</v>
      </c>
      <c r="M32" s="14" t="n">
        <f aca="false">H32-H31</f>
        <v>76.2873493999814</v>
      </c>
      <c r="N32" s="14" t="n">
        <f aca="false">I32-I31</f>
        <v>134.276896275298</v>
      </c>
      <c r="O32" s="14" t="n">
        <f aca="false">J32-J31</f>
        <v>130.972671032135</v>
      </c>
      <c r="P32" s="14" t="n">
        <f aca="false">K32-K31</f>
        <v>83.8020324648896</v>
      </c>
      <c r="Q32" s="14" t="n">
        <f aca="false">L32-L31</f>
        <v>153.344458102983</v>
      </c>
    </row>
    <row r="33" customFormat="false" ht="15" hidden="false" customHeight="false" outlineLevel="0" collapsed="false">
      <c r="A33" s="11" t="n">
        <v>46054</v>
      </c>
      <c r="B33" s="12" t="s">
        <v>50</v>
      </c>
      <c r="C33" s="13" t="n">
        <v>-0.00140056045260156</v>
      </c>
      <c r="D33" s="13" t="n">
        <v>-0.0275510467177812</v>
      </c>
      <c r="E33" s="13" t="n">
        <v>-0.0234142665536679</v>
      </c>
      <c r="F33" s="13" t="n">
        <v>-0.0224396054966513</v>
      </c>
      <c r="G33" s="13" t="n">
        <v>-0.0231959295257386</v>
      </c>
      <c r="H33" s="14" t="n">
        <f aca="false">H32*(1+C33)</f>
        <v>2818.88341261581</v>
      </c>
      <c r="I33" s="14" t="n">
        <f aca="false">I32*(1+D33)</f>
        <v>2779.29287641501</v>
      </c>
      <c r="J33" s="14" t="n">
        <f aca="false">J32*(1+E33)</f>
        <v>2752.62919433193</v>
      </c>
      <c r="K33" s="14" t="n">
        <f aca="false">K32*(1+F33)</f>
        <v>2704.46061488805</v>
      </c>
      <c r="L33" s="14" t="n">
        <f aca="false">L32*(1+G33)</f>
        <v>2752.83000794797</v>
      </c>
      <c r="M33" s="14" t="n">
        <f aca="false">H33-H32</f>
        <v>-3.95355381933086</v>
      </c>
      <c r="N33" s="14" t="n">
        <f aca="false">I33-I32</f>
        <v>-78.7418482194448</v>
      </c>
      <c r="O33" s="14" t="n">
        <f aca="false">J33-J32</f>
        <v>-65.9960426127173</v>
      </c>
      <c r="P33" s="14" t="n">
        <f aca="false">K33-K32</f>
        <v>-62.0800818246639</v>
      </c>
      <c r="Q33" s="14" t="n">
        <f aca="false">L33-L32</f>
        <v>-65.3707870296821</v>
      </c>
    </row>
    <row r="34" customFormat="false" ht="15" hidden="false" customHeight="false" outlineLevel="0" collapsed="false">
      <c r="A34" s="11" t="n">
        <v>46055</v>
      </c>
      <c r="B34" s="12" t="s">
        <v>51</v>
      </c>
      <c r="C34" s="13" t="n">
        <v>-0.0113897724899397</v>
      </c>
      <c r="D34" s="13" t="n">
        <v>-0.00984070190399293</v>
      </c>
      <c r="E34" s="13" t="n">
        <v>-0.00986227883704148</v>
      </c>
      <c r="F34" s="13" t="n">
        <v>-0.00102177016317456</v>
      </c>
      <c r="G34" s="13" t="n">
        <v>-0.011840572813695</v>
      </c>
      <c r="H34" s="14" t="n">
        <f aca="false">H33*(1+C34)</f>
        <v>2786.77697187045</v>
      </c>
      <c r="I34" s="14" t="n">
        <f aca="false">I33*(1+D34)</f>
        <v>2751.94268371431</v>
      </c>
      <c r="J34" s="14" t="n">
        <f aca="false">J33*(1+E34)</f>
        <v>2725.48199768245</v>
      </c>
      <c r="K34" s="14" t="n">
        <f aca="false">K33*(1+F34)</f>
        <v>2701.69727772428</v>
      </c>
      <c r="L34" s="14" t="n">
        <f aca="false">L33*(1+G34)</f>
        <v>2720.23492379514</v>
      </c>
      <c r="M34" s="14" t="n">
        <f aca="false">H34-H33</f>
        <v>-32.1064407453587</v>
      </c>
      <c r="N34" s="14" t="n">
        <f aca="false">I34-I33</f>
        <v>-27.350192700691</v>
      </c>
      <c r="O34" s="14" t="n">
        <f aca="false">J34-J33</f>
        <v>-27.1471966494823</v>
      </c>
      <c r="P34" s="14" t="n">
        <f aca="false">K34-K33</f>
        <v>-2.76333716377303</v>
      </c>
      <c r="Q34" s="14" t="n">
        <f aca="false">L34-L33</f>
        <v>-32.5950841528324</v>
      </c>
    </row>
    <row r="35" customFormat="false" ht="15" hidden="false" customHeight="false" outlineLevel="0" collapsed="false">
      <c r="A35" s="11" t="n">
        <v>46056</v>
      </c>
      <c r="B35" s="12" t="s">
        <v>52</v>
      </c>
      <c r="C35" s="13" t="n">
        <v>-0.000577600008155155</v>
      </c>
      <c r="D35" s="13" t="n">
        <v>0.00402926735984179</v>
      </c>
      <c r="E35" s="13" t="n">
        <v>0.00406030967310733</v>
      </c>
      <c r="F35" s="13" t="n">
        <v>-0.0018564092325169</v>
      </c>
      <c r="G35" s="13" t="n">
        <v>0.0036214466486113</v>
      </c>
      <c r="H35" s="14" t="n">
        <f aca="false">H34*(1+C35)</f>
        <v>2785.16732946877</v>
      </c>
      <c r="I35" s="14" t="n">
        <f aca="false">I34*(1+D35)</f>
        <v>2763.03099654596</v>
      </c>
      <c r="J35" s="14" t="n">
        <f aca="false">J34*(1+E35)</f>
        <v>2736.54829860152</v>
      </c>
      <c r="K35" s="14" t="n">
        <f aca="false">K34*(1+F35)</f>
        <v>2696.68182195445</v>
      </c>
      <c r="L35" s="14" t="n">
        <f aca="false">L34*(1+G35)</f>
        <v>2730.08610944335</v>
      </c>
      <c r="M35" s="14" t="n">
        <f aca="false">H35-H34</f>
        <v>-1.60964240167914</v>
      </c>
      <c r="N35" s="14" t="n">
        <f aca="false">I35-I34</f>
        <v>11.0883128316459</v>
      </c>
      <c r="O35" s="14" t="n">
        <f aca="false">J35-J34</f>
        <v>11.0663009190698</v>
      </c>
      <c r="P35" s="14" t="n">
        <f aca="false">K35-K34</f>
        <v>-5.0154557698329</v>
      </c>
      <c r="Q35" s="14" t="n">
        <f aca="false">L35-L34</f>
        <v>9.85118564821323</v>
      </c>
    </row>
    <row r="36" customFormat="false" ht="15" hidden="false" customHeight="false" outlineLevel="0" collapsed="false">
      <c r="A36" s="11" t="n">
        <v>46057</v>
      </c>
      <c r="B36" s="12" t="s">
        <v>53</v>
      </c>
      <c r="C36" s="13" t="n">
        <v>-0.00151381583436466</v>
      </c>
      <c r="D36" s="13" t="n">
        <v>0.00521081732886513</v>
      </c>
      <c r="E36" s="13" t="n">
        <v>0.00520540687590629</v>
      </c>
      <c r="F36" s="13" t="n">
        <v>0.00562671013208416</v>
      </c>
      <c r="G36" s="13" t="n">
        <v>0.00638367897237713</v>
      </c>
      <c r="H36" s="14" t="n">
        <f aca="false">H35*(1+C36)</f>
        <v>2780.95109906407</v>
      </c>
      <c r="I36" s="14" t="n">
        <f aca="false">I35*(1+D36)</f>
        <v>2777.42864634295</v>
      </c>
      <c r="J36" s="14" t="n">
        <f aca="false">J35*(1+E36)</f>
        <v>2750.79314593131</v>
      </c>
      <c r="K36" s="14" t="n">
        <f aca="false">K35*(1+F36)</f>
        <v>2711.85526888504</v>
      </c>
      <c r="L36" s="14" t="n">
        <f aca="false">L35*(1+G36)</f>
        <v>2747.51410273298</v>
      </c>
      <c r="M36" s="14" t="n">
        <f aca="false">H36-H35</f>
        <v>-4.21623040470468</v>
      </c>
      <c r="N36" s="14" t="n">
        <f aca="false">I36-I35</f>
        <v>14.3976497969934</v>
      </c>
      <c r="O36" s="14" t="n">
        <f aca="false">J36-J35</f>
        <v>14.24484732979</v>
      </c>
      <c r="P36" s="14" t="n">
        <f aca="false">K36-K35</f>
        <v>15.1734469305984</v>
      </c>
      <c r="Q36" s="14" t="n">
        <f aca="false">L36-L35</f>
        <v>17.427993289632</v>
      </c>
    </row>
    <row r="37" customFormat="false" ht="15" hidden="false" customHeight="false" outlineLevel="0" collapsed="false">
      <c r="A37" s="11" t="n">
        <v>46058</v>
      </c>
      <c r="B37" s="12" t="s">
        <v>47</v>
      </c>
      <c r="C37" s="13" t="n">
        <v>0.010838297775661</v>
      </c>
      <c r="D37" s="13" t="n">
        <v>0.00390170789130205</v>
      </c>
      <c r="E37" s="13" t="n">
        <v>0.00418857022402674</v>
      </c>
      <c r="F37" s="13" t="n">
        <v>0.00777079574202921</v>
      </c>
      <c r="G37" s="13" t="n">
        <v>0.0156230454274641</v>
      </c>
      <c r="H37" s="14" t="n">
        <f aca="false">H36*(1+C37)</f>
        <v>2811.09187517528</v>
      </c>
      <c r="I37" s="14" t="n">
        <f aca="false">I36*(1+D37)</f>
        <v>2788.26536160992</v>
      </c>
      <c r="J37" s="14" t="n">
        <f aca="false">J36*(1+E37)</f>
        <v>2762.31503619482</v>
      </c>
      <c r="K37" s="14" t="n">
        <f aca="false">K36*(1+F37)</f>
        <v>2732.92854226149</v>
      </c>
      <c r="L37" s="14" t="n">
        <f aca="false">L36*(1+G37)</f>
        <v>2790.43864037258</v>
      </c>
      <c r="M37" s="14" t="n">
        <f aca="false">H37-H36</f>
        <v>30.1407761112077</v>
      </c>
      <c r="N37" s="14" t="n">
        <f aca="false">I37-I36</f>
        <v>10.8367152669643</v>
      </c>
      <c r="O37" s="14" t="n">
        <f aca="false">J37-J36</f>
        <v>11.5218902635047</v>
      </c>
      <c r="P37" s="14" t="n">
        <f aca="false">K37-K36</f>
        <v>21.0732733764512</v>
      </c>
      <c r="Q37" s="14" t="n">
        <f aca="false">L37-L36</f>
        <v>42.9245376395957</v>
      </c>
    </row>
    <row r="38" customFormat="false" ht="15" hidden="false" customHeight="false" outlineLevel="0" collapsed="false">
      <c r="A38" s="11" t="n">
        <v>46059</v>
      </c>
      <c r="B38" s="12" t="s">
        <v>48</v>
      </c>
      <c r="C38" s="13" t="n">
        <v>0.0358159304821749</v>
      </c>
      <c r="D38" s="13" t="n">
        <v>0.0467351444416548</v>
      </c>
      <c r="E38" s="13" t="n">
        <v>0.0466144300054453</v>
      </c>
      <c r="F38" s="13" t="n">
        <v>0.037921129965208</v>
      </c>
      <c r="G38" s="13" t="n">
        <v>0.042082441192219</v>
      </c>
      <c r="H38" s="14" t="n">
        <f aca="false">H37*(1+C38)</f>
        <v>2911.77374635556</v>
      </c>
      <c r="I38" s="14" t="n">
        <f aca="false">I37*(1+D38)</f>
        <v>2918.57534602642</v>
      </c>
      <c r="J38" s="14" t="n">
        <f aca="false">J37*(1+E38)</f>
        <v>2891.07877710251</v>
      </c>
      <c r="K38" s="14" t="n">
        <f aca="false">K37*(1+F38)</f>
        <v>2836.56428069822</v>
      </c>
      <c r="L38" s="14" t="n">
        <f aca="false">L37*(1+G38)</f>
        <v>2907.86711035655</v>
      </c>
      <c r="M38" s="14" t="n">
        <f aca="false">H38-H37</f>
        <v>100.681871180284</v>
      </c>
      <c r="N38" s="14" t="n">
        <f aca="false">I38-I37</f>
        <v>130.309984416503</v>
      </c>
      <c r="O38" s="14" t="n">
        <f aca="false">J38-J37</f>
        <v>128.763740907693</v>
      </c>
      <c r="P38" s="14" t="n">
        <f aca="false">K38-K37</f>
        <v>103.635738436725</v>
      </c>
      <c r="Q38" s="14" t="n">
        <f aca="false">L38-L37</f>
        <v>117.428469983975</v>
      </c>
    </row>
    <row r="39" customFormat="false" ht="15" hidden="false" customHeight="false" outlineLevel="0" collapsed="false">
      <c r="A39" s="11" t="n">
        <v>46060</v>
      </c>
      <c r="B39" s="12" t="s">
        <v>49</v>
      </c>
      <c r="C39" s="13" t="n">
        <v>-0.013467521920202</v>
      </c>
      <c r="D39" s="13" t="n">
        <v>-0.0142763714751633</v>
      </c>
      <c r="E39" s="13" t="n">
        <v>-0.0142763124202119</v>
      </c>
      <c r="F39" s="13" t="n">
        <v>-0.0142184421147971</v>
      </c>
      <c r="G39" s="13" t="n">
        <v>-0.0128493859833527</v>
      </c>
      <c r="H39" s="14" t="n">
        <f aca="false">H38*(1+C39)</f>
        <v>2872.55936959985</v>
      </c>
      <c r="I39" s="14" t="n">
        <f aca="false">I38*(1+D39)</f>
        <v>2876.90868020829</v>
      </c>
      <c r="J39" s="14" t="n">
        <f aca="false">J38*(1+E39)</f>
        <v>2849.80483324915</v>
      </c>
      <c r="K39" s="14" t="n">
        <f aca="false">K38*(1+F39)</f>
        <v>2796.23275566821</v>
      </c>
      <c r="L39" s="14" t="n">
        <f aca="false">L38*(1+G39)</f>
        <v>2870.50280346729</v>
      </c>
      <c r="M39" s="14" t="n">
        <f aca="false">H39-H38</f>
        <v>-39.2143767557122</v>
      </c>
      <c r="N39" s="14" t="n">
        <f aca="false">I39-I38</f>
        <v>-41.6666658181262</v>
      </c>
      <c r="O39" s="14" t="n">
        <f aca="false">J39-J38</f>
        <v>-41.2739438533595</v>
      </c>
      <c r="P39" s="14" t="n">
        <f aca="false">K39-K38</f>
        <v>-40.3315250300084</v>
      </c>
      <c r="Q39" s="14" t="n">
        <f aca="false">L39-L38</f>
        <v>-37.3643068892679</v>
      </c>
    </row>
    <row r="40" customFormat="false" ht="15" hidden="false" customHeight="false" outlineLevel="0" collapsed="false">
      <c r="A40" s="11" t="n">
        <v>46061</v>
      </c>
      <c r="B40" s="12" t="s">
        <v>50</v>
      </c>
      <c r="C40" s="13" t="n">
        <v>0.00607982501267301</v>
      </c>
      <c r="D40" s="13" t="n">
        <v>0.0100184302316187</v>
      </c>
      <c r="E40" s="13" t="n">
        <v>0.0100184100058371</v>
      </c>
      <c r="F40" s="13" t="n">
        <v>0.00436228586887988</v>
      </c>
      <c r="G40" s="13" t="n">
        <v>0.00964745404195921</v>
      </c>
      <c r="H40" s="14" t="n">
        <f aca="false">H39*(1+C40)</f>
        <v>2890.02402790553</v>
      </c>
      <c r="I40" s="14" t="n">
        <f aca="false">I39*(1+D40)</f>
        <v>2905.7307891037</v>
      </c>
      <c r="J40" s="14" t="n">
        <f aca="false">J39*(1+E40)</f>
        <v>2878.35534650526</v>
      </c>
      <c r="K40" s="14" t="n">
        <f aca="false">K39*(1+F40)</f>
        <v>2808.43072230436</v>
      </c>
      <c r="L40" s="14" t="n">
        <f aca="false">L39*(1+G40)</f>
        <v>2898.19584734105</v>
      </c>
      <c r="M40" s="14" t="n">
        <f aca="false">H40-H39</f>
        <v>17.4646583056815</v>
      </c>
      <c r="N40" s="14" t="n">
        <f aca="false">I40-I39</f>
        <v>28.8221088954047</v>
      </c>
      <c r="O40" s="14" t="n">
        <f aca="false">J40-J39</f>
        <v>28.5505132561061</v>
      </c>
      <c r="P40" s="14" t="n">
        <f aca="false">K40-K39</f>
        <v>12.1979666361503</v>
      </c>
      <c r="Q40" s="14" t="n">
        <f aca="false">L40-L39</f>
        <v>27.6930438737659</v>
      </c>
    </row>
    <row r="41" customFormat="false" ht="15" hidden="false" customHeight="false" outlineLevel="0" collapsed="false">
      <c r="A41" s="11" t="n">
        <v>46062</v>
      </c>
      <c r="B41" s="12" t="s">
        <v>51</v>
      </c>
      <c r="C41" s="13" t="n">
        <v>0.0137038405082637</v>
      </c>
      <c r="D41" s="13" t="n">
        <v>0.0167989956207732</v>
      </c>
      <c r="E41" s="13" t="n">
        <v>0.0167989688785749</v>
      </c>
      <c r="F41" s="13" t="n">
        <v>0.0135296463258301</v>
      </c>
      <c r="G41" s="13" t="n">
        <v>0.0141904845898674</v>
      </c>
      <c r="H41" s="14" t="n">
        <f aca="false">H40*(1+C41)</f>
        <v>2929.628456249</v>
      </c>
      <c r="I41" s="14" t="n">
        <f aca="false">I40*(1+D41)</f>
        <v>2954.544147905</v>
      </c>
      <c r="J41" s="14" t="n">
        <f aca="false">J40*(1+E41)</f>
        <v>2926.70874839268</v>
      </c>
      <c r="K41" s="14" t="n">
        <f aca="false">K40*(1+F41)</f>
        <v>2846.42779670773</v>
      </c>
      <c r="L41" s="14" t="n">
        <f aca="false">L40*(1+G41)</f>
        <v>2939.32265085116</v>
      </c>
      <c r="M41" s="14" t="n">
        <f aca="false">H41-H40</f>
        <v>39.6044283434671</v>
      </c>
      <c r="N41" s="14" t="n">
        <f aca="false">I41-I40</f>
        <v>48.8133588012988</v>
      </c>
      <c r="O41" s="14" t="n">
        <f aca="false">J41-J40</f>
        <v>48.353401887422</v>
      </c>
      <c r="P41" s="14" t="n">
        <f aca="false">K41-K40</f>
        <v>37.9970744033735</v>
      </c>
      <c r="Q41" s="14" t="n">
        <f aca="false">L41-L40</f>
        <v>41.1268035101111</v>
      </c>
    </row>
    <row r="42" customFormat="false" ht="15" hidden="false" customHeight="false" outlineLevel="0" collapsed="false">
      <c r="A42" s="11" t="n">
        <v>46063</v>
      </c>
      <c r="B42" s="12" t="s">
        <v>52</v>
      </c>
      <c r="C42" s="13" t="n">
        <v>0.0170899932897426</v>
      </c>
      <c r="D42" s="13" t="n">
        <v>0.0160252351474663</v>
      </c>
      <c r="E42" s="13" t="n">
        <v>0.0160252291175913</v>
      </c>
      <c r="F42" s="13" t="n">
        <v>0.0111371084121335</v>
      </c>
      <c r="G42" s="13" t="n">
        <v>0.016399823442061</v>
      </c>
      <c r="H42" s="14" t="n">
        <f aca="false">H41*(1+C42)</f>
        <v>2979.69578690773</v>
      </c>
      <c r="I42" s="14" t="n">
        <f aca="false">I41*(1+D42)</f>
        <v>3001.89141262875</v>
      </c>
      <c r="J42" s="14" t="n">
        <f aca="false">J41*(1+E42)</f>
        <v>2973.60992664613</v>
      </c>
      <c r="K42" s="14" t="n">
        <f aca="false">K41*(1+F42)</f>
        <v>2878.12877166698</v>
      </c>
      <c r="L42" s="14" t="n">
        <f aca="false">L41*(1+G42)</f>
        <v>2987.52702336437</v>
      </c>
      <c r="M42" s="14" t="n">
        <f aca="false">H42-H41</f>
        <v>50.0673306587341</v>
      </c>
      <c r="N42" s="14" t="n">
        <f aca="false">I42-I41</f>
        <v>47.3472647237481</v>
      </c>
      <c r="O42" s="14" t="n">
        <f aca="false">J42-J41</f>
        <v>46.9011782534517</v>
      </c>
      <c r="P42" s="14" t="n">
        <f aca="false">K42-K41</f>
        <v>31.7009749592444</v>
      </c>
      <c r="Q42" s="14" t="n">
        <f aca="false">L42-L41</f>
        <v>48.2043725132098</v>
      </c>
    </row>
    <row r="43" customFormat="false" ht="15" hidden="false" customHeight="false" outlineLevel="0" collapsed="false">
      <c r="A43" s="11" t="n">
        <v>46064</v>
      </c>
      <c r="B43" s="12" t="s">
        <v>53</v>
      </c>
      <c r="C43" s="13" t="n">
        <v>0.0479238388086223</v>
      </c>
      <c r="D43" s="13" t="n">
        <v>0.0558780907278668</v>
      </c>
      <c r="E43" s="13" t="n">
        <v>0.0558780910984272</v>
      </c>
      <c r="F43" s="13" t="n">
        <v>0.0501039566687909</v>
      </c>
      <c r="G43" s="13" t="n">
        <v>0.0486956172480556</v>
      </c>
      <c r="H43" s="14" t="n">
        <f aca="false">H42*(1+C43)</f>
        <v>3122.49424749823</v>
      </c>
      <c r="I43" s="14" t="n">
        <f aca="false">I42*(1+D43)</f>
        <v>3169.63137333882</v>
      </c>
      <c r="J43" s="14" t="n">
        <f aca="false">J42*(1+E43)</f>
        <v>3139.76957301845</v>
      </c>
      <c r="K43" s="14" t="n">
        <f aca="false">K42*(1+F43)</f>
        <v>3022.33441092978</v>
      </c>
      <c r="L43" s="14" t="n">
        <f aca="false">L42*(1+G43)</f>
        <v>3133.00649581235</v>
      </c>
      <c r="M43" s="14" t="n">
        <f aca="false">H43-H42</f>
        <v>142.798460590497</v>
      </c>
      <c r="N43" s="14" t="n">
        <f aca="false">I43-I42</f>
        <v>167.739960710073</v>
      </c>
      <c r="O43" s="14" t="n">
        <f aca="false">J43-J42</f>
        <v>166.159646372319</v>
      </c>
      <c r="P43" s="14" t="n">
        <f aca="false">K43-K42</f>
        <v>144.205639262802</v>
      </c>
      <c r="Q43" s="14" t="n">
        <f aca="false">L43-L42</f>
        <v>145.479472447975</v>
      </c>
    </row>
    <row r="44" customFormat="false" ht="15" hidden="false" customHeight="false" outlineLevel="0" collapsed="false">
      <c r="A44" s="11" t="n">
        <v>46065</v>
      </c>
      <c r="B44" s="12" t="s">
        <v>47</v>
      </c>
      <c r="C44" s="13" t="n">
        <v>-0.0105910111752667</v>
      </c>
      <c r="D44" s="13" t="n">
        <v>-0.0121329988861194</v>
      </c>
      <c r="E44" s="13" t="n">
        <v>-0.0121329988884787</v>
      </c>
      <c r="F44" s="13" t="n">
        <v>-0.0134561141390602</v>
      </c>
      <c r="G44" s="13" t="n">
        <v>-0.0127133953851584</v>
      </c>
      <c r="H44" s="14" t="n">
        <f aca="false">H43*(1+C44)</f>
        <v>3089.42387602827</v>
      </c>
      <c r="I44" s="14" t="n">
        <f aca="false">I43*(1+D44)</f>
        <v>3131.17423941669</v>
      </c>
      <c r="J44" s="14" t="n">
        <f aca="false">J43*(1+E44)</f>
        <v>3101.67475227894</v>
      </c>
      <c r="K44" s="14" t="n">
        <f aca="false">K43*(1+F44)</f>
        <v>2981.6655341299</v>
      </c>
      <c r="L44" s="14" t="n">
        <f aca="false">L43*(1+G44)</f>
        <v>3093.17534548682</v>
      </c>
      <c r="M44" s="14" t="n">
        <f aca="false">H44-H43</f>
        <v>-33.0703714699594</v>
      </c>
      <c r="N44" s="14" t="n">
        <f aca="false">I44-I43</f>
        <v>-38.4571339221288</v>
      </c>
      <c r="O44" s="14" t="n">
        <f aca="false">J44-J43</f>
        <v>-38.0948207395122</v>
      </c>
      <c r="P44" s="14" t="n">
        <f aca="false">K44-K43</f>
        <v>-40.6688767998803</v>
      </c>
      <c r="Q44" s="14" t="n">
        <f aca="false">L44-L43</f>
        <v>-39.8311503255318</v>
      </c>
    </row>
    <row r="45" customFormat="false" ht="15" hidden="false" customHeight="false" outlineLevel="0" collapsed="false">
      <c r="A45" s="11" t="n">
        <v>46066</v>
      </c>
      <c r="B45" s="12" t="s">
        <v>48</v>
      </c>
      <c r="C45" s="13" t="n">
        <v>-0.0252646682270271</v>
      </c>
      <c r="D45" s="13" t="n">
        <v>-0.0244607318866772</v>
      </c>
      <c r="E45" s="13" t="n">
        <v>-0.0295421102083407</v>
      </c>
      <c r="F45" s="13" t="n">
        <v>-0.029401476045338</v>
      </c>
      <c r="G45" s="13" t="n">
        <v>-0.0226865370465121</v>
      </c>
      <c r="H45" s="14" t="n">
        <f aca="false">H44*(1+C45)</f>
        <v>3011.37060678776</v>
      </c>
      <c r="I45" s="14" t="n">
        <f aca="false">I44*(1+D45)</f>
        <v>3054.58342585585</v>
      </c>
      <c r="J45" s="14" t="n">
        <f aca="false">J44*(1+E45)</f>
        <v>3010.04473491669</v>
      </c>
      <c r="K45" s="14" t="n">
        <f aca="false">K44*(1+F45)</f>
        <v>2894.00016635297</v>
      </c>
      <c r="L45" s="14" t="n">
        <f aca="false">L44*(1+G45)</f>
        <v>3023.00190842007</v>
      </c>
      <c r="M45" s="14" t="n">
        <f aca="false">H45-H44</f>
        <v>-78.05326924051</v>
      </c>
      <c r="N45" s="14" t="n">
        <f aca="false">I45-I44</f>
        <v>-76.590813560842</v>
      </c>
      <c r="O45" s="14" t="n">
        <f aca="false">J45-J44</f>
        <v>-91.6300173622522</v>
      </c>
      <c r="P45" s="14" t="n">
        <f aca="false">K45-K44</f>
        <v>-87.66536777693</v>
      </c>
      <c r="Q45" s="14" t="n">
        <f aca="false">L45-L44</f>
        <v>-70.1734370667446</v>
      </c>
    </row>
    <row r="46" customFormat="false" ht="15" hidden="false" customHeight="false" outlineLevel="0" collapsed="false">
      <c r="A46" s="11" t="n">
        <v>46067</v>
      </c>
      <c r="B46" s="12" t="s">
        <v>49</v>
      </c>
      <c r="C46" s="13" t="n">
        <v>-0.0342358688666734</v>
      </c>
      <c r="D46" s="13" t="n">
        <v>-0.0312769278928924</v>
      </c>
      <c r="E46" s="13" t="n">
        <v>-0.0287554391459</v>
      </c>
      <c r="F46" s="13" t="n">
        <v>-0.0388570133929331</v>
      </c>
      <c r="G46" s="13" t="n">
        <v>-0.0417516464011971</v>
      </c>
      <c r="H46" s="14" t="n">
        <f aca="false">H45*(1+C46)</f>
        <v>2908.27371758482</v>
      </c>
      <c r="I46" s="14" t="n">
        <f aca="false">I45*(1+D46)</f>
        <v>2959.04544030253</v>
      </c>
      <c r="J46" s="14" t="n">
        <f aca="false">J45*(1+E46)</f>
        <v>2923.48957671535</v>
      </c>
      <c r="K46" s="14" t="n">
        <f aca="false">K45*(1+F46)</f>
        <v>2781.54796312984</v>
      </c>
      <c r="L46" s="14" t="n">
        <f aca="false">L45*(1+G46)</f>
        <v>2896.78660166957</v>
      </c>
      <c r="M46" s="14" t="n">
        <f aca="false">H46-H45</f>
        <v>-103.09688920294</v>
      </c>
      <c r="N46" s="14" t="n">
        <f aca="false">I46-I45</f>
        <v>-95.5379855533174</v>
      </c>
      <c r="O46" s="14" t="n">
        <f aca="false">J46-J45</f>
        <v>-86.5551582013331</v>
      </c>
      <c r="P46" s="14" t="n">
        <f aca="false">K46-K45</f>
        <v>-112.452203223128</v>
      </c>
      <c r="Q46" s="14" t="n">
        <f aca="false">L46-L45</f>
        <v>-126.215306750499</v>
      </c>
    </row>
    <row r="47" customFormat="false" ht="15" hidden="false" customHeight="false" outlineLevel="0" collapsed="false">
      <c r="A47" s="11" t="n">
        <v>46068</v>
      </c>
      <c r="B47" s="12" t="s">
        <v>50</v>
      </c>
      <c r="C47" s="13" t="n">
        <v>0.0234952291091063</v>
      </c>
      <c r="D47" s="13" t="n">
        <v>0.0191994486454942</v>
      </c>
      <c r="E47" s="13" t="n">
        <v>0.0233850504701669</v>
      </c>
      <c r="F47" s="13" t="n">
        <v>0.0277940096015277</v>
      </c>
      <c r="G47" s="13" t="n">
        <v>0.0250161364314414</v>
      </c>
      <c r="H47" s="14" t="n">
        <f aca="false">H46*(1+C47)</f>
        <v>2976.60427489147</v>
      </c>
      <c r="I47" s="14" t="n">
        <f aca="false">I46*(1+D47)</f>
        <v>3015.8574812733</v>
      </c>
      <c r="J47" s="14" t="n">
        <f aca="false">J46*(1+E47)</f>
        <v>2991.85552801585</v>
      </c>
      <c r="K47" s="14" t="n">
        <f aca="false">K46*(1+F47)</f>
        <v>2858.85833392418</v>
      </c>
      <c r="L47" s="14" t="n">
        <f aca="false">L46*(1+G47)</f>
        <v>2969.25301050971</v>
      </c>
      <c r="M47" s="14" t="n">
        <f aca="false">H47-H46</f>
        <v>68.3305573066477</v>
      </c>
      <c r="N47" s="14" t="n">
        <f aca="false">I47-I46</f>
        <v>56.8120409707726</v>
      </c>
      <c r="O47" s="14" t="n">
        <f aca="false">J47-J46</f>
        <v>68.3659513004955</v>
      </c>
      <c r="P47" s="14" t="n">
        <f aca="false">K47-K46</f>
        <v>77.3103707943405</v>
      </c>
      <c r="Q47" s="14" t="n">
        <f aca="false">L47-L46</f>
        <v>72.4664088401373</v>
      </c>
    </row>
    <row r="48" customFormat="false" ht="15" hidden="false" customHeight="false" outlineLevel="0" collapsed="false">
      <c r="A48" s="11" t="n">
        <v>46069</v>
      </c>
      <c r="B48" s="12" t="s">
        <v>51</v>
      </c>
      <c r="C48" s="13" t="n">
        <v>-0.0115642939563189</v>
      </c>
      <c r="D48" s="13" t="n">
        <v>-0.000822394714893113</v>
      </c>
      <c r="E48" s="13" t="n">
        <v>-0.010171711657789</v>
      </c>
      <c r="F48" s="13" t="n">
        <v>-0.00716280083172849</v>
      </c>
      <c r="G48" s="13" t="n">
        <v>-0.00139800081710834</v>
      </c>
      <c r="H48" s="14" t="n">
        <f aca="false">H47*(1+C48)</f>
        <v>2942.18194806499</v>
      </c>
      <c r="I48" s="14" t="n">
        <f aca="false">I47*(1+D48)</f>
        <v>3013.37725601983</v>
      </c>
      <c r="J48" s="14" t="n">
        <f aca="false">J47*(1+E48)</f>
        <v>2961.42323626311</v>
      </c>
      <c r="K48" s="14" t="n">
        <f aca="false">K47*(1+F48)</f>
        <v>2838.38090107216</v>
      </c>
      <c r="L48" s="14" t="n">
        <f aca="false">L47*(1+G48)</f>
        <v>2965.10199237482</v>
      </c>
      <c r="M48" s="14" t="n">
        <f aca="false">H48-H47</f>
        <v>-34.4223268264805</v>
      </c>
      <c r="N48" s="14" t="n">
        <f aca="false">I48-I47</f>
        <v>-2.48022525347005</v>
      </c>
      <c r="O48" s="14" t="n">
        <f aca="false">J48-J47</f>
        <v>-30.4322917527393</v>
      </c>
      <c r="P48" s="14" t="n">
        <f aca="false">K48-K47</f>
        <v>-20.4774328520261</v>
      </c>
      <c r="Q48" s="14" t="n">
        <f aca="false">L48-L47</f>
        <v>-4.151018134894</v>
      </c>
    </row>
    <row r="49" customFormat="false" ht="15" hidden="false" customHeight="false" outlineLevel="0" collapsed="false">
      <c r="A49" s="11" t="n">
        <v>46070</v>
      </c>
      <c r="B49" s="12" t="s">
        <v>52</v>
      </c>
      <c r="C49" s="13" t="n">
        <v>-0.0060201637015167</v>
      </c>
      <c r="D49" s="13" t="n">
        <v>-0.0029883377236581</v>
      </c>
      <c r="E49" s="13" t="n">
        <v>-0.004755717177057</v>
      </c>
      <c r="F49" s="13" t="n">
        <v>-0.00210232081241851</v>
      </c>
      <c r="G49" s="13" t="n">
        <v>-0.0015101324008715</v>
      </c>
      <c r="H49" s="14" t="n">
        <f aca="false">H48*(1+C49)</f>
        <v>2924.46953109799</v>
      </c>
      <c r="I49" s="14" t="n">
        <f aca="false">I48*(1+D49)</f>
        <v>3004.37226709006</v>
      </c>
      <c r="J49" s="14" t="n">
        <f aca="false">J48*(1+E49)</f>
        <v>2947.33954490988</v>
      </c>
      <c r="K49" s="14" t="n">
        <f aca="false">K48*(1+F49)</f>
        <v>2832.41371383026</v>
      </c>
      <c r="L49" s="14" t="n">
        <f aca="false">L48*(1+G49)</f>
        <v>2960.62429578424</v>
      </c>
      <c r="M49" s="14" t="n">
        <f aca="false">H49-H48</f>
        <v>-17.7124169669987</v>
      </c>
      <c r="N49" s="14" t="n">
        <f aca="false">I49-I48</f>
        <v>-9.00498892977748</v>
      </c>
      <c r="O49" s="14" t="n">
        <f aca="false">J49-J48</f>
        <v>-14.0836913532321</v>
      </c>
      <c r="P49" s="14" t="n">
        <f aca="false">K49-K48</f>
        <v>-5.96718724189486</v>
      </c>
      <c r="Q49" s="14" t="n">
        <f aca="false">L49-L48</f>
        <v>-4.47769659057394</v>
      </c>
    </row>
    <row r="50" customFormat="false" ht="15" hidden="false" customHeight="false" outlineLevel="0" collapsed="false">
      <c r="A50" s="11" t="n">
        <v>46071</v>
      </c>
      <c r="B50" s="12" t="s">
        <v>53</v>
      </c>
      <c r="C50" s="13" t="n">
        <v>-0.0103861963734007</v>
      </c>
      <c r="D50" s="13" t="n">
        <v>-0.0125272658885788</v>
      </c>
      <c r="E50" s="13" t="n">
        <v>-0.0127958019555094</v>
      </c>
      <c r="F50" s="13" t="n">
        <v>-0.00598154617790853</v>
      </c>
      <c r="G50" s="13" t="n">
        <v>-0.00701070486429989</v>
      </c>
      <c r="H50" s="14" t="n">
        <f aca="false">H49*(1+C50)</f>
        <v>2894.09541625998</v>
      </c>
      <c r="I50" s="14" t="n">
        <f aca="false">I49*(1+D50)</f>
        <v>2966.73569687195</v>
      </c>
      <c r="J50" s="14" t="n">
        <f aca="false">J49*(1+E50)</f>
        <v>2909.62597179757</v>
      </c>
      <c r="K50" s="14" t="n">
        <f aca="false">K49*(1+F50)</f>
        <v>2815.47150040605</v>
      </c>
      <c r="L50" s="14" t="n">
        <f aca="false">L49*(1+G50)</f>
        <v>2939.86823263242</v>
      </c>
      <c r="M50" s="14" t="n">
        <f aca="false">H50-H49</f>
        <v>-30.3741148380104</v>
      </c>
      <c r="N50" s="14" t="n">
        <f aca="false">I50-I49</f>
        <v>-37.6365702181092</v>
      </c>
      <c r="O50" s="14" t="n">
        <f aca="false">J50-J49</f>
        <v>-37.713573112308</v>
      </c>
      <c r="P50" s="14" t="n">
        <f aca="false">K50-K49</f>
        <v>-16.9422134242168</v>
      </c>
      <c r="Q50" s="14" t="n">
        <f aca="false">L50-L49</f>
        <v>-20.756063151819</v>
      </c>
    </row>
    <row r="51" customFormat="false" ht="15" hidden="false" customHeight="false" outlineLevel="0" collapsed="false">
      <c r="A51" s="11" t="n">
        <v>46072</v>
      </c>
      <c r="B51" s="12" t="s">
        <v>47</v>
      </c>
      <c r="C51" s="13" t="n">
        <v>-0.0037881347844706</v>
      </c>
      <c r="D51" s="13" t="n">
        <v>-0.00497863008598673</v>
      </c>
      <c r="E51" s="13" t="n">
        <v>-0.00495944905554482</v>
      </c>
      <c r="F51" s="13" t="n">
        <v>-0.00320217590938299</v>
      </c>
      <c r="G51" s="13" t="n">
        <v>-0.0040654712930337</v>
      </c>
      <c r="H51" s="14" t="n">
        <f aca="false">H50*(1+C51)</f>
        <v>2883.13219274406</v>
      </c>
      <c r="I51" s="14" t="n">
        <f aca="false">I50*(1+D51)</f>
        <v>2951.96541727433</v>
      </c>
      <c r="J51" s="14" t="n">
        <f aca="false">J50*(1+E51)</f>
        <v>2895.19583001975</v>
      </c>
      <c r="K51" s="14" t="n">
        <f aca="false">K50*(1+F51)</f>
        <v>2806.45586539389</v>
      </c>
      <c r="L51" s="14" t="n">
        <f aca="false">L50*(1+G51)</f>
        <v>2927.91628272735</v>
      </c>
      <c r="M51" s="14" t="n">
        <f aca="false">H51-H50</f>
        <v>-10.9632235159115</v>
      </c>
      <c r="N51" s="14" t="n">
        <f aca="false">I51-I50</f>
        <v>-14.7702795976174</v>
      </c>
      <c r="O51" s="14" t="n">
        <f aca="false">J51-J50</f>
        <v>-14.4301417778202</v>
      </c>
      <c r="P51" s="14" t="n">
        <f aca="false">K51-K50</f>
        <v>-9.01563501215469</v>
      </c>
      <c r="Q51" s="14" t="n">
        <f aca="false">L51-L50</f>
        <v>-11.9519499050689</v>
      </c>
    </row>
    <row r="52" customFormat="false" ht="15" hidden="false" customHeight="false" outlineLevel="0" collapsed="false">
      <c r="A52" s="11" t="n">
        <v>46073</v>
      </c>
      <c r="B52" s="12" t="s">
        <v>48</v>
      </c>
      <c r="C52" s="13" t="n">
        <v>0.0199170764319441</v>
      </c>
      <c r="D52" s="13" t="n">
        <v>0.0203891240060889</v>
      </c>
      <c r="E52" s="13" t="n">
        <v>0.0203182561184206</v>
      </c>
      <c r="F52" s="13" t="n">
        <v>0.0188716877741429</v>
      </c>
      <c r="G52" s="13" t="n">
        <v>0.0157966505356568</v>
      </c>
      <c r="H52" s="14" t="n">
        <f aca="false">H51*(1+C52)</f>
        <v>2940.55575699035</v>
      </c>
      <c r="I52" s="14" t="n">
        <f aca="false">I51*(1+D52)</f>
        <v>3012.15340622882</v>
      </c>
      <c r="J52" s="14" t="n">
        <f aca="false">J51*(1+E52)</f>
        <v>2954.02116040707</v>
      </c>
      <c r="K52" s="14" t="n">
        <f aca="false">K51*(1+F52)</f>
        <v>2859.41842423752</v>
      </c>
      <c r="L52" s="14" t="n">
        <f aca="false">L51*(1+G52)</f>
        <v>2974.16755304326</v>
      </c>
      <c r="M52" s="14" t="n">
        <f aca="false">H52-H51</f>
        <v>57.4235642462822</v>
      </c>
      <c r="N52" s="14" t="n">
        <f aca="false">I52-I51</f>
        <v>60.1879889544925</v>
      </c>
      <c r="O52" s="14" t="n">
        <f aca="false">J52-J51</f>
        <v>58.8253303873244</v>
      </c>
      <c r="P52" s="14" t="n">
        <f aca="false">K52-K51</f>
        <v>52.9625588436252</v>
      </c>
      <c r="Q52" s="14" t="n">
        <f aca="false">L52-L51</f>
        <v>46.2512703159032</v>
      </c>
    </row>
    <row r="53" customFormat="false" ht="15" hidden="false" customHeight="false" outlineLevel="0" collapsed="false">
      <c r="A53" s="11" t="n">
        <v>46074</v>
      </c>
      <c r="B53" s="12" t="s">
        <v>49</v>
      </c>
      <c r="C53" s="13" t="n">
        <v>-0.00326706795575499</v>
      </c>
      <c r="D53" s="13" t="n">
        <v>-0.00373930439500951</v>
      </c>
      <c r="E53" s="13" t="n">
        <v>-0.00371985791779108</v>
      </c>
      <c r="F53" s="13" t="n">
        <v>0.00533947314205374</v>
      </c>
      <c r="G53" s="13" t="n">
        <v>-0.00880016595150923</v>
      </c>
      <c r="H53" s="14" t="n">
        <f aca="false">H52*(1+C53)</f>
        <v>2930.94876150457</v>
      </c>
      <c r="I53" s="14" t="n">
        <f aca="false">I52*(1+D53)</f>
        <v>3000.89004775847</v>
      </c>
      <c r="J53" s="14" t="n">
        <f aca="false">J52*(1+E53)</f>
        <v>2943.03262140421</v>
      </c>
      <c r="K53" s="14" t="n">
        <f aca="false">K52*(1+F53)</f>
        <v>2874.68621211563</v>
      </c>
      <c r="L53" s="14" t="n">
        <f aca="false">L52*(1+G53)</f>
        <v>2947.99438500888</v>
      </c>
      <c r="M53" s="14" t="n">
        <f aca="false">H53-H52</f>
        <v>-9.60699548577395</v>
      </c>
      <c r="N53" s="14" t="n">
        <f aca="false">I53-I52</f>
        <v>-11.263358470354</v>
      </c>
      <c r="O53" s="14" t="n">
        <f aca="false">J53-J52</f>
        <v>-10.9885390028626</v>
      </c>
      <c r="P53" s="14" t="n">
        <f aca="false">K53-K52</f>
        <v>15.2677878781096</v>
      </c>
      <c r="Q53" s="14" t="n">
        <f aca="false">L53-L52</f>
        <v>-26.1731680343746</v>
      </c>
    </row>
    <row r="54" customFormat="false" ht="15" hidden="false" customHeight="false" outlineLevel="0" collapsed="false">
      <c r="A54" s="11" t="n">
        <v>46075</v>
      </c>
      <c r="B54" s="12" t="s">
        <v>50</v>
      </c>
      <c r="C54" s="13" t="n">
        <v>0.00623147839763361</v>
      </c>
      <c r="D54" s="13" t="n">
        <v>0.00547236922075014</v>
      </c>
      <c r="E54" s="13" t="n">
        <v>0.00558915548527575</v>
      </c>
      <c r="F54" s="13" t="n">
        <v>0.00621210653438176</v>
      </c>
      <c r="G54" s="13" t="n">
        <v>0.00373544127434256</v>
      </c>
      <c r="H54" s="14" t="n">
        <f aca="false">H53*(1+C54)</f>
        <v>2949.21290539646</v>
      </c>
      <c r="I54" s="14" t="n">
        <f aca="false">I53*(1+D54)</f>
        <v>3017.31202609068</v>
      </c>
      <c r="J54" s="14" t="n">
        <f aca="false">J53*(1+E54)</f>
        <v>2959.48168832348</v>
      </c>
      <c r="K54" s="14" t="n">
        <f aca="false">K53*(1+F54)</f>
        <v>2892.54406911821</v>
      </c>
      <c r="L54" s="14" t="n">
        <f aca="false">L53*(1+G54)</f>
        <v>2959.00644491117</v>
      </c>
      <c r="M54" s="14" t="n">
        <f aca="false">H54-H53</f>
        <v>18.2641438918868</v>
      </c>
      <c r="N54" s="14" t="n">
        <f aca="false">I54-I53</f>
        <v>16.4219783322087</v>
      </c>
      <c r="O54" s="14" t="n">
        <f aca="false">J54-J53</f>
        <v>16.4490669192669</v>
      </c>
      <c r="P54" s="14" t="n">
        <f aca="false">K54-K53</f>
        <v>17.8578570025811</v>
      </c>
      <c r="Q54" s="14" t="n">
        <f aca="false">L54-L53</f>
        <v>11.0120599022925</v>
      </c>
    </row>
    <row r="55" customFormat="false" ht="15" hidden="false" customHeight="false" outlineLevel="0" collapsed="false">
      <c r="A55" s="11" t="n">
        <v>46076</v>
      </c>
      <c r="B55" s="12" t="s">
        <v>51</v>
      </c>
      <c r="C55" s="13" t="n">
        <v>0.0203973667154276</v>
      </c>
      <c r="D55" s="13" t="n">
        <v>0.0276557226085564</v>
      </c>
      <c r="E55" s="13" t="n">
        <v>0.027573757672522</v>
      </c>
      <c r="F55" s="13" t="n">
        <v>0.026160434209893</v>
      </c>
      <c r="G55" s="13" t="n">
        <v>0.0317351181767965</v>
      </c>
      <c r="H55" s="14" t="n">
        <f aca="false">H54*(1+C55)</f>
        <v>3009.3690825497</v>
      </c>
      <c r="I55" s="14" t="n">
        <f aca="false">I54*(1+D55)</f>
        <v>3100.7579705077</v>
      </c>
      <c r="J55" s="14" t="n">
        <f aca="false">J54*(1+E55)</f>
        <v>3041.08571923357</v>
      </c>
      <c r="K55" s="14" t="n">
        <f aca="false">K54*(1+F55)</f>
        <v>2968.21427793759</v>
      </c>
      <c r="L55" s="14" t="n">
        <f aca="false">L54*(1+G55)</f>
        <v>3052.91086412633</v>
      </c>
      <c r="M55" s="14" t="n">
        <f aca="false">H55-H54</f>
        <v>60.1561771532433</v>
      </c>
      <c r="N55" s="14" t="n">
        <f aca="false">I55-I54</f>
        <v>83.4459444170248</v>
      </c>
      <c r="O55" s="14" t="n">
        <f aca="false">J55-J54</f>
        <v>81.6040309100977</v>
      </c>
      <c r="P55" s="14" t="n">
        <f aca="false">K55-K54</f>
        <v>75.6702088193829</v>
      </c>
      <c r="Q55" s="14" t="n">
        <f aca="false">L55-L54</f>
        <v>93.9044192151591</v>
      </c>
    </row>
    <row r="56" customFormat="false" ht="15" hidden="false" customHeight="false" outlineLevel="0" collapsed="false">
      <c r="A56" s="11" t="n">
        <v>46077</v>
      </c>
      <c r="B56" s="12" t="s">
        <v>52</v>
      </c>
      <c r="C56" s="13" t="n">
        <v>0.0795773895942146</v>
      </c>
      <c r="D56" s="13" t="n">
        <v>0.0901466650678459</v>
      </c>
      <c r="E56" s="13" t="n">
        <v>0.0898283057466846</v>
      </c>
      <c r="F56" s="13" t="n">
        <v>0.0692056327869103</v>
      </c>
      <c r="G56" s="13" t="n">
        <v>0.0791873614219296</v>
      </c>
      <c r="H56" s="14" t="n">
        <f aca="false">H55*(1+C56)</f>
        <v>3248.84681846455</v>
      </c>
      <c r="I56" s="14" t="n">
        <f aca="false">I55*(1+D56)</f>
        <v>3380.28096073151</v>
      </c>
      <c r="J56" s="14" t="n">
        <f aca="false">J55*(1+E56)</f>
        <v>3314.26129702276</v>
      </c>
      <c r="K56" s="14" t="n">
        <f aca="false">K55*(1+F56)</f>
        <v>3173.6314252894</v>
      </c>
      <c r="L56" s="14" t="n">
        <f aca="false">L55*(1+G56)</f>
        <v>3294.66282011284</v>
      </c>
      <c r="M56" s="14" t="n">
        <f aca="false">H56-H55</f>
        <v>239.477735914842</v>
      </c>
      <c r="N56" s="14" t="n">
        <f aca="false">I56-I55</f>
        <v>279.522990223812</v>
      </c>
      <c r="O56" s="14" t="n">
        <f aca="false">J56-J55</f>
        <v>273.17557778919</v>
      </c>
      <c r="P56" s="14" t="n">
        <f aca="false">K56-K55</f>
        <v>205.417147351813</v>
      </c>
      <c r="Q56" s="14" t="n">
        <f aca="false">L56-L55</f>
        <v>241.751955986507</v>
      </c>
    </row>
    <row r="57" customFormat="false" ht="15" hidden="false" customHeight="false" outlineLevel="0" collapsed="false">
      <c r="A57" s="11" t="n">
        <v>46078</v>
      </c>
      <c r="B57" s="12" t="s">
        <v>53</v>
      </c>
      <c r="C57" s="13" t="n">
        <v>-0.0126898940238026</v>
      </c>
      <c r="D57" s="13" t="n">
        <v>-0.0150415662596097</v>
      </c>
      <c r="E57" s="13" t="n">
        <v>-0.0149843310371944</v>
      </c>
      <c r="F57" s="13" t="n">
        <v>-0.0205787338574637</v>
      </c>
      <c r="G57" s="13" t="n">
        <v>-0.0150954845131892</v>
      </c>
      <c r="H57" s="14" t="n">
        <f aca="false">H56*(1+C57)</f>
        <v>3207.61929663866</v>
      </c>
      <c r="I57" s="14" t="n">
        <f aca="false">I56*(1+D57)</f>
        <v>3329.43624068457</v>
      </c>
      <c r="J57" s="14" t="n">
        <f aca="false">J56*(1+E57)</f>
        <v>3264.59930860441</v>
      </c>
      <c r="K57" s="14" t="n">
        <f aca="false">K56*(1+F57)</f>
        <v>3108.32210882669</v>
      </c>
      <c r="L57" s="14" t="n">
        <f aca="false">L56*(1+G57)</f>
        <v>3244.92828853565</v>
      </c>
      <c r="M57" s="14" t="n">
        <f aca="false">H57-H56</f>
        <v>-41.2275218258833</v>
      </c>
      <c r="N57" s="14" t="n">
        <f aca="false">I57-I56</f>
        <v>-50.84472004694</v>
      </c>
      <c r="O57" s="14" t="n">
        <f aca="false">J57-J56</f>
        <v>-49.6619884183506</v>
      </c>
      <c r="P57" s="14" t="n">
        <f aca="false">K57-K56</f>
        <v>-65.3093164627139</v>
      </c>
      <c r="Q57" s="14" t="n">
        <f aca="false">L57-L56</f>
        <v>-49.7345315771936</v>
      </c>
    </row>
    <row r="58" customFormat="false" ht="15" hidden="false" customHeight="false" outlineLevel="0" collapsed="false">
      <c r="A58" s="11" t="n">
        <v>46079</v>
      </c>
      <c r="B58" s="12" t="s">
        <v>47</v>
      </c>
      <c r="C58" s="13" t="n">
        <v>0.0361279175918104</v>
      </c>
      <c r="D58" s="13" t="n">
        <v>0.0468425098063317</v>
      </c>
      <c r="E58" s="13" t="n">
        <v>0.0448088021789942</v>
      </c>
      <c r="F58" s="13" t="n">
        <v>0.0280719016388448</v>
      </c>
      <c r="G58" s="13" t="n">
        <v>0.046185730884092</v>
      </c>
      <c r="H58" s="14" t="n">
        <f aca="false">H57*(1+C58)</f>
        <v>3323.50390225352</v>
      </c>
      <c r="I58" s="14" t="n">
        <f aca="false">I57*(1+D58)</f>
        <v>3485.3953904384</v>
      </c>
      <c r="J58" s="14" t="n">
        <f aca="false">J57*(1+E58)</f>
        <v>3410.88209321735</v>
      </c>
      <c r="K58" s="14" t="n">
        <f aca="false">K57*(1+F58)</f>
        <v>3195.57862132752</v>
      </c>
      <c r="L58" s="14" t="n">
        <f aca="false">L57*(1+G58)</f>
        <v>3394.79767320813</v>
      </c>
      <c r="M58" s="14" t="n">
        <f aca="false">H58-H57</f>
        <v>115.884605614863</v>
      </c>
      <c r="N58" s="14" t="n">
        <f aca="false">I58-I57</f>
        <v>155.959149753823</v>
      </c>
      <c r="O58" s="14" t="n">
        <f aca="false">J58-J57</f>
        <v>146.282784612937</v>
      </c>
      <c r="P58" s="14" t="n">
        <f aca="false">K58-K57</f>
        <v>87.2565125008296</v>
      </c>
      <c r="Q58" s="14" t="n">
        <f aca="false">L58-L57</f>
        <v>149.869384672484</v>
      </c>
    </row>
    <row r="59" customFormat="false" ht="15" hidden="false" customHeight="false" outlineLevel="0" collapsed="false">
      <c r="A59" s="11" t="n">
        <v>46080</v>
      </c>
      <c r="B59" s="12" t="s">
        <v>48</v>
      </c>
      <c r="C59" s="13" t="n">
        <v>-0.0118440427984038</v>
      </c>
      <c r="D59" s="13" t="n">
        <v>-0.0130504648202605</v>
      </c>
      <c r="E59" s="13" t="n">
        <v>-0.0130001010124952</v>
      </c>
      <c r="F59" s="13" t="n">
        <v>-0.00826104891020929</v>
      </c>
      <c r="G59" s="13" t="n">
        <v>-0.00909214409083103</v>
      </c>
      <c r="H59" s="14" t="n">
        <f aca="false">H58*(1+C59)</f>
        <v>3284.14017979457</v>
      </c>
      <c r="I59" s="14" t="n">
        <f aca="false">I58*(1+D59)</f>
        <v>3439.90936051078</v>
      </c>
      <c r="J59" s="14" t="n">
        <f aca="false">J58*(1+E59)</f>
        <v>3366.54028146381</v>
      </c>
      <c r="K59" s="14" t="n">
        <f aca="false">K58*(1+F59)</f>
        <v>3169.17979004031</v>
      </c>
      <c r="L59" s="14" t="n">
        <f aca="false">L58*(1+G59)</f>
        <v>3363.93168360411</v>
      </c>
      <c r="M59" s="14" t="n">
        <f aca="false">H59-H58</f>
        <v>-39.3637224589529</v>
      </c>
      <c r="N59" s="14" t="n">
        <f aca="false">I59-I58</f>
        <v>-45.4860299276143</v>
      </c>
      <c r="O59" s="14" t="n">
        <f aca="false">J59-J58</f>
        <v>-44.3418117535366</v>
      </c>
      <c r="P59" s="14" t="n">
        <f aca="false">K59-K58</f>
        <v>-26.3988312872057</v>
      </c>
      <c r="Q59" s="14" t="n">
        <f aca="false">L59-L58</f>
        <v>-30.8659896040263</v>
      </c>
    </row>
    <row r="60" customFormat="false" ht="15" hidden="false" customHeight="false" outlineLevel="0" collapsed="false">
      <c r="A60" s="11" t="n">
        <v>46081</v>
      </c>
      <c r="B60" s="12" t="s">
        <v>49</v>
      </c>
      <c r="C60" s="13" t="n">
        <v>0.0061567260562303</v>
      </c>
      <c r="D60" s="13" t="n">
        <v>0.00601186721375168</v>
      </c>
      <c r="E60" s="13" t="n">
        <v>0.0062964780841936</v>
      </c>
      <c r="F60" s="13" t="n">
        <v>0.0137080219834971</v>
      </c>
      <c r="G60" s="13" t="n">
        <v>0.00441066616659347</v>
      </c>
      <c r="H60" s="14" t="n">
        <f aca="false">H59*(1+C60)</f>
        <v>3304.35973121183</v>
      </c>
      <c r="I60" s="14" t="n">
        <f aca="false">I59*(1+D60)</f>
        <v>3460.58963881351</v>
      </c>
      <c r="J60" s="14" t="n">
        <f aca="false">J59*(1+E60)</f>
        <v>3387.73762856561</v>
      </c>
      <c r="K60" s="14" t="n">
        <f aca="false">K59*(1+F60)</f>
        <v>3212.62297627184</v>
      </c>
      <c r="L60" s="14" t="n">
        <f aca="false">L59*(1+G60)</f>
        <v>3378.76886326771</v>
      </c>
      <c r="M60" s="14" t="n">
        <f aca="false">H60-H59</f>
        <v>20.219551417254</v>
      </c>
      <c r="N60" s="14" t="n">
        <f aca="false">I60-I59</f>
        <v>20.6802783027324</v>
      </c>
      <c r="O60" s="14" t="n">
        <f aca="false">J60-J59</f>
        <v>21.1973471017918</v>
      </c>
      <c r="P60" s="14" t="n">
        <f aca="false">K60-K59</f>
        <v>43.4431862315273</v>
      </c>
      <c r="Q60" s="14" t="n">
        <f aca="false">L60-L59</f>
        <v>14.8371796636043</v>
      </c>
    </row>
    <row r="61" customFormat="false" ht="15" hidden="false" customHeight="false" outlineLevel="0" collapsed="false">
      <c r="A61" s="11" t="n">
        <v>46082</v>
      </c>
      <c r="B61" s="12" t="s">
        <v>50</v>
      </c>
      <c r="C61" s="13" t="n">
        <v>0.0161163643255018</v>
      </c>
      <c r="D61" s="13" t="n">
        <v>0.0104026580536801</v>
      </c>
      <c r="E61" s="13" t="n">
        <v>0.0109445847761265</v>
      </c>
      <c r="F61" s="13" t="n">
        <v>0.0135545792109988</v>
      </c>
      <c r="G61" s="13" t="n">
        <v>0.0106843926950814</v>
      </c>
      <c r="H61" s="14" t="n">
        <f aca="false">H60*(1+C61)</f>
        <v>3357.61399650255</v>
      </c>
      <c r="I61" s="14" t="n">
        <f aca="false">I60*(1+D61)</f>
        <v>3496.5889694902</v>
      </c>
      <c r="J61" s="14" t="n">
        <f aca="false">J60*(1+E61)</f>
        <v>3424.81501024072</v>
      </c>
      <c r="K61" s="14" t="n">
        <f aca="false">K60*(1+F61)</f>
        <v>3256.16872887879</v>
      </c>
      <c r="L61" s="14" t="n">
        <f aca="false">L60*(1+G61)</f>
        <v>3414.86895662878</v>
      </c>
      <c r="M61" s="14" t="n">
        <f aca="false">H61-H60</f>
        <v>53.2542652907268</v>
      </c>
      <c r="N61" s="14" t="n">
        <f aca="false">I61-I60</f>
        <v>35.9993306766851</v>
      </c>
      <c r="O61" s="14" t="n">
        <f aca="false">J61-J60</f>
        <v>37.0773816751098</v>
      </c>
      <c r="P61" s="14" t="n">
        <f aca="false">K61-K60</f>
        <v>43.5457526069513</v>
      </c>
      <c r="Q61" s="14" t="n">
        <f aca="false">L61-L60</f>
        <v>36.1000933610662</v>
      </c>
    </row>
    <row r="62" customFormat="false" ht="15" hidden="false" customHeight="false" outlineLevel="0" collapsed="false">
      <c r="A62" s="11" t="n">
        <v>46083</v>
      </c>
      <c r="B62" s="12" t="s">
        <v>51</v>
      </c>
      <c r="C62" s="13" t="n">
        <v>0.0782233970607218</v>
      </c>
      <c r="D62" s="13" t="n">
        <v>0.085759866401556</v>
      </c>
      <c r="E62" s="13" t="n">
        <v>0.0857124961682689</v>
      </c>
      <c r="F62" s="13" t="n">
        <v>0.0708028553376304</v>
      </c>
      <c r="G62" s="13" t="n">
        <v>0.0727271783877787</v>
      </c>
      <c r="H62" s="14" t="n">
        <f aca="false">H61*(1+C62)</f>
        <v>3620.25796932761</v>
      </c>
      <c r="I62" s="14" t="n">
        <f aca="false">I61*(1+D62)</f>
        <v>3796.45597237483</v>
      </c>
      <c r="J62" s="14" t="n">
        <f aca="false">J61*(1+E62)</f>
        <v>3718.364453683</v>
      </c>
      <c r="K62" s="14" t="n">
        <f aca="false">K61*(1+F62)</f>
        <v>3486.71477234451</v>
      </c>
      <c r="L62" s="14" t="n">
        <f aca="false">L61*(1+G62)</f>
        <v>3663.2227404084</v>
      </c>
      <c r="M62" s="14" t="n">
        <f aca="false">H62-H61</f>
        <v>262.643972825056</v>
      </c>
      <c r="N62" s="14" t="n">
        <f aca="false">I62-I61</f>
        <v>299.867002884634</v>
      </c>
      <c r="O62" s="14" t="n">
        <f aca="false">J62-J61</f>
        <v>293.549443442287</v>
      </c>
      <c r="P62" s="14" t="n">
        <f aca="false">K62-K61</f>
        <v>230.546043465721</v>
      </c>
      <c r="Q62" s="14" t="n">
        <f aca="false">L62-L61</f>
        <v>248.353783779629</v>
      </c>
    </row>
    <row r="63" customFormat="false" ht="15" hidden="false" customHeight="false" outlineLevel="0" collapsed="false">
      <c r="A63" s="11" t="n">
        <v>46084</v>
      </c>
      <c r="B63" s="12" t="s">
        <v>52</v>
      </c>
      <c r="C63" s="13" t="n">
        <v>-0.0286785635405443</v>
      </c>
      <c r="D63" s="13" t="n">
        <v>-0.0411598766851907</v>
      </c>
      <c r="E63" s="13" t="n">
        <v>-0.0285990557867085</v>
      </c>
      <c r="F63" s="13" t="n">
        <v>-0.03411231242534</v>
      </c>
      <c r="G63" s="13" t="n">
        <v>-0.0344936232831943</v>
      </c>
      <c r="H63" s="14" t="n">
        <f aca="false">H62*(1+C63)</f>
        <v>3516.43417112108</v>
      </c>
      <c r="I63" s="14" t="n">
        <f aca="false">I62*(1+D63)</f>
        <v>3640.19431271113</v>
      </c>
      <c r="J63" s="14" t="n">
        <f aca="false">J62*(1+E63)</f>
        <v>3612.02274123681</v>
      </c>
      <c r="K63" s="14" t="n">
        <f aca="false">K62*(1+F63)</f>
        <v>3367.77486869225</v>
      </c>
      <c r="L63" s="14" t="n">
        <f aca="false">L62*(1+G63)</f>
        <v>3536.86491519833</v>
      </c>
      <c r="M63" s="14" t="n">
        <f aca="false">H63-H62</f>
        <v>-103.823798206524</v>
      </c>
      <c r="N63" s="14" t="n">
        <f aca="false">I63-I62</f>
        <v>-156.261659663704</v>
      </c>
      <c r="O63" s="14" t="n">
        <f aca="false">J63-J62</f>
        <v>-106.341712446194</v>
      </c>
      <c r="P63" s="14" t="n">
        <f aca="false">K63-K62</f>
        <v>-118.939903652264</v>
      </c>
      <c r="Q63" s="14" t="n">
        <f aca="false">L63-L62</f>
        <v>-126.357825210078</v>
      </c>
    </row>
    <row r="64" customFormat="false" ht="15" hidden="false" customHeight="false" outlineLevel="0" collapsed="false">
      <c r="A64" s="11" t="n">
        <v>46085</v>
      </c>
      <c r="B64" s="12" t="s">
        <v>53</v>
      </c>
      <c r="C64" s="13" t="n">
        <v>-0.0062793469735557</v>
      </c>
      <c r="D64" s="13" t="n">
        <v>-0.00246057564234722</v>
      </c>
      <c r="E64" s="13" t="n">
        <v>-0.00224386179270525</v>
      </c>
      <c r="F64" s="13" t="n">
        <v>-0.004417112521793</v>
      </c>
      <c r="G64" s="13" t="n">
        <v>-0.00439139465720817</v>
      </c>
      <c r="H64" s="14" t="n">
        <f aca="false">H63*(1+C64)</f>
        <v>3494.35326085095</v>
      </c>
      <c r="I64" s="14" t="n">
        <f aca="false">I63*(1+D64)</f>
        <v>3631.23733925186</v>
      </c>
      <c r="J64" s="14" t="n">
        <f aca="false">J63*(1+E64)</f>
        <v>3603.91786141337</v>
      </c>
      <c r="K64" s="14" t="n">
        <f aca="false">K63*(1+F64)</f>
        <v>3352.89902814917</v>
      </c>
      <c r="L64" s="14" t="n">
        <f aca="false">L63*(1+G64)</f>
        <v>3521.33314550646</v>
      </c>
      <c r="M64" s="14" t="n">
        <f aca="false">H64-H63</f>
        <v>-22.0809102701369</v>
      </c>
      <c r="N64" s="14" t="n">
        <f aca="false">I64-I63</f>
        <v>-8.95697345926783</v>
      </c>
      <c r="O64" s="14" t="n">
        <f aca="false">J64-J63</f>
        <v>-8.10487982344375</v>
      </c>
      <c r="P64" s="14" t="n">
        <f aca="false">K64-K63</f>
        <v>-14.8758405430804</v>
      </c>
      <c r="Q64" s="14" t="n">
        <f aca="false">L64-L63</f>
        <v>-15.5317696918692</v>
      </c>
    </row>
    <row r="65" customFormat="false" ht="15" hidden="false" customHeight="false" outlineLevel="0" collapsed="false">
      <c r="A65" s="11" t="n">
        <v>46086</v>
      </c>
      <c r="B65" s="12" t="s">
        <v>47</v>
      </c>
      <c r="C65" s="13" t="n">
        <v>0.0275306085573387</v>
      </c>
      <c r="D65" s="13" t="n">
        <v>0.0298854876919928</v>
      </c>
      <c r="E65" s="13" t="n">
        <v>0.0300652392261081</v>
      </c>
      <c r="F65" s="13" t="n">
        <v>0.0293827608273106</v>
      </c>
      <c r="G65" s="13" t="n">
        <v>0.0271896672528427</v>
      </c>
      <c r="H65" s="14" t="n">
        <f aca="false">H64*(1+C65)</f>
        <v>3590.5549326365</v>
      </c>
      <c r="I65" s="14" t="n">
        <f aca="false">I64*(1+D65)</f>
        <v>3739.75863806078</v>
      </c>
      <c r="J65" s="14" t="n">
        <f aca="false">J64*(1+E65)</f>
        <v>3712.270514068</v>
      </c>
      <c r="K65" s="14" t="n">
        <f aca="false">K64*(1+F65)</f>
        <v>3451.4164583714</v>
      </c>
      <c r="L65" s="14" t="n">
        <f aca="false">L64*(1+G65)</f>
        <v>3617.07702201918</v>
      </c>
      <c r="M65" s="14" t="n">
        <f aca="false">H65-H64</f>
        <v>96.2016717855477</v>
      </c>
      <c r="N65" s="14" t="n">
        <f aca="false">I65-I64</f>
        <v>108.521298808916</v>
      </c>
      <c r="O65" s="14" t="n">
        <f aca="false">J65-J64</f>
        <v>108.352652654637</v>
      </c>
      <c r="P65" s="14" t="n">
        <f aca="false">K65-K64</f>
        <v>98.5174302222295</v>
      </c>
      <c r="Q65" s="14" t="n">
        <f aca="false">L65-L64</f>
        <v>95.7438765127263</v>
      </c>
    </row>
    <row r="66" customFormat="false" ht="15" hidden="false" customHeight="false" outlineLevel="0" collapsed="false">
      <c r="A66" s="11" t="n">
        <v>46087</v>
      </c>
      <c r="B66" s="12" t="s">
        <v>48</v>
      </c>
      <c r="C66" s="13" t="n">
        <v>-0.012402250293528</v>
      </c>
      <c r="D66" s="13" t="n">
        <v>-0.0138350758891848</v>
      </c>
      <c r="E66" s="13" t="n">
        <v>-0.0138236023513114</v>
      </c>
      <c r="F66" s="13" t="n">
        <v>-0.0102016975791948</v>
      </c>
      <c r="G66" s="13" t="n">
        <v>-0.00607658539463085</v>
      </c>
      <c r="H66" s="14" t="n">
        <f aca="false">H65*(1+C66)</f>
        <v>3546.02397166928</v>
      </c>
      <c r="I66" s="14" t="n">
        <f aca="false">I65*(1+D66)</f>
        <v>3688.01879349597</v>
      </c>
      <c r="J66" s="14" t="n">
        <f aca="false">J65*(1+E66)</f>
        <v>3660.95356266103</v>
      </c>
      <c r="K66" s="14" t="n">
        <f aca="false">K65*(1+F66)</f>
        <v>3416.20615144324</v>
      </c>
      <c r="L66" s="14" t="n">
        <f aca="false">L65*(1+G66)</f>
        <v>3595.09754461593</v>
      </c>
      <c r="M66" s="14" t="n">
        <f aca="false">H66-H65</f>
        <v>-44.5309609672195</v>
      </c>
      <c r="N66" s="14" t="n">
        <f aca="false">I66-I65</f>
        <v>-51.739844564805</v>
      </c>
      <c r="O66" s="14" t="n">
        <f aca="false">J66-J65</f>
        <v>-51.3169514069746</v>
      </c>
      <c r="P66" s="14" t="n">
        <f aca="false">K66-K65</f>
        <v>-35.2103069281602</v>
      </c>
      <c r="Q66" s="14" t="n">
        <f aca="false">L66-L65</f>
        <v>-21.9794774032566</v>
      </c>
    </row>
    <row r="67" customFormat="false" ht="15" hidden="false" customHeight="false" outlineLevel="0" collapsed="false">
      <c r="A67" s="11" t="n">
        <v>46088</v>
      </c>
      <c r="B67" s="12" t="s">
        <v>49</v>
      </c>
      <c r="C67" s="13" t="n">
        <v>0.00720058095781839</v>
      </c>
      <c r="D67" s="13" t="n">
        <v>-0.00458565818559276</v>
      </c>
      <c r="E67" s="13" t="n">
        <v>-0.00520212947619462</v>
      </c>
      <c r="F67" s="13" t="n">
        <v>0.00101765304832724</v>
      </c>
      <c r="G67" s="13" t="n">
        <v>-0.00243563369554839</v>
      </c>
      <c r="H67" s="14" t="n">
        <f aca="false">H66*(1+C67)</f>
        <v>3571.55740435565</v>
      </c>
      <c r="I67" s="14" t="n">
        <f aca="false">I66*(1+D67)</f>
        <v>3671.10679992696</v>
      </c>
      <c r="J67" s="14" t="n">
        <f aca="false">J66*(1+E67)</f>
        <v>3641.90880822173</v>
      </c>
      <c r="K67" s="14" t="n">
        <f aca="false">K66*(1+F67)</f>
        <v>3419.68266404697</v>
      </c>
      <c r="L67" s="14" t="n">
        <f aca="false">L66*(1+G67)</f>
        <v>3586.34120389748</v>
      </c>
      <c r="M67" s="14" t="n">
        <f aca="false">H67-H66</f>
        <v>25.5334326863695</v>
      </c>
      <c r="N67" s="14" t="n">
        <f aca="false">I67-I66</f>
        <v>-16.9119935690146</v>
      </c>
      <c r="O67" s="14" t="n">
        <f aca="false">J67-J66</f>
        <v>-19.0447544392987</v>
      </c>
      <c r="P67" s="14" t="n">
        <f aca="false">K67-K66</f>
        <v>3.4765126037305</v>
      </c>
      <c r="Q67" s="14" t="n">
        <f aca="false">L67-L66</f>
        <v>-8.75634071844979</v>
      </c>
    </row>
    <row r="68" customFormat="false" ht="15" hidden="false" customHeight="false" outlineLevel="0" collapsed="false">
      <c r="A68" s="11" t="n">
        <v>46089</v>
      </c>
      <c r="B68" s="12" t="s">
        <v>50</v>
      </c>
      <c r="C68" s="13" t="n">
        <v>-0.00167650492197291</v>
      </c>
      <c r="D68" s="13" t="n">
        <v>-0.000838097085551795</v>
      </c>
      <c r="E68" s="13" t="n">
        <v>-0.000808105360169109</v>
      </c>
      <c r="F68" s="13" t="n">
        <v>0.00384261714277345</v>
      </c>
      <c r="G68" s="13" t="n">
        <v>0.000383079394367103</v>
      </c>
      <c r="H68" s="14" t="n">
        <f aca="false">H67*(1+C68)</f>
        <v>3565.56967078813</v>
      </c>
      <c r="I68" s="14" t="n">
        <f aca="false">I67*(1+D68)</f>
        <v>3668.03005601719</v>
      </c>
      <c r="J68" s="14" t="n">
        <f aca="false">J67*(1+E68)</f>
        <v>3638.96576219256</v>
      </c>
      <c r="K68" s="14" t="n">
        <f aca="false">K67*(1+F68)</f>
        <v>3432.82319527468</v>
      </c>
      <c r="L68" s="14" t="n">
        <f aca="false">L67*(1+G68)</f>
        <v>3587.71505731386</v>
      </c>
      <c r="M68" s="14" t="n">
        <f aca="false">H68-H67</f>
        <v>-5.98773356751099</v>
      </c>
      <c r="N68" s="14" t="n">
        <f aca="false">I68-I67</f>
        <v>-3.07674390976808</v>
      </c>
      <c r="O68" s="14" t="n">
        <f aca="false">J68-J67</f>
        <v>-2.943046029171</v>
      </c>
      <c r="P68" s="14" t="n">
        <f aca="false">K68-K67</f>
        <v>13.140531227712</v>
      </c>
      <c r="Q68" s="14" t="n">
        <f aca="false">L68-L67</f>
        <v>1.37385341638264</v>
      </c>
    </row>
    <row r="69" customFormat="false" ht="15" hidden="false" customHeight="false" outlineLevel="0" collapsed="false">
      <c r="A69" s="11" t="n">
        <v>46090</v>
      </c>
      <c r="B69" s="12" t="s">
        <v>51</v>
      </c>
      <c r="C69" s="13" t="n">
        <v>0.010488014411324</v>
      </c>
      <c r="D69" s="13" t="n">
        <v>0.0130323397785739</v>
      </c>
      <c r="E69" s="13" t="n">
        <v>0.0130336728858978</v>
      </c>
      <c r="F69" s="13" t="n">
        <v>0.00797185174782111</v>
      </c>
      <c r="G69" s="13" t="n">
        <v>0.00928117187163702</v>
      </c>
      <c r="H69" s="14" t="n">
        <f aca="false">H68*(1+C69)</f>
        <v>3602.96541687994</v>
      </c>
      <c r="I69" s="14" t="n">
        <f aca="false">I68*(1+D69)</f>
        <v>3715.83307002523</v>
      </c>
      <c r="J69" s="14" t="n">
        <f aca="false">J68*(1+E69)</f>
        <v>3686.39485157996</v>
      </c>
      <c r="K69" s="14" t="n">
        <f aca="false">K68*(1+F69)</f>
        <v>3460.18915286389</v>
      </c>
      <c r="L69" s="14" t="n">
        <f aca="false">L68*(1+G69)</f>
        <v>3621.01325738725</v>
      </c>
      <c r="M69" s="14" t="n">
        <f aca="false">H69-H68</f>
        <v>37.3957460918055</v>
      </c>
      <c r="N69" s="14" t="n">
        <f aca="false">I69-I68</f>
        <v>47.8030140080373</v>
      </c>
      <c r="O69" s="14" t="n">
        <f aca="false">J69-J68</f>
        <v>47.4290893873995</v>
      </c>
      <c r="P69" s="14" t="n">
        <f aca="false">K69-K68</f>
        <v>27.3659575892111</v>
      </c>
      <c r="Q69" s="14" t="n">
        <f aca="false">L69-L68</f>
        <v>33.29820007339</v>
      </c>
    </row>
    <row r="70" customFormat="false" ht="15" hidden="false" customHeight="false" outlineLevel="0" collapsed="false">
      <c r="A70" s="11" t="n">
        <v>46091</v>
      </c>
      <c r="B70" s="12" t="s">
        <v>52</v>
      </c>
      <c r="C70" s="13" t="n">
        <v>-0.00330029806594406</v>
      </c>
      <c r="D70" s="13" t="n">
        <v>-0.00293677979067379</v>
      </c>
      <c r="E70" s="13" t="n">
        <v>-0.00293185706082142</v>
      </c>
      <c r="F70" s="13" t="n">
        <v>-0.00387042812630445</v>
      </c>
      <c r="G70" s="13" t="n">
        <v>-0.00175555310047426</v>
      </c>
      <c r="H70" s="14" t="n">
        <f aca="false">H69*(1+C70)</f>
        <v>3591.07455708295</v>
      </c>
      <c r="I70" s="14" t="n">
        <f aca="false">I69*(1+D70)</f>
        <v>3704.92048655966</v>
      </c>
      <c r="J70" s="14" t="n">
        <f aca="false">J69*(1+E70)</f>
        <v>3675.58686880538</v>
      </c>
      <c r="K70" s="14" t="n">
        <f aca="false">K69*(1+F70)</f>
        <v>3446.79673944431</v>
      </c>
      <c r="L70" s="14" t="n">
        <f aca="false">L69*(1+G70)</f>
        <v>3614.65637633639</v>
      </c>
      <c r="M70" s="14" t="n">
        <f aca="false">H70-H69</f>
        <v>-11.8908597969921</v>
      </c>
      <c r="N70" s="14" t="n">
        <f aca="false">I70-I69</f>
        <v>-10.9125834655674</v>
      </c>
      <c r="O70" s="14" t="n">
        <f aca="false">J70-J69</f>
        <v>-10.8079827745805</v>
      </c>
      <c r="P70" s="14" t="n">
        <f aca="false">K70-K69</f>
        <v>-13.3924134195781</v>
      </c>
      <c r="Q70" s="14" t="n">
        <f aca="false">L70-L69</f>
        <v>-6.35688105086456</v>
      </c>
    </row>
    <row r="71" customFormat="false" ht="15" hidden="false" customHeight="false" outlineLevel="0" collapsed="false">
      <c r="A71" s="11" t="n">
        <v>46092</v>
      </c>
      <c r="B71" s="12" t="s">
        <v>53</v>
      </c>
      <c r="C71" s="13" t="n">
        <v>0.0425002805919639</v>
      </c>
      <c r="D71" s="13" t="n">
        <v>0.0478516991716383</v>
      </c>
      <c r="E71" s="13" t="n">
        <v>0.0478576452884223</v>
      </c>
      <c r="F71" s="13" t="n">
        <v>0.0436421880465318</v>
      </c>
      <c r="G71" s="13" t="n">
        <v>0.0410210528835731</v>
      </c>
      <c r="H71" s="14" t="n">
        <f aca="false">H70*(1+C71)</f>
        <v>3743.69623338564</v>
      </c>
      <c r="I71" s="14" t="n">
        <f aca="false">I70*(1+D71)</f>
        <v>3882.20722713735</v>
      </c>
      <c r="J71" s="14" t="n">
        <f aca="false">J70*(1+E71)</f>
        <v>3851.49180139945</v>
      </c>
      <c r="K71" s="14" t="n">
        <f aca="false">K70*(1+F71)</f>
        <v>3597.22249090531</v>
      </c>
      <c r="L71" s="14" t="n">
        <f aca="false">L70*(1+G71)</f>
        <v>3762.93338670603</v>
      </c>
      <c r="M71" s="14" t="n">
        <f aca="false">H71-H70</f>
        <v>152.621676302688</v>
      </c>
      <c r="N71" s="14" t="n">
        <f aca="false">I71-I70</f>
        <v>177.286740577692</v>
      </c>
      <c r="O71" s="14" t="n">
        <f aca="false">J71-J70</f>
        <v>175.904932594071</v>
      </c>
      <c r="P71" s="14" t="n">
        <f aca="false">K71-K70</f>
        <v>150.425751461002</v>
      </c>
      <c r="Q71" s="14" t="n">
        <f aca="false">L71-L70</f>
        <v>148.277010369639</v>
      </c>
    </row>
    <row r="72" customFormat="false" ht="15" hidden="false" customHeight="false" outlineLevel="0" collapsed="false">
      <c r="A72" s="11" t="n">
        <v>46093</v>
      </c>
      <c r="B72" s="12" t="s">
        <v>47</v>
      </c>
      <c r="C72" s="13" t="n">
        <v>-0.0393360263304602</v>
      </c>
      <c r="D72" s="13" t="n">
        <v>-0.0445443736184729</v>
      </c>
      <c r="E72" s="13" t="n">
        <v>-0.0445443918333982</v>
      </c>
      <c r="F72" s="13" t="n">
        <v>-0.040063158312925</v>
      </c>
      <c r="G72" s="13" t="n">
        <v>-0.0391445198412661</v>
      </c>
      <c r="H72" s="14" t="n">
        <f aca="false">H71*(1+C72)</f>
        <v>3596.43409977593</v>
      </c>
      <c r="I72" s="14" t="n">
        <f aca="false">I71*(1+D72)</f>
        <v>3709.27673794741</v>
      </c>
      <c r="J72" s="14" t="n">
        <f aca="false">J71*(1+E72)</f>
        <v>3679.92944145479</v>
      </c>
      <c r="K72" s="14" t="n">
        <f aca="false">K71*(1+F72)</f>
        <v>3453.10639676536</v>
      </c>
      <c r="L72" s="14" t="n">
        <f aca="false">L71*(1+G72)</f>
        <v>3615.63516608875</v>
      </c>
      <c r="M72" s="14" t="n">
        <f aca="false">H72-H71</f>
        <v>-147.262133609702</v>
      </c>
      <c r="N72" s="14" t="n">
        <f aca="false">I72-I71</f>
        <v>-172.930489189942</v>
      </c>
      <c r="O72" s="14" t="n">
        <f aca="false">J72-J71</f>
        <v>-171.562359944658</v>
      </c>
      <c r="P72" s="14" t="n">
        <f aca="false">K72-K71</f>
        <v>-144.116094139954</v>
      </c>
      <c r="Q72" s="14" t="n">
        <f aca="false">L72-L71</f>
        <v>-147.298220617276</v>
      </c>
    </row>
    <row r="73" customFormat="false" ht="15" hidden="false" customHeight="false" outlineLevel="0" collapsed="false">
      <c r="A73" s="11" t="n">
        <v>46094</v>
      </c>
      <c r="B73" s="12" t="s">
        <v>48</v>
      </c>
      <c r="C73" s="13" t="n">
        <v>-0.00480180698093974</v>
      </c>
      <c r="D73" s="13" t="n">
        <v>-0.0057675436748305</v>
      </c>
      <c r="E73" s="13" t="n">
        <v>-0.00576754411288788</v>
      </c>
      <c r="F73" s="13" t="n">
        <v>-0.00554740476392429</v>
      </c>
      <c r="G73" s="13" t="n">
        <v>-0.00498275022356143</v>
      </c>
      <c r="H73" s="14" t="n">
        <f aca="false">H72*(1+C73)</f>
        <v>3579.16471740914</v>
      </c>
      <c r="I73" s="14" t="n">
        <f aca="false">I72*(1+D73)</f>
        <v>3687.88332235927</v>
      </c>
      <c r="J73" s="14" t="n">
        <f aca="false">J72*(1+E73)</f>
        <v>3658.70528606888</v>
      </c>
      <c r="K73" s="14" t="n">
        <f aca="false">K72*(1+F73)</f>
        <v>3433.95061788961</v>
      </c>
      <c r="L73" s="14" t="n">
        <f aca="false">L72*(1+G73)</f>
        <v>3597.6193591566</v>
      </c>
      <c r="M73" s="14" t="n">
        <f aca="false">H73-H72</f>
        <v>-17.2693823667937</v>
      </c>
      <c r="N73" s="14" t="n">
        <f aca="false">I73-I72</f>
        <v>-21.3934155881443</v>
      </c>
      <c r="O73" s="14" t="n">
        <f aca="false">J73-J72</f>
        <v>-21.2241553859058</v>
      </c>
      <c r="P73" s="14" t="n">
        <f aca="false">K73-K72</f>
        <v>-19.1557788757536</v>
      </c>
      <c r="Q73" s="14" t="n">
        <f aca="false">L73-L72</f>
        <v>-18.0158069321451</v>
      </c>
    </row>
    <row r="74" customFormat="false" ht="15" hidden="false" customHeight="false" outlineLevel="0" collapsed="false">
      <c r="A74" s="11" t="n">
        <v>46095</v>
      </c>
      <c r="B74" s="12" t="s">
        <v>49</v>
      </c>
      <c r="C74" s="13" t="n">
        <v>-0.0196444010127623</v>
      </c>
      <c r="D74" s="13" t="n">
        <v>-0.0240275981530273</v>
      </c>
      <c r="E74" s="13" t="n">
        <v>-0.0231568979147015</v>
      </c>
      <c r="F74" s="13" t="n">
        <v>-0.0198203971134687</v>
      </c>
      <c r="G74" s="13" t="n">
        <v>-0.0207376824406383</v>
      </c>
      <c r="H74" s="14" t="n">
        <f aca="false">H73*(1+C74)</f>
        <v>3508.85417040962</v>
      </c>
      <c r="I74" s="14" t="n">
        <f aca="false">I73*(1+D74)</f>
        <v>3599.27234385437</v>
      </c>
      <c r="J74" s="14" t="n">
        <f aca="false">J73*(1+E74)</f>
        <v>3573.98102125941</v>
      </c>
      <c r="K74" s="14" t="n">
        <f aca="false">K73*(1+F74)</f>
        <v>3365.88835297499</v>
      </c>
      <c r="L74" s="14" t="n">
        <f aca="false">L73*(1+G74)</f>
        <v>3523.01307134412</v>
      </c>
      <c r="M74" s="14" t="n">
        <f aca="false">H74-H73</f>
        <v>-70.3105469995153</v>
      </c>
      <c r="N74" s="14" t="n">
        <f aca="false">I74-I73</f>
        <v>-88.6109785048998</v>
      </c>
      <c r="O74" s="14" t="n">
        <f aca="false">J74-J73</f>
        <v>-84.7242648094762</v>
      </c>
      <c r="P74" s="14" t="n">
        <f aca="false">K74-K73</f>
        <v>-68.0622649146135</v>
      </c>
      <c r="Q74" s="14" t="n">
        <f aca="false">L74-L73</f>
        <v>-74.6062878124826</v>
      </c>
    </row>
    <row r="75" customFormat="false" ht="15" hidden="false" customHeight="false" outlineLevel="0" collapsed="false">
      <c r="A75" s="11" t="n">
        <v>46096</v>
      </c>
      <c r="B75" s="12" t="s">
        <v>50</v>
      </c>
      <c r="C75" s="13" t="n">
        <v>-0.0322496586308895</v>
      </c>
      <c r="D75" s="13" t="n">
        <v>-0.0449833433259047</v>
      </c>
      <c r="E75" s="13" t="n">
        <v>-0.0381635502851838</v>
      </c>
      <c r="F75" s="13" t="n">
        <v>-0.0318564608635572</v>
      </c>
      <c r="G75" s="13" t="n">
        <v>-0.040956082814657</v>
      </c>
      <c r="H75" s="14" t="n">
        <f aca="false">H74*(1+C75)</f>
        <v>3395.69482122834</v>
      </c>
      <c r="I75" s="14" t="n">
        <f aca="false">I74*(1+D75)</f>
        <v>3437.36504028733</v>
      </c>
      <c r="J75" s="14" t="n">
        <f aca="false">J74*(1+E75)</f>
        <v>3437.58521683628</v>
      </c>
      <c r="K75" s="14" t="n">
        <f aca="false">K74*(1+F75)</f>
        <v>3258.66306238734</v>
      </c>
      <c r="L75" s="14" t="n">
        <f aca="false">L74*(1+G75)</f>
        <v>3378.72425623703</v>
      </c>
      <c r="M75" s="14" t="n">
        <f aca="false">H75-H74</f>
        <v>-113.159349181283</v>
      </c>
      <c r="N75" s="14" t="n">
        <f aca="false">I75-I74</f>
        <v>-161.907303567035</v>
      </c>
      <c r="O75" s="14" t="n">
        <f aca="false">J75-J74</f>
        <v>-136.395804423126</v>
      </c>
      <c r="P75" s="14" t="n">
        <f aca="false">K75-K74</f>
        <v>-107.225290587651</v>
      </c>
      <c r="Q75" s="14" t="n">
        <f aca="false">L75-L74</f>
        <v>-144.288815107089</v>
      </c>
    </row>
    <row r="76" customFormat="false" ht="15" hidden="false" customHeight="false" outlineLevel="0" collapsed="false">
      <c r="A76" s="11" t="n">
        <v>46097</v>
      </c>
      <c r="B76" s="12" t="s">
        <v>51</v>
      </c>
      <c r="C76" s="13" t="n">
        <v>0.00585551653318595</v>
      </c>
      <c r="D76" s="13" t="n">
        <v>0.0036954794010619</v>
      </c>
      <c r="E76" s="13" t="n">
        <v>0.00759079286129206</v>
      </c>
      <c r="F76" s="13" t="n">
        <v>-0.00712129473709511</v>
      </c>
      <c r="G76" s="13" t="n">
        <v>-0.00318377507628426</v>
      </c>
      <c r="H76" s="14" t="n">
        <f aca="false">H75*(1+C76)</f>
        <v>3415.5783683957</v>
      </c>
      <c r="I76" s="14" t="n">
        <f aca="false">I75*(1+D76)</f>
        <v>3450.06775198764</v>
      </c>
      <c r="J76" s="14" t="n">
        <f aca="false">J75*(1+E76)</f>
        <v>3463.67921416033</v>
      </c>
      <c r="K76" s="14" t="n">
        <f aca="false">K75*(1+F76)</f>
        <v>3235.4571622712</v>
      </c>
      <c r="L76" s="14" t="n">
        <f aca="false">L75*(1+G76)</f>
        <v>3367.96715816039</v>
      </c>
      <c r="M76" s="14" t="n">
        <f aca="false">H76-H75</f>
        <v>19.8835471673565</v>
      </c>
      <c r="N76" s="14" t="n">
        <f aca="false">I76-I75</f>
        <v>12.7027117003122</v>
      </c>
      <c r="O76" s="14" t="n">
        <f aca="false">J76-J75</f>
        <v>26.0939973240443</v>
      </c>
      <c r="P76" s="14" t="n">
        <f aca="false">K76-K75</f>
        <v>-23.2059001161451</v>
      </c>
      <c r="Q76" s="14" t="n">
        <f aca="false">L76-L75</f>
        <v>-10.7570980766445</v>
      </c>
    </row>
    <row r="77" customFormat="false" ht="15" hidden="false" customHeight="false" outlineLevel="0" collapsed="false">
      <c r="A77" s="11" t="n">
        <v>46098</v>
      </c>
      <c r="B77" s="12" t="s">
        <v>52</v>
      </c>
      <c r="C77" s="13" t="n">
        <v>0.039778431813026</v>
      </c>
      <c r="D77" s="13" t="n">
        <v>0.0437036571639731</v>
      </c>
      <c r="E77" s="13" t="n">
        <v>0.0460186054311596</v>
      </c>
      <c r="F77" s="13" t="n">
        <v>0.0378455683647482</v>
      </c>
      <c r="G77" s="13" t="n">
        <v>0.0405367886843479</v>
      </c>
      <c r="H77" s="14" t="n">
        <f aca="false">H76*(1+C77)</f>
        <v>3551.44471962497</v>
      </c>
      <c r="I77" s="14" t="n">
        <f aca="false">I76*(1+D77)</f>
        <v>3600.84833021299</v>
      </c>
      <c r="J77" s="14" t="n">
        <f aca="false">J76*(1+E77)</f>
        <v>3623.07290125688</v>
      </c>
      <c r="K77" s="14" t="n">
        <f aca="false">K76*(1+F77)</f>
        <v>3357.90487749715</v>
      </c>
      <c r="L77" s="14" t="n">
        <f aca="false">L76*(1+G77)</f>
        <v>3504.49373114656</v>
      </c>
      <c r="M77" s="14" t="n">
        <f aca="false">H77-H76</f>
        <v>135.866351229275</v>
      </c>
      <c r="N77" s="14" t="n">
        <f aca="false">I77-I76</f>
        <v>150.780578225347</v>
      </c>
      <c r="O77" s="14" t="n">
        <f aca="false">J77-J76</f>
        <v>159.393687096553</v>
      </c>
      <c r="P77" s="14" t="n">
        <f aca="false">K77-K76</f>
        <v>122.447715225948</v>
      </c>
      <c r="Q77" s="14" t="n">
        <f aca="false">L77-L76</f>
        <v>136.526572986172</v>
      </c>
    </row>
    <row r="78" customFormat="false" ht="15" hidden="false" customHeight="false" outlineLevel="0" collapsed="false">
      <c r="A78" s="11" t="n">
        <v>46099</v>
      </c>
      <c r="B78" s="12" t="s">
        <v>53</v>
      </c>
      <c r="C78" s="13" t="n">
        <v>0.0431970433820696</v>
      </c>
      <c r="D78" s="13" t="n">
        <v>0.0511248384531303</v>
      </c>
      <c r="E78" s="13" t="n">
        <v>0.049368401295057</v>
      </c>
      <c r="F78" s="13" t="n">
        <v>0.0503990180016672</v>
      </c>
      <c r="G78" s="13" t="n">
        <v>0.0496983112345631</v>
      </c>
      <c r="H78" s="14" t="n">
        <f aca="false">H77*(1+C78)</f>
        <v>3704.85663124763</v>
      </c>
      <c r="I78" s="14" t="n">
        <f aca="false">I77*(1+D78)</f>
        <v>3784.94111938935</v>
      </c>
      <c r="J78" s="14" t="n">
        <f aca="false">J77*(1+E78)</f>
        <v>3801.93821816737</v>
      </c>
      <c r="K78" s="14" t="n">
        <f aca="false">K77*(1+F78)</f>
        <v>3527.13998586601</v>
      </c>
      <c r="L78" s="14" t="n">
        <f aca="false">L77*(1+G78)</f>
        <v>3678.66115131666</v>
      </c>
      <c r="M78" s="14" t="n">
        <f aca="false">H78-H77</f>
        <v>153.411911622662</v>
      </c>
      <c r="N78" s="14" t="n">
        <f aca="false">I78-I77</f>
        <v>184.092789176363</v>
      </c>
      <c r="O78" s="14" t="n">
        <f aca="false">J78-J77</f>
        <v>178.865316910496</v>
      </c>
      <c r="P78" s="14" t="n">
        <f aca="false">K78-K77</f>
        <v>169.235108368865</v>
      </c>
      <c r="Q78" s="14" t="n">
        <f aca="false">L78-L77</f>
        <v>174.167420170098</v>
      </c>
    </row>
    <row r="79" customFormat="false" ht="15" hidden="false" customHeight="false" outlineLevel="0" collapsed="false">
      <c r="A79" s="11" t="n">
        <v>46100</v>
      </c>
      <c r="B79" s="12" t="s">
        <v>47</v>
      </c>
      <c r="C79" s="13" t="n">
        <v>-0.027396382768657</v>
      </c>
      <c r="D79" s="13" t="n">
        <v>-0.0272562309544076</v>
      </c>
      <c r="E79" s="13" t="n">
        <v>-0.0312694707213048</v>
      </c>
      <c r="F79" s="13" t="n">
        <v>-0.0308076232023258</v>
      </c>
      <c r="G79" s="13" t="n">
        <v>-0.0214496698105643</v>
      </c>
      <c r="H79" s="14" t="n">
        <f aca="false">H78*(1+C79)</f>
        <v>3603.35696087498</v>
      </c>
      <c r="I79" s="14" t="n">
        <f aca="false">I78*(1+D79)</f>
        <v>3681.77789009044</v>
      </c>
      <c r="J79" s="14" t="n">
        <f aca="false">J78*(1+E79)</f>
        <v>3683.05362237018</v>
      </c>
      <c r="K79" s="14" t="n">
        <f aca="false">K78*(1+F79)</f>
        <v>3418.47718619959</v>
      </c>
      <c r="L79" s="14" t="n">
        <f aca="false">L78*(1+G79)</f>
        <v>3599.75508427596</v>
      </c>
      <c r="M79" s="14" t="n">
        <f aca="false">H79-H78</f>
        <v>-101.499670372657</v>
      </c>
      <c r="N79" s="14" t="n">
        <f aca="false">I79-I78</f>
        <v>-103.163229298911</v>
      </c>
      <c r="O79" s="14" t="n">
        <f aca="false">J79-J78</f>
        <v>-118.884595797194</v>
      </c>
      <c r="P79" s="14" t="n">
        <f aca="false">K79-K78</f>
        <v>-108.662799666417</v>
      </c>
      <c r="Q79" s="14" t="n">
        <f aca="false">L79-L78</f>
        <v>-78.9060670406925</v>
      </c>
    </row>
    <row r="80" customFormat="false" ht="15" hidden="false" customHeight="false" outlineLevel="0" collapsed="false">
      <c r="A80" s="11" t="n">
        <v>46101</v>
      </c>
      <c r="B80" s="12" t="s">
        <v>48</v>
      </c>
      <c r="C80" s="13" t="n">
        <v>0.0145545576586841</v>
      </c>
      <c r="D80" s="13" t="n">
        <v>-0.0069837469881662</v>
      </c>
      <c r="E80" s="13" t="n">
        <v>0.0153936080834594</v>
      </c>
      <c r="F80" s="13" t="n">
        <v>0.0148235793573264</v>
      </c>
      <c r="G80" s="13" t="n">
        <v>-0.00454301878891789</v>
      </c>
      <c r="H80" s="14" t="n">
        <f aca="false">H79*(1+C80)</f>
        <v>3655.80222752685</v>
      </c>
      <c r="I80" s="14" t="n">
        <f aca="false">I79*(1+D80)</f>
        <v>3656.06528483943</v>
      </c>
      <c r="J80" s="14" t="n">
        <f aca="false">J79*(1+E80)</f>
        <v>3739.74910638331</v>
      </c>
      <c r="K80" s="14" t="n">
        <f aca="false">K79*(1+F80)</f>
        <v>3469.15125405043</v>
      </c>
      <c r="L80" s="14" t="n">
        <f aca="false">L79*(1+G80)</f>
        <v>3583.4013292926</v>
      </c>
      <c r="M80" s="14" t="n">
        <f aca="false">H80-H79</f>
        <v>52.4452666518755</v>
      </c>
      <c r="N80" s="14" t="n">
        <f aca="false">I80-I79</f>
        <v>-25.7126052510162</v>
      </c>
      <c r="O80" s="14" t="n">
        <f aca="false">J80-J79</f>
        <v>56.695484013132</v>
      </c>
      <c r="P80" s="14" t="n">
        <f aca="false">K80-K79</f>
        <v>50.6740678508395</v>
      </c>
      <c r="Q80" s="14" t="n">
        <f aca="false">L80-L79</f>
        <v>-16.3537549833686</v>
      </c>
    </row>
    <row r="81" customFormat="false" ht="15" hidden="false" customHeight="false" outlineLevel="0" collapsed="false">
      <c r="A81" s="11" t="n">
        <v>46102</v>
      </c>
      <c r="B81" s="12" t="s">
        <v>49</v>
      </c>
      <c r="C81" s="13" t="n">
        <v>0.0149294468150814</v>
      </c>
      <c r="D81" s="13" t="n">
        <v>0.0189649876069204</v>
      </c>
      <c r="E81" s="13" t="n">
        <v>0.0153969033741441</v>
      </c>
      <c r="F81" s="13" t="n">
        <v>0.0171296343627869</v>
      </c>
      <c r="G81" s="13" t="n">
        <v>0.0200491674302969</v>
      </c>
      <c r="H81" s="14" t="n">
        <f aca="false">H80*(1+C81)</f>
        <v>3710.38133244917</v>
      </c>
      <c r="I81" s="14" t="n">
        <f aca="false">I80*(1+D81)</f>
        <v>3725.4025176565</v>
      </c>
      <c r="J81" s="14" t="n">
        <f aca="false">J80*(1+E81)</f>
        <v>3797.32966201784</v>
      </c>
      <c r="K81" s="14" t="n">
        <f aca="false">K80*(1+F81)</f>
        <v>3528.57654658152</v>
      </c>
      <c r="L81" s="14" t="n">
        <f aca="false">L80*(1+G81)</f>
        <v>3655.24554251353</v>
      </c>
      <c r="M81" s="14" t="n">
        <f aca="false">H81-H80</f>
        <v>54.579104922318</v>
      </c>
      <c r="N81" s="14" t="n">
        <f aca="false">I81-I80</f>
        <v>69.3372328170717</v>
      </c>
      <c r="O81" s="14" t="n">
        <f aca="false">J81-J80</f>
        <v>57.5805556345258</v>
      </c>
      <c r="P81" s="14" t="n">
        <f aca="false">K81-K80</f>
        <v>59.4252925310875</v>
      </c>
      <c r="Q81" s="14" t="n">
        <f aca="false">L81-L80</f>
        <v>71.8442132209357</v>
      </c>
    </row>
    <row r="82" customFormat="false" ht="15" hidden="false" customHeight="false" outlineLevel="0" collapsed="false">
      <c r="A82" s="11" t="n">
        <v>46103</v>
      </c>
      <c r="B82" s="12" t="s">
        <v>50</v>
      </c>
      <c r="C82" s="13" t="n">
        <v>0.0544195779732449</v>
      </c>
      <c r="D82" s="13" t="n">
        <v>0.0546002180721148</v>
      </c>
      <c r="E82" s="13" t="n">
        <v>0.0601518633649178</v>
      </c>
      <c r="F82" s="13" t="n">
        <v>0.0558055765560626</v>
      </c>
      <c r="G82" s="13" t="n">
        <v>0.0481376906162652</v>
      </c>
      <c r="H82" s="14" t="n">
        <f aca="false">H81*(1+C82)</f>
        <v>3912.29871868086</v>
      </c>
      <c r="I82" s="14" t="n">
        <f aca="false">I81*(1+D82)</f>
        <v>3928.81030752695</v>
      </c>
      <c r="J82" s="14" t="n">
        <f aca="false">J81*(1+E82)</f>
        <v>4025.74611699908</v>
      </c>
      <c r="K82" s="14" t="n">
        <f aca="false">K81*(1+F82)</f>
        <v>3725.4907951857</v>
      </c>
      <c r="L82" s="14" t="n">
        <f aca="false">L81*(1+G82)</f>
        <v>3831.20062156553</v>
      </c>
      <c r="M82" s="14" t="n">
        <f aca="false">H82-H81</f>
        <v>201.917386231691</v>
      </c>
      <c r="N82" s="14" t="n">
        <f aca="false">I82-I81</f>
        <v>203.40778987045</v>
      </c>
      <c r="O82" s="14" t="n">
        <f aca="false">J82-J81</f>
        <v>228.416454981247</v>
      </c>
      <c r="P82" s="14" t="n">
        <f aca="false">K82-K81</f>
        <v>196.914248604182</v>
      </c>
      <c r="Q82" s="14" t="n">
        <f aca="false">L82-L81</f>
        <v>175.955079051999</v>
      </c>
    </row>
    <row r="83" customFormat="false" ht="15" hidden="false" customHeight="false" outlineLevel="0" collapsed="false">
      <c r="A83" s="11" t="n">
        <v>46104</v>
      </c>
      <c r="B83" s="12" t="s">
        <v>51</v>
      </c>
      <c r="C83" s="13" t="n">
        <v>-0.0234647430795466</v>
      </c>
      <c r="D83" s="13" t="n">
        <v>-0.0241492161685964</v>
      </c>
      <c r="E83" s="13" t="n">
        <v>-0.0230927970204634</v>
      </c>
      <c r="F83" s="13" t="n">
        <v>-0.0243928346233184</v>
      </c>
      <c r="G83" s="13" t="n">
        <v>-0.0210042159213709</v>
      </c>
      <c r="H83" s="14" t="n">
        <f aca="false">H82*(1+C83)</f>
        <v>3820.49763439658</v>
      </c>
      <c r="I83" s="14" t="n">
        <f aca="false">I82*(1+D83)</f>
        <v>3833.93261812507</v>
      </c>
      <c r="J83" s="14" t="n">
        <f aca="false">J82*(1+E83)</f>
        <v>3932.78037906331</v>
      </c>
      <c r="K83" s="14" t="n">
        <f aca="false">K82*(1+F83)</f>
        <v>3634.61551432804</v>
      </c>
      <c r="L83" s="14" t="n">
        <f aca="false">L82*(1+G83)</f>
        <v>3750.72925647208</v>
      </c>
      <c r="M83" s="14" t="n">
        <f aca="false">H83-H82</f>
        <v>-91.8010842842859</v>
      </c>
      <c r="N83" s="14" t="n">
        <f aca="false">I83-I82</f>
        <v>-94.8776894018783</v>
      </c>
      <c r="O83" s="14" t="n">
        <f aca="false">J83-J82</f>
        <v>-92.9657379357786</v>
      </c>
      <c r="P83" s="14" t="n">
        <f aca="false">K83-K82</f>
        <v>-90.8752808576601</v>
      </c>
      <c r="Q83" s="14" t="n">
        <f aca="false">L83-L82</f>
        <v>-80.4713650934523</v>
      </c>
    </row>
    <row r="84" customFormat="false" ht="15" hidden="false" customHeight="false" outlineLevel="0" collapsed="false">
      <c r="A84" s="11" t="n">
        <v>46105</v>
      </c>
      <c r="B84" s="12" t="s">
        <v>52</v>
      </c>
      <c r="C84" s="13" t="n">
        <v>0.0068035351140181</v>
      </c>
      <c r="D84" s="13" t="n">
        <v>0.00820509960750906</v>
      </c>
      <c r="E84" s="13" t="n">
        <v>0.00961634020907101</v>
      </c>
      <c r="F84" s="13" t="n">
        <v>-0.00381776815236307</v>
      </c>
      <c r="G84" s="13" t="n">
        <v>0.00573324407282971</v>
      </c>
      <c r="H84" s="14" t="n">
        <f aca="false">H83*(1+C84)</f>
        <v>3846.49052420522</v>
      </c>
      <c r="I84" s="14" t="n">
        <f aca="false">I83*(1+D84)</f>
        <v>3865.39041714527</v>
      </c>
      <c r="J84" s="14" t="n">
        <f aca="false">J83*(1+E84)</f>
        <v>3970.59933315594</v>
      </c>
      <c r="K84" s="14" t="n">
        <f aca="false">K83*(1+F84)</f>
        <v>3620.73939497136</v>
      </c>
      <c r="L84" s="14" t="n">
        <f aca="false">L83*(1+G84)</f>
        <v>3772.23310275054</v>
      </c>
      <c r="M84" s="14" t="n">
        <f aca="false">H84-H83</f>
        <v>25.99288980864</v>
      </c>
      <c r="N84" s="14" t="n">
        <f aca="false">I84-I83</f>
        <v>31.4577990201947</v>
      </c>
      <c r="O84" s="14" t="n">
        <f aca="false">J84-J83</f>
        <v>37.8189540926319</v>
      </c>
      <c r="P84" s="14" t="n">
        <f aca="false">K84-K83</f>
        <v>-13.8761193566866</v>
      </c>
      <c r="Q84" s="14" t="n">
        <f aca="false">L84-L83</f>
        <v>21.5038462784573</v>
      </c>
    </row>
    <row r="85" customFormat="false" ht="15" hidden="false" customHeight="false" outlineLevel="0" collapsed="false">
      <c r="A85" s="11" t="n">
        <v>46106</v>
      </c>
      <c r="B85" s="12" t="s">
        <v>53</v>
      </c>
      <c r="C85" s="13" t="n">
        <v>0.000452279200147232</v>
      </c>
      <c r="D85" s="13" t="n">
        <v>0.0469683399154171</v>
      </c>
      <c r="E85" s="13" t="n">
        <v>0.00141168224210728</v>
      </c>
      <c r="F85" s="13" t="n">
        <v>-0.001966885430982</v>
      </c>
      <c r="G85" s="13" t="n">
        <v>0.0413664026684113</v>
      </c>
      <c r="H85" s="14" t="n">
        <f aca="false">H84*(1+C85)</f>
        <v>3848.23021186288</v>
      </c>
      <c r="I85" s="14" t="n">
        <f aca="false">I84*(1+D85)</f>
        <v>4046.94138816354</v>
      </c>
      <c r="J85" s="14" t="n">
        <f aca="false">J84*(1+E85)</f>
        <v>3976.20455772508</v>
      </c>
      <c r="K85" s="14" t="n">
        <f aca="false">K84*(1+F85)</f>
        <v>3613.61781540601</v>
      </c>
      <c r="L85" s="14" t="n">
        <f aca="false">L84*(1+G85)</f>
        <v>3928.27681623802</v>
      </c>
      <c r="M85" s="14" t="n">
        <f aca="false">H85-H84</f>
        <v>1.73968765766085</v>
      </c>
      <c r="N85" s="14" t="n">
        <f aca="false">I85-I84</f>
        <v>181.550971018275</v>
      </c>
      <c r="O85" s="14" t="n">
        <f aca="false">J85-J84</f>
        <v>5.60522456913941</v>
      </c>
      <c r="P85" s="14" t="n">
        <f aca="false">K85-K84</f>
        <v>-7.12157956535157</v>
      </c>
      <c r="Q85" s="14" t="n">
        <f aca="false">L85-L84</f>
        <v>156.043713487489</v>
      </c>
    </row>
    <row r="86" customFormat="false" ht="15" hidden="false" customHeight="false" outlineLevel="0" collapsed="false">
      <c r="A86" s="11" t="n">
        <v>46107</v>
      </c>
      <c r="B86" s="12" t="s">
        <v>47</v>
      </c>
      <c r="C86" s="13" t="n">
        <v>-0.00721053146659362</v>
      </c>
      <c r="D86" s="13" t="n">
        <v>-0.00644400140000827</v>
      </c>
      <c r="E86" s="13" t="n">
        <v>-0.00706845095923173</v>
      </c>
      <c r="F86" s="13" t="n">
        <v>-0.00466585256638707</v>
      </c>
      <c r="G86" s="13" t="n">
        <v>-0.00433005315707635</v>
      </c>
      <c r="H86" s="14" t="n">
        <f aca="false">H85*(1+C86)</f>
        <v>3820.48242682954</v>
      </c>
      <c r="I86" s="14" t="n">
        <f aca="false">I85*(1+D86)</f>
        <v>4020.86289219246</v>
      </c>
      <c r="J86" s="14" t="n">
        <f aca="false">J85*(1+E86)</f>
        <v>3948.09895080492</v>
      </c>
      <c r="K86" s="14" t="n">
        <f aca="false">K85*(1+F86)</f>
        <v>3596.75720744805</v>
      </c>
      <c r="L86" s="14" t="n">
        <f aca="false">L85*(1+G86)</f>
        <v>3911.267168808</v>
      </c>
      <c r="M86" s="14" t="n">
        <f aca="false">H86-H85</f>
        <v>-27.7477850333335</v>
      </c>
      <c r="N86" s="14" t="n">
        <f aca="false">I86-I85</f>
        <v>-26.0784959710772</v>
      </c>
      <c r="O86" s="14" t="n">
        <f aca="false">J86-J85</f>
        <v>-28.1056069201532</v>
      </c>
      <c r="P86" s="14" t="n">
        <f aca="false">K86-K85</f>
        <v>-16.860607957954</v>
      </c>
      <c r="Q86" s="14" t="n">
        <f aca="false">L86-L85</f>
        <v>-17.0096474300212</v>
      </c>
    </row>
    <row r="87" customFormat="false" ht="15" hidden="false" customHeight="false" outlineLevel="0" collapsed="false">
      <c r="A87" s="11" t="n">
        <v>46108</v>
      </c>
      <c r="B87" s="12" t="s">
        <v>48</v>
      </c>
      <c r="C87" s="13" t="n">
        <v>-0.00156178641011873</v>
      </c>
      <c r="D87" s="13" t="n">
        <v>-0.00466565522773034</v>
      </c>
      <c r="E87" s="13" t="n">
        <v>-0.00167282954603438</v>
      </c>
      <c r="F87" s="13" t="n">
        <v>-0.00296638868912635</v>
      </c>
      <c r="G87" s="13" t="n">
        <v>-0.00401454184946065</v>
      </c>
      <c r="H87" s="14" t="n">
        <f aca="false">H86*(1+C87)</f>
        <v>3814.51564929522</v>
      </c>
      <c r="I87" s="14" t="n">
        <f aca="false">I86*(1+D87)</f>
        <v>4002.10293221952</v>
      </c>
      <c r="J87" s="14" t="n">
        <f aca="false">J86*(1+E87)</f>
        <v>3941.49445422935</v>
      </c>
      <c r="K87" s="14" t="n">
        <f aca="false">K86*(1+F87)</f>
        <v>3586.08782755034</v>
      </c>
      <c r="L87" s="14" t="n">
        <f aca="false">L86*(1+G87)</f>
        <v>3895.5652230744</v>
      </c>
      <c r="M87" s="14" t="n">
        <f aca="false">H87-H86</f>
        <v>-5.96677753431959</v>
      </c>
      <c r="N87" s="14" t="n">
        <f aca="false">I87-I86</f>
        <v>-18.7599599729447</v>
      </c>
      <c r="O87" s="14" t="n">
        <f aca="false">J87-J86</f>
        <v>-6.6044965755741</v>
      </c>
      <c r="P87" s="14" t="n">
        <f aca="false">K87-K86</f>
        <v>-10.6693798977076</v>
      </c>
      <c r="Q87" s="14" t="n">
        <f aca="false">L87-L86</f>
        <v>-15.701945733601</v>
      </c>
    </row>
    <row r="88" customFormat="false" ht="15" hidden="false" customHeight="false" outlineLevel="0" collapsed="false">
      <c r="A88" s="11" t="n">
        <v>46109</v>
      </c>
      <c r="B88" s="12" t="s">
        <v>49</v>
      </c>
      <c r="C88" s="13" t="n">
        <v>-0.00614464360121753</v>
      </c>
      <c r="D88" s="13" t="n">
        <v>-0.00169024257485982</v>
      </c>
      <c r="E88" s="13" t="n">
        <v>-0.00668702459337658</v>
      </c>
      <c r="F88" s="13" t="n">
        <v>-0.00501928707195831</v>
      </c>
      <c r="G88" s="13" t="n">
        <v>-0.00104978522037091</v>
      </c>
      <c r="H88" s="14" t="n">
        <f aca="false">H87*(1+C88)</f>
        <v>3791.07681011904</v>
      </c>
      <c r="I88" s="14" t="n">
        <f aca="false">I87*(1+D88)</f>
        <v>3995.33840745451</v>
      </c>
      <c r="J88" s="14" t="n">
        <f aca="false">J87*(1+E88)</f>
        <v>3915.13758387926</v>
      </c>
      <c r="K88" s="14" t="n">
        <f aca="false">K87*(1+F88)</f>
        <v>3568.08822327861</v>
      </c>
      <c r="L88" s="14" t="n">
        <f aca="false">L87*(1+G88)</f>
        <v>3891.47571627823</v>
      </c>
      <c r="M88" s="14" t="n">
        <f aca="false">H88-H87</f>
        <v>-23.4388391761863</v>
      </c>
      <c r="N88" s="14" t="n">
        <f aca="false">I88-I87</f>
        <v>-6.7645247650089</v>
      </c>
      <c r="O88" s="14" t="n">
        <f aca="false">J88-J87</f>
        <v>-26.3568703500891</v>
      </c>
      <c r="P88" s="14" t="n">
        <f aca="false">K88-K87</f>
        <v>-17.9996042717307</v>
      </c>
      <c r="Q88" s="14" t="n">
        <f aca="false">L88-L87</f>
        <v>-4.08950679617465</v>
      </c>
    </row>
    <row r="89" customFormat="false" ht="15" hidden="false" customHeight="false" outlineLevel="0" collapsed="false">
      <c r="A89" s="11" t="n">
        <v>46110</v>
      </c>
      <c r="B89" s="12" t="s">
        <v>50</v>
      </c>
      <c r="C89" s="13" t="n">
        <v>0.013103605658347</v>
      </c>
      <c r="D89" s="13" t="n">
        <v>0.015572931755991</v>
      </c>
      <c r="E89" s="13" t="n">
        <v>0.0141650107343476</v>
      </c>
      <c r="F89" s="13" t="n">
        <v>0.0154037650705333</v>
      </c>
      <c r="G89" s="13" t="n">
        <v>0.0155398535783549</v>
      </c>
      <c r="H89" s="14" t="n">
        <f aca="false">H88*(1+C89)</f>
        <v>3840.75358565934</v>
      </c>
      <c r="I89" s="14" t="n">
        <f aca="false">I88*(1+D89)</f>
        <v>4057.55753981589</v>
      </c>
      <c r="J89" s="14" t="n">
        <f aca="false">J88*(1+E89)</f>
        <v>3970.59554978136</v>
      </c>
      <c r="K89" s="14" t="n">
        <f aca="false">K88*(1+F89)</f>
        <v>3623.05021602093</v>
      </c>
      <c r="L89" s="14" t="n">
        <f aca="false">L88*(1+G89)</f>
        <v>3951.94867911291</v>
      </c>
      <c r="M89" s="14" t="n">
        <f aca="false">H89-H88</f>
        <v>49.6767755403043</v>
      </c>
      <c r="N89" s="14" t="n">
        <f aca="false">I89-I88</f>
        <v>62.2191323613788</v>
      </c>
      <c r="O89" s="14" t="n">
        <f aca="false">J89-J88</f>
        <v>55.4579659020974</v>
      </c>
      <c r="P89" s="14" t="n">
        <f aca="false">K89-K88</f>
        <v>54.9619927423209</v>
      </c>
      <c r="Q89" s="14" t="n">
        <f aca="false">L89-L88</f>
        <v>60.4729628346872</v>
      </c>
    </row>
    <row r="90" customFormat="false" ht="15" hidden="false" customHeight="false" outlineLevel="0" collapsed="false">
      <c r="A90" s="11" t="n">
        <v>46111</v>
      </c>
      <c r="B90" s="12" t="s">
        <v>51</v>
      </c>
      <c r="C90" s="13" t="n">
        <v>-0.00828188109943112</v>
      </c>
      <c r="D90" s="13" t="n">
        <v>-0.0103331767568538</v>
      </c>
      <c r="E90" s="13" t="n">
        <v>-0.00957990522749016</v>
      </c>
      <c r="F90" s="13" t="n">
        <v>-0.00302199412708226</v>
      </c>
      <c r="G90" s="13" t="n">
        <v>-0.0092189751458876</v>
      </c>
      <c r="H90" s="14" t="n">
        <f aca="false">H89*(1+C90)</f>
        <v>3808.9449211307</v>
      </c>
      <c r="I90" s="14" t="n">
        <f aca="false">I89*(1+D90)</f>
        <v>4015.63008055587</v>
      </c>
      <c r="J90" s="14" t="n">
        <f aca="false">J89*(1+E90)</f>
        <v>3932.55762071776</v>
      </c>
      <c r="K90" s="14" t="n">
        <f aca="false">K89*(1+F90)</f>
        <v>3612.10137954599</v>
      </c>
      <c r="L90" s="14" t="n">
        <f aca="false">L89*(1+G90)</f>
        <v>3915.51576246235</v>
      </c>
      <c r="M90" s="14" t="n">
        <f aca="false">H90-H89</f>
        <v>-31.8086645286448</v>
      </c>
      <c r="N90" s="14" t="n">
        <f aca="false">I90-I89</f>
        <v>-41.9274592600227</v>
      </c>
      <c r="O90" s="14" t="n">
        <f aca="false">J90-J89</f>
        <v>-38.0379290635997</v>
      </c>
      <c r="P90" s="14" t="n">
        <f aca="false">K90-K89</f>
        <v>-10.9488364749395</v>
      </c>
      <c r="Q90" s="14" t="n">
        <f aca="false">L90-L89</f>
        <v>-36.432916650565</v>
      </c>
    </row>
    <row r="91" customFormat="false" ht="15" hidden="false" customHeight="false" outlineLevel="0" collapsed="false">
      <c r="A91" s="11" t="n">
        <v>46112</v>
      </c>
      <c r="B91" s="12" t="s">
        <v>52</v>
      </c>
      <c r="C91" s="13" t="n">
        <v>-0.0321413902975344</v>
      </c>
      <c r="D91" s="13" t="n">
        <v>-0.0603344525883172</v>
      </c>
      <c r="E91" s="13" t="n">
        <v>-0.0370812783609309</v>
      </c>
      <c r="F91" s="13" t="n">
        <v>-0.0328200417967839</v>
      </c>
      <c r="G91" s="13" t="n">
        <v>-0.0506161695498172</v>
      </c>
      <c r="H91" s="14" t="n">
        <f aca="false">H90*(1+C91)</f>
        <v>3686.52013579882</v>
      </c>
      <c r="I91" s="14" t="n">
        <f aca="false">I90*(1+D91)</f>
        <v>3773.34923784835</v>
      </c>
      <c r="J91" s="14" t="n">
        <f aca="false">J90*(1+E91)</f>
        <v>3786.73335691352</v>
      </c>
      <c r="K91" s="14" t="n">
        <f aca="false">K90*(1+F91)</f>
        <v>3493.55206129507</v>
      </c>
      <c r="L91" s="14" t="n">
        <f aca="false">L90*(1+G91)</f>
        <v>3717.32735275457</v>
      </c>
      <c r="M91" s="14" t="n">
        <f aca="false">H91-H90</f>
        <v>-122.424785331873</v>
      </c>
      <c r="N91" s="14" t="n">
        <f aca="false">I91-I90</f>
        <v>-242.280842707518</v>
      </c>
      <c r="O91" s="14" t="n">
        <f aca="false">J91-J90</f>
        <v>-145.824263804235</v>
      </c>
      <c r="P91" s="14" t="n">
        <f aca="false">K91-K90</f>
        <v>-118.54931825092</v>
      </c>
      <c r="Q91" s="14" t="n">
        <f aca="false">L91-L90</f>
        <v>-198.188409707776</v>
      </c>
    </row>
    <row r="92" customFormat="false" ht="15" hidden="false" customHeight="false" outlineLevel="0" collapsed="false">
      <c r="A92" s="11" t="n">
        <v>46113</v>
      </c>
      <c r="B92" s="12" t="s">
        <v>53</v>
      </c>
      <c r="C92" s="13" t="n">
        <v>0.0261002032879416</v>
      </c>
      <c r="D92" s="13" t="n">
        <v>0.0120388407443169</v>
      </c>
      <c r="E92" s="13" t="n">
        <v>0.0291760534082999</v>
      </c>
      <c r="F92" s="13" t="n">
        <v>0.0334695324212143</v>
      </c>
      <c r="G92" s="13" t="n">
        <v>0.00191153351515733</v>
      </c>
      <c r="H92" s="14" t="n">
        <f aca="false">H91*(1+C92)</f>
        <v>3782.73906076826</v>
      </c>
      <c r="I92" s="14" t="n">
        <f aca="false">I91*(1+D92)</f>
        <v>3818.77598839549</v>
      </c>
      <c r="J92" s="14" t="n">
        <f aca="false">J91*(1+E92)</f>
        <v>3897.21529157782</v>
      </c>
      <c r="K92" s="14" t="n">
        <f aca="false">K91*(1+F92)</f>
        <v>3610.47961527579</v>
      </c>
      <c r="L92" s="14" t="n">
        <f aca="false">L91*(1+G92)</f>
        <v>3724.43314857618</v>
      </c>
      <c r="M92" s="14" t="n">
        <f aca="false">H92-H91</f>
        <v>96.2189249694393</v>
      </c>
      <c r="N92" s="14" t="n">
        <f aca="false">I92-I91</f>
        <v>45.4267505471457</v>
      </c>
      <c r="O92" s="14" t="n">
        <f aca="false">J92-J91</f>
        <v>110.481934664299</v>
      </c>
      <c r="P92" s="14" t="n">
        <f aca="false">K92-K91</f>
        <v>116.927553980716</v>
      </c>
      <c r="Q92" s="14" t="n">
        <f aca="false">L92-L91</f>
        <v>7.10579582160153</v>
      </c>
    </row>
    <row r="93" customFormat="false" ht="15" hidden="false" customHeight="false" outlineLevel="0" collapsed="false">
      <c r="A93" s="11" t="n">
        <v>46114</v>
      </c>
      <c r="B93" s="12" t="s">
        <v>47</v>
      </c>
      <c r="C93" s="13" t="n">
        <v>-0.0183028258874051</v>
      </c>
      <c r="D93" s="13" t="n">
        <v>-0.0133428633916238</v>
      </c>
      <c r="E93" s="13" t="n">
        <v>-0.0123725800683857</v>
      </c>
      <c r="F93" s="13" t="n">
        <v>2.89984603296656E-006</v>
      </c>
      <c r="G93" s="13" t="n">
        <v>-0.0119168816635377</v>
      </c>
      <c r="H93" s="14" t="n">
        <f aca="false">H92*(1+C93)</f>
        <v>3713.50424636153</v>
      </c>
      <c r="I93" s="14" t="n">
        <f aca="false">I92*(1+D93)</f>
        <v>3767.82258205912</v>
      </c>
      <c r="J93" s="14" t="n">
        <f aca="false">J92*(1+E93)</f>
        <v>3848.99668333904</v>
      </c>
      <c r="K93" s="14" t="n">
        <f aca="false">K92*(1+F93)</f>
        <v>3610.49008511078</v>
      </c>
      <c r="L93" s="14" t="n">
        <f aca="false">L92*(1+G93)</f>
        <v>3680.04951948084</v>
      </c>
      <c r="M93" s="14" t="n">
        <f aca="false">H93-H92</f>
        <v>-69.2348144067282</v>
      </c>
      <c r="N93" s="14" t="n">
        <f aca="false">I93-I92</f>
        <v>-50.9534063363744</v>
      </c>
      <c r="O93" s="14" t="n">
        <f aca="false">J93-J92</f>
        <v>-48.2186082387839</v>
      </c>
      <c r="P93" s="14" t="n">
        <f aca="false">K93-K92</f>
        <v>0.01046983499009</v>
      </c>
      <c r="Q93" s="14" t="n">
        <f aca="false">L93-L92</f>
        <v>-44.3836290953391</v>
      </c>
    </row>
    <row r="94" customFormat="false" ht="15" hidden="false" customHeight="false" outlineLevel="0" collapsed="false">
      <c r="A94" s="11" t="n">
        <v>46115</v>
      </c>
      <c r="B94" s="12" t="s">
        <v>48</v>
      </c>
      <c r="C94" s="13" t="n">
        <v>0.00441691291756807</v>
      </c>
      <c r="D94" s="13" t="n">
        <v>0.00115440608390187</v>
      </c>
      <c r="E94" s="13" t="n">
        <v>0.0100863584993491</v>
      </c>
      <c r="F94" s="13" t="n">
        <v>0.0254485014593838</v>
      </c>
      <c r="G94" s="13" t="n">
        <v>0.000789563040660246</v>
      </c>
      <c r="H94" s="14" t="n">
        <f aca="false">H93*(1+C94)</f>
        <v>3729.90647123673</v>
      </c>
      <c r="I94" s="14" t="n">
        <f aca="false">I93*(1+D94)</f>
        <v>3772.17217937091</v>
      </c>
      <c r="J94" s="14" t="n">
        <f aca="false">J93*(1+E94)</f>
        <v>3887.81904375</v>
      </c>
      <c r="K94" s="14" t="n">
        <f aca="false">K93*(1+F94)</f>
        <v>3702.37164731081</v>
      </c>
      <c r="L94" s="14" t="n">
        <f aca="false">L93*(1+G94)</f>
        <v>3682.95515056922</v>
      </c>
      <c r="M94" s="14" t="n">
        <f aca="false">H94-H93</f>
        <v>16.4022248751985</v>
      </c>
      <c r="N94" s="14" t="n">
        <f aca="false">I94-I93</f>
        <v>4.34959731179197</v>
      </c>
      <c r="O94" s="14" t="n">
        <f aca="false">J94-J93</f>
        <v>38.8223604109635</v>
      </c>
      <c r="P94" s="14" t="n">
        <f aca="false">K94-K93</f>
        <v>91.881562200032</v>
      </c>
      <c r="Q94" s="14" t="n">
        <f aca="false">L94-L93</f>
        <v>2.9056310883816</v>
      </c>
    </row>
    <row r="95" customFormat="false" ht="15" hidden="false" customHeight="false" outlineLevel="0" collapsed="false">
      <c r="A95" s="11" t="n">
        <v>46116</v>
      </c>
      <c r="B95" s="12" t="s">
        <v>49</v>
      </c>
      <c r="C95" s="13" t="n">
        <v>-0.00910838082390392</v>
      </c>
      <c r="D95" s="13" t="n">
        <v>0.0355533969431288</v>
      </c>
      <c r="E95" s="13" t="n">
        <v>-0.0109987900042389</v>
      </c>
      <c r="F95" s="13" t="n">
        <v>0.0099446485254483</v>
      </c>
      <c r="G95" s="13" t="n">
        <v>0.030243134797632</v>
      </c>
      <c r="H95" s="14" t="n">
        <f aca="false">H94*(1+C95)</f>
        <v>3695.93306265917</v>
      </c>
      <c r="I95" s="14" t="n">
        <f aca="false">I94*(1+D95)</f>
        <v>3906.28571420191</v>
      </c>
      <c r="J95" s="14" t="n">
        <f aca="false">J94*(1+E95)</f>
        <v>3845.05773851332</v>
      </c>
      <c r="K95" s="14" t="n">
        <f aca="false">K94*(1+F95)</f>
        <v>3739.1904320539</v>
      </c>
      <c r="L95" s="14" t="n">
        <f aca="false">L94*(1+G95)</f>
        <v>3794.33925964152</v>
      </c>
      <c r="M95" s="14" t="n">
        <f aca="false">H95-H94</f>
        <v>-33.9734085775676</v>
      </c>
      <c r="N95" s="14" t="n">
        <f aca="false">I95-I94</f>
        <v>134.113534831001</v>
      </c>
      <c r="O95" s="14" t="n">
        <f aca="false">J95-J94</f>
        <v>-42.7613052366869</v>
      </c>
      <c r="P95" s="14" t="n">
        <f aca="false">K95-K94</f>
        <v>36.8187847430913</v>
      </c>
      <c r="Q95" s="14" t="n">
        <f aca="false">L95-L94</f>
        <v>111.384109072298</v>
      </c>
    </row>
    <row r="96" customFormat="false" ht="15" hidden="false" customHeight="false" outlineLevel="0" collapsed="false">
      <c r="A96" s="11" t="n">
        <v>46117</v>
      </c>
      <c r="B96" s="12" t="s">
        <v>50</v>
      </c>
      <c r="C96" s="13" t="n">
        <v>-0.0285089333941003</v>
      </c>
      <c r="D96" s="13" t="n">
        <v>-0.0309579340206748</v>
      </c>
      <c r="E96" s="13" t="n">
        <v>-0.0315404083684497</v>
      </c>
      <c r="F96" s="13" t="n">
        <v>-0.027970009041747</v>
      </c>
      <c r="G96" s="13" t="n">
        <v>-0.0288263189795163</v>
      </c>
      <c r="H96" s="14" t="n">
        <f aca="false">H95*(1+C96)</f>
        <v>3590.56595314676</v>
      </c>
      <c r="I96" s="14" t="n">
        <f aca="false">I95*(1+D96)</f>
        <v>3785.35517879574</v>
      </c>
      <c r="J96" s="14" t="n">
        <f aca="false">J95*(1+E96)</f>
        <v>3723.78304724034</v>
      </c>
      <c r="K96" s="14" t="n">
        <f aca="false">K95*(1+F96)</f>
        <v>3634.60524186054</v>
      </c>
      <c r="L96" s="14" t="n">
        <f aca="false">L95*(1+G96)</f>
        <v>3684.96242582659</v>
      </c>
      <c r="M96" s="14" t="n">
        <f aca="false">H96-H95</f>
        <v>-105.367109512403</v>
      </c>
      <c r="N96" s="14" t="n">
        <f aca="false">I96-I95</f>
        <v>-120.930535406168</v>
      </c>
      <c r="O96" s="14" t="n">
        <f aca="false">J96-J95</f>
        <v>-121.274691272977</v>
      </c>
      <c r="P96" s="14" t="n">
        <f aca="false">K96-K95</f>
        <v>-104.585190193362</v>
      </c>
      <c r="Q96" s="14" t="n">
        <f aca="false">L96-L95</f>
        <v>-109.376833814928</v>
      </c>
    </row>
    <row r="97" customFormat="false" ht="15" hidden="false" customHeight="false" outlineLevel="0" collapsed="false">
      <c r="A97" s="11" t="n">
        <v>46118</v>
      </c>
      <c r="B97" s="12" t="s">
        <v>51</v>
      </c>
      <c r="C97" s="13" t="n">
        <v>-0.0292999473823112</v>
      </c>
      <c r="D97" s="13" t="n">
        <v>-0.032173391254797</v>
      </c>
      <c r="E97" s="13" t="n">
        <v>-0.0334566094105545</v>
      </c>
      <c r="F97" s="13" t="n">
        <v>-0.0178829323148872</v>
      </c>
      <c r="G97" s="13" t="n">
        <v>-0.0265419630825846</v>
      </c>
      <c r="H97" s="14" t="n">
        <f aca="false">H96*(1+C97)</f>
        <v>3485.36255964684</v>
      </c>
      <c r="I97" s="14" t="n">
        <f aca="false">I96*(1+D97)</f>
        <v>3663.56746558998</v>
      </c>
      <c r="J97" s="14" t="n">
        <f aca="false">J96*(1+E97)</f>
        <v>3599.19789229917</v>
      </c>
      <c r="K97" s="14" t="n">
        <f aca="false">K96*(1+F97)</f>
        <v>3569.60784232902</v>
      </c>
      <c r="L97" s="14" t="n">
        <f aca="false">L96*(1+G97)</f>
        <v>3587.15628915959</v>
      </c>
      <c r="M97" s="14" t="n">
        <f aca="false">H97-H96</f>
        <v>-105.203393499918</v>
      </c>
      <c r="N97" s="14" t="n">
        <f aca="false">I97-I96</f>
        <v>-121.787713205767</v>
      </c>
      <c r="O97" s="14" t="n">
        <f aca="false">J97-J96</f>
        <v>-124.585154941164</v>
      </c>
      <c r="P97" s="14" t="n">
        <f aca="false">K97-K96</f>
        <v>-64.9973995315263</v>
      </c>
      <c r="Q97" s="14" t="n">
        <f aca="false">L97-L96</f>
        <v>-97.8061366670004</v>
      </c>
    </row>
    <row r="98" customFormat="false" ht="15" hidden="false" customHeight="false" outlineLevel="0" collapsed="false">
      <c r="A98" s="11" t="n">
        <v>46119</v>
      </c>
      <c r="B98" s="12" t="s">
        <v>52</v>
      </c>
      <c r="C98" s="13" t="n">
        <v>0.009719149471765</v>
      </c>
      <c r="D98" s="13" t="n">
        <v>0.0105885469330003</v>
      </c>
      <c r="E98" s="13" t="n">
        <v>0.0114633949358484</v>
      </c>
      <c r="F98" s="13" t="n">
        <v>0.0075319869901268</v>
      </c>
      <c r="G98" s="13" t="n">
        <v>0.00547445146004166</v>
      </c>
      <c r="H98" s="14" t="n">
        <f aca="false">H97*(1+C98)</f>
        <v>3519.23731932735</v>
      </c>
      <c r="I98" s="14" t="n">
        <f aca="false">I97*(1+D98)</f>
        <v>3702.35932164159</v>
      </c>
      <c r="J98" s="14" t="n">
        <f aca="false">J97*(1+E98)</f>
        <v>3640.45691919087</v>
      </c>
      <c r="K98" s="14" t="n">
        <f aca="false">K97*(1+F98)</f>
        <v>3596.49408215729</v>
      </c>
      <c r="L98" s="14" t="n">
        <f aca="false">L97*(1+G98)</f>
        <v>3606.79400214417</v>
      </c>
      <c r="M98" s="14" t="n">
        <f aca="false">H98-H97</f>
        <v>33.874759680501</v>
      </c>
      <c r="N98" s="14" t="n">
        <f aca="false">I98-I97</f>
        <v>38.7918560516123</v>
      </c>
      <c r="O98" s="14" t="n">
        <f aca="false">J98-J97</f>
        <v>41.2590268916988</v>
      </c>
      <c r="P98" s="14" t="n">
        <f aca="false">K98-K97</f>
        <v>26.8862398282763</v>
      </c>
      <c r="Q98" s="14" t="n">
        <f aca="false">L98-L97</f>
        <v>19.6377129845878</v>
      </c>
    </row>
    <row r="99" customFormat="false" ht="15" hidden="false" customHeight="false" outlineLevel="0" collapsed="false">
      <c r="A99" s="11" t="n">
        <v>46120</v>
      </c>
      <c r="B99" s="12" t="s">
        <v>53</v>
      </c>
      <c r="C99" s="13" t="n">
        <v>0.0183492281284893</v>
      </c>
      <c r="D99" s="13" t="n">
        <v>0.0275281357564187</v>
      </c>
      <c r="E99" s="13" t="n">
        <v>0.0291181124752798</v>
      </c>
      <c r="F99" s="13" t="n">
        <v>0.0206353877570431</v>
      </c>
      <c r="G99" s="13" t="n">
        <v>0.0264605592978306</v>
      </c>
      <c r="H99" s="14" t="n">
        <f aca="false">H98*(1+C99)</f>
        <v>3583.81260773798</v>
      </c>
      <c r="I99" s="14" t="n">
        <f aca="false">I98*(1+D99)</f>
        <v>3804.27837166678</v>
      </c>
      <c r="J99" s="14" t="n">
        <f aca="false">J98*(1+E99)</f>
        <v>3746.46015322528</v>
      </c>
      <c r="K99" s="14" t="n">
        <f aca="false">K98*(1+F99)</f>
        <v>3670.70913210852</v>
      </c>
      <c r="L99" s="14" t="n">
        <f aca="false">L98*(1+G99)</f>
        <v>3702.23178871297</v>
      </c>
      <c r="M99" s="14" t="n">
        <f aca="false">H99-H98</f>
        <v>64.57528841063</v>
      </c>
      <c r="N99" s="14" t="n">
        <f aca="false">I99-I98</f>
        <v>101.919050025192</v>
      </c>
      <c r="O99" s="14" t="n">
        <f aca="false">J99-J98</f>
        <v>106.00323403441</v>
      </c>
      <c r="P99" s="14" t="n">
        <f aca="false">K99-K98</f>
        <v>74.2150499512263</v>
      </c>
      <c r="Q99" s="14" t="n">
        <f aca="false">L99-L98</f>
        <v>95.4377865687957</v>
      </c>
    </row>
    <row r="100" customFormat="false" ht="15" hidden="false" customHeight="false" outlineLevel="0" collapsed="false">
      <c r="A100" s="11" t="n">
        <v>46121</v>
      </c>
      <c r="B100" s="12" t="s">
        <v>47</v>
      </c>
      <c r="C100" s="13" t="n">
        <v>0.00460033268748117</v>
      </c>
      <c r="D100" s="13" t="n">
        <v>0.0153979946006737</v>
      </c>
      <c r="E100" s="13" t="n">
        <v>0.00418083402605477</v>
      </c>
      <c r="F100" s="13" t="n">
        <v>0.00461810476872471</v>
      </c>
      <c r="G100" s="13" t="n">
        <v>0.0132135830382192</v>
      </c>
      <c r="H100" s="14" t="n">
        <f aca="false">H99*(1+C100)</f>
        <v>3600.29933802316</v>
      </c>
      <c r="I100" s="14" t="n">
        <f aca="false">I99*(1+D100)</f>
        <v>3862.85662949317</v>
      </c>
      <c r="J100" s="14" t="n">
        <f aca="false">J99*(1+E100)</f>
        <v>3762.12348131115</v>
      </c>
      <c r="K100" s="14" t="n">
        <f aca="false">K99*(1+F100)</f>
        <v>3687.66085145611</v>
      </c>
      <c r="L100" s="14" t="n">
        <f aca="false">L99*(1+G100)</f>
        <v>3751.15153587986</v>
      </c>
      <c r="M100" s="14" t="n">
        <f aca="false">H100-H99</f>
        <v>16.4867302851835</v>
      </c>
      <c r="N100" s="14" t="n">
        <f aca="false">I100-I99</f>
        <v>58.5782578263847</v>
      </c>
      <c r="O100" s="14" t="n">
        <f aca="false">J100-J99</f>
        <v>15.6633280858623</v>
      </c>
      <c r="P100" s="14" t="n">
        <f aca="false">K100-K99</f>
        <v>16.9517193475913</v>
      </c>
      <c r="Q100" s="14" t="n">
        <f aca="false">L100-L99</f>
        <v>48.9197471668936</v>
      </c>
    </row>
    <row r="101" customFormat="false" ht="15" hidden="false" customHeight="false" outlineLevel="0" collapsed="false">
      <c r="A101" s="11" t="n">
        <v>46122</v>
      </c>
      <c r="B101" s="12" t="s">
        <v>48</v>
      </c>
      <c r="C101" s="13" t="n">
        <v>-0.0186969595334992</v>
      </c>
      <c r="D101" s="13" t="n">
        <v>0.0158057527944088</v>
      </c>
      <c r="E101" s="13" t="n">
        <v>-0.0153199238939713</v>
      </c>
      <c r="F101" s="13" t="n">
        <v>-0.0169201960879696</v>
      </c>
      <c r="G101" s="13" t="n">
        <v>0.0129168515850036</v>
      </c>
      <c r="H101" s="14" t="n">
        <f aca="false">H100*(1+C101)</f>
        <v>3532.98468699166</v>
      </c>
      <c r="I101" s="14" t="n">
        <f aca="false">I100*(1+D101)</f>
        <v>3923.91198645918</v>
      </c>
      <c r="J101" s="14" t="n">
        <f aca="false">J100*(1+E101)</f>
        <v>3704.48803589774</v>
      </c>
      <c r="K101" s="14" t="n">
        <f aca="false">K100*(1+F101)</f>
        <v>3625.26490674354</v>
      </c>
      <c r="L101" s="14" t="n">
        <f aca="false">L100*(1+G101)</f>
        <v>3799.60460354168</v>
      </c>
      <c r="M101" s="14" t="n">
        <f aca="false">H101-H100</f>
        <v>-67.3146510315028</v>
      </c>
      <c r="N101" s="14" t="n">
        <f aca="false">I101-I100</f>
        <v>61.0553569660124</v>
      </c>
      <c r="O101" s="14" t="n">
        <f aca="false">J101-J100</f>
        <v>-57.6354454134089</v>
      </c>
      <c r="P101" s="14" t="n">
        <f aca="false">K101-K100</f>
        <v>-62.3959447125667</v>
      </c>
      <c r="Q101" s="14" t="n">
        <f aca="false">L101-L100</f>
        <v>48.4530676618183</v>
      </c>
    </row>
    <row r="102" customFormat="false" ht="15" hidden="false" customHeight="false" outlineLevel="0" collapsed="false">
      <c r="A102" s="11" t="n">
        <v>46123</v>
      </c>
      <c r="B102" s="12" t="s">
        <v>49</v>
      </c>
      <c r="C102" s="13" t="n">
        <v>-0.000247574349609758</v>
      </c>
      <c r="D102" s="13" t="n">
        <v>0.0165864010691654</v>
      </c>
      <c r="E102" s="13" t="n">
        <v>-0.000443891183901077</v>
      </c>
      <c r="F102" s="13" t="n">
        <v>-0.00659124589729881</v>
      </c>
      <c r="G102" s="13" t="n">
        <v>0.0143671975962306</v>
      </c>
      <c r="H102" s="14" t="n">
        <f aca="false">H101*(1+C102)</f>
        <v>3532.11001060559</v>
      </c>
      <c r="I102" s="14" t="n">
        <f aca="false">I101*(1+D102)</f>
        <v>3988.9955644267</v>
      </c>
      <c r="J102" s="14" t="n">
        <f aca="false">J101*(1+E102)</f>
        <v>3702.84364631773</v>
      </c>
      <c r="K102" s="14" t="n">
        <f aca="false">K101*(1+F102)</f>
        <v>3601.36989430035</v>
      </c>
      <c r="L102" s="14" t="n">
        <f aca="false">L101*(1+G102)</f>
        <v>3854.19427366831</v>
      </c>
      <c r="M102" s="14" t="n">
        <f aca="false">H102-H101</f>
        <v>-0.874676386063129</v>
      </c>
      <c r="N102" s="14" t="n">
        <f aca="false">I102-I101</f>
        <v>65.0835779675176</v>
      </c>
      <c r="O102" s="14" t="n">
        <f aca="false">J102-J101</f>
        <v>-1.6443895800021</v>
      </c>
      <c r="P102" s="14" t="n">
        <f aca="false">K102-K101</f>
        <v>-23.8950124431944</v>
      </c>
      <c r="Q102" s="14" t="n">
        <f aca="false">L102-L101</f>
        <v>54.5896701266311</v>
      </c>
    </row>
    <row r="103" customFormat="false" ht="15" hidden="false" customHeight="false" outlineLevel="0" collapsed="false">
      <c r="A103" s="11" t="n">
        <v>46124</v>
      </c>
      <c r="B103" s="12" t="s">
        <v>50</v>
      </c>
      <c r="C103" s="13" t="n">
        <v>0.0264118825176223</v>
      </c>
      <c r="D103" s="13" t="n">
        <v>0.0348947531585359</v>
      </c>
      <c r="E103" s="13" t="n">
        <v>0.0296366580757776</v>
      </c>
      <c r="F103" s="13" t="n">
        <v>0.0274084716873031</v>
      </c>
      <c r="G103" s="13" t="n">
        <v>0.0319515985612497</v>
      </c>
      <c r="H103" s="14" t="n">
        <f aca="false">H102*(1+C103)</f>
        <v>3625.39968524503</v>
      </c>
      <c r="I103" s="14" t="n">
        <f aca="false">I102*(1+D103)</f>
        <v>4128.19057999786</v>
      </c>
      <c r="J103" s="14" t="n">
        <f aca="false">J102*(1+E103)</f>
        <v>3812.58355737172</v>
      </c>
      <c r="K103" s="14" t="n">
        <f aca="false">K102*(1+F103)</f>
        <v>3700.07793908379</v>
      </c>
      <c r="L103" s="14" t="n">
        <f aca="false">L102*(1+G103)</f>
        <v>3977.34194187763</v>
      </c>
      <c r="M103" s="14" t="n">
        <f aca="false">H103-H102</f>
        <v>93.2896746394326</v>
      </c>
      <c r="N103" s="14" t="n">
        <f aca="false">I103-I102</f>
        <v>139.195015571164</v>
      </c>
      <c r="O103" s="14" t="n">
        <f aca="false">J103-J102</f>
        <v>109.739911053985</v>
      </c>
      <c r="P103" s="14" t="n">
        <f aca="false">K103-K102</f>
        <v>98.7080447834369</v>
      </c>
      <c r="Q103" s="14" t="n">
        <f aca="false">L103-L102</f>
        <v>123.147668209318</v>
      </c>
    </row>
    <row r="104" customFormat="false" ht="15" hidden="false" customHeight="false" outlineLevel="0" collapsed="false">
      <c r="A104" s="11" t="n">
        <v>46125</v>
      </c>
      <c r="B104" s="12" t="s">
        <v>51</v>
      </c>
      <c r="C104" s="13" t="n">
        <v>-0.01248533079732</v>
      </c>
      <c r="D104" s="13" t="n">
        <v>-0.0154461902290244</v>
      </c>
      <c r="E104" s="13" t="n">
        <v>-0.0154149571343705</v>
      </c>
      <c r="F104" s="13" t="n">
        <v>-0.0158758260467981</v>
      </c>
      <c r="G104" s="13" t="n">
        <v>-0.0162241496810267</v>
      </c>
      <c r="H104" s="14" t="n">
        <f aca="false">H103*(1+C104)</f>
        <v>3580.13537090224</v>
      </c>
      <c r="I104" s="14" t="n">
        <f aca="false">I103*(1+D104)</f>
        <v>4064.42576299755</v>
      </c>
      <c r="J104" s="14" t="n">
        <f aca="false">J103*(1+E104)</f>
        <v>3753.81274526363</v>
      </c>
      <c r="K104" s="14" t="n">
        <f aca="false">K103*(1+F104)</f>
        <v>3641.3361453633</v>
      </c>
      <c r="L104" s="14" t="n">
        <f aca="false">L103*(1+G104)</f>
        <v>3912.81295087998</v>
      </c>
      <c r="M104" s="14" t="n">
        <f aca="false">H104-H103</f>
        <v>-45.2643143427836</v>
      </c>
      <c r="N104" s="14" t="n">
        <f aca="false">I104-I103</f>
        <v>-63.7648170003135</v>
      </c>
      <c r="O104" s="14" t="n">
        <f aca="false">J104-J103</f>
        <v>-58.7708121080909</v>
      </c>
      <c r="P104" s="14" t="n">
        <f aca="false">K104-K103</f>
        <v>-58.7417937204891</v>
      </c>
      <c r="Q104" s="14" t="n">
        <f aca="false">L104-L103</f>
        <v>-64.5289909976482</v>
      </c>
    </row>
    <row r="105" customFormat="false" ht="15" hidden="false" customHeight="false" outlineLevel="0" collapsed="false">
      <c r="A105" s="11" t="n">
        <v>46126</v>
      </c>
      <c r="B105" s="12" t="s">
        <v>52</v>
      </c>
      <c r="C105" s="13" t="n">
        <v>0.0428549776275172</v>
      </c>
      <c r="D105" s="13" t="n">
        <v>0.0279439924302241</v>
      </c>
      <c r="E105" s="13" t="n">
        <v>0.0496688667062149</v>
      </c>
      <c r="F105" s="13" t="n">
        <v>0.0263840168288216</v>
      </c>
      <c r="G105" s="13" t="n">
        <v>0.0244945111194436</v>
      </c>
      <c r="H105" s="14" t="n">
        <f aca="false">H104*(1+C105)</f>
        <v>3733.56199212574</v>
      </c>
      <c r="I105" s="14" t="n">
        <f aca="false">I104*(1+D105)</f>
        <v>4178.00204575196</v>
      </c>
      <c r="J105" s="14" t="n">
        <f aca="false">J104*(1+E105)</f>
        <v>3940.26037014822</v>
      </c>
      <c r="K105" s="14" t="n">
        <f aca="false">K104*(1+F105)</f>
        <v>3737.40921950196</v>
      </c>
      <c r="L105" s="14" t="n">
        <f aca="false">L104*(1+G105)</f>
        <v>4008.65539121361</v>
      </c>
      <c r="M105" s="14" t="n">
        <f aca="false">H105-H104</f>
        <v>153.426621223499</v>
      </c>
      <c r="N105" s="14" t="n">
        <f aca="false">I105-I104</f>
        <v>113.576282754411</v>
      </c>
      <c r="O105" s="14" t="n">
        <f aca="false">J105-J104</f>
        <v>186.447624884589</v>
      </c>
      <c r="P105" s="14" t="n">
        <f aca="false">K105-K104</f>
        <v>96.0730741386619</v>
      </c>
      <c r="Q105" s="14" t="n">
        <f aca="false">L105-L104</f>
        <v>95.8424403336321</v>
      </c>
    </row>
    <row r="106" customFormat="false" ht="15" hidden="false" customHeight="false" outlineLevel="0" collapsed="false">
      <c r="A106" s="11" t="n">
        <v>46127</v>
      </c>
      <c r="B106" s="12" t="s">
        <v>53</v>
      </c>
      <c r="C106" s="13" t="n">
        <v>-0.00692491881345725</v>
      </c>
      <c r="D106" s="13" t="n">
        <v>-0.00881791393482401</v>
      </c>
      <c r="E106" s="13" t="n">
        <v>-0.00687009257403364</v>
      </c>
      <c r="F106" s="13" t="n">
        <v>-0.012383031430408</v>
      </c>
      <c r="G106" s="13" t="n">
        <v>-0.00675400028090367</v>
      </c>
      <c r="H106" s="14" t="n">
        <f aca="false">H105*(1+C106)</f>
        <v>3707.70737844526</v>
      </c>
      <c r="I106" s="14" t="n">
        <f aca="false">I105*(1+D106)</f>
        <v>4141.160783293</v>
      </c>
      <c r="J106" s="14" t="n">
        <f aca="false">J105*(1+E106)</f>
        <v>3913.1904166395</v>
      </c>
      <c r="K106" s="14" t="n">
        <f aca="false">K105*(1+F106)</f>
        <v>3691.12876366857</v>
      </c>
      <c r="L106" s="14" t="n">
        <f aca="false">L105*(1+G106)</f>
        <v>3981.58093157531</v>
      </c>
      <c r="M106" s="14" t="n">
        <f aca="false">H106-H105</f>
        <v>-25.8546136804803</v>
      </c>
      <c r="N106" s="14" t="n">
        <f aca="false">I106-I105</f>
        <v>-36.8412624589591</v>
      </c>
      <c r="O106" s="14" t="n">
        <f aca="false">J106-J105</f>
        <v>-27.0699535087142</v>
      </c>
      <c r="P106" s="14" t="n">
        <f aca="false">K106-K105</f>
        <v>-46.2804558333892</v>
      </c>
      <c r="Q106" s="14" t="n">
        <f aca="false">L106-L105</f>
        <v>-27.0744596383029</v>
      </c>
    </row>
    <row r="107" customFormat="false" ht="15" hidden="false" customHeight="false" outlineLevel="0" collapsed="false">
      <c r="A107" s="11" t="n">
        <v>46128</v>
      </c>
      <c r="B107" s="12" t="s">
        <v>47</v>
      </c>
      <c r="C107" s="13" t="n">
        <v>0.030889593760749</v>
      </c>
      <c r="D107" s="13" t="n">
        <v>0.0390445865782554</v>
      </c>
      <c r="E107" s="13" t="n">
        <v>0.0361256728860376</v>
      </c>
      <c r="F107" s="13" t="n">
        <v>0.0283366939016819</v>
      </c>
      <c r="G107" s="13" t="n">
        <v>0.0356153496851076</v>
      </c>
      <c r="H107" s="14" t="n">
        <f aca="false">H106*(1+C107)</f>
        <v>3822.23695314917</v>
      </c>
      <c r="I107" s="14" t="n">
        <f aca="false">I106*(1+D107)</f>
        <v>4302.85069403076</v>
      </c>
      <c r="J107" s="14" t="n">
        <f aca="false">J106*(1+E107)</f>
        <v>4054.5570535718</v>
      </c>
      <c r="K107" s="14" t="n">
        <f aca="false">K106*(1+F107)</f>
        <v>3795.72314959634</v>
      </c>
      <c r="L107" s="14" t="n">
        <f aca="false">L106*(1+G107)</f>
        <v>4123.38632875292</v>
      </c>
      <c r="M107" s="14" t="n">
        <f aca="false">H107-H106</f>
        <v>114.529574703905</v>
      </c>
      <c r="N107" s="14" t="n">
        <f aca="false">I107-I106</f>
        <v>161.689910737759</v>
      </c>
      <c r="O107" s="14" t="n">
        <f aca="false">J107-J106</f>
        <v>141.366636932295</v>
      </c>
      <c r="P107" s="14" t="n">
        <f aca="false">K107-K106</f>
        <v>104.59438592777</v>
      </c>
      <c r="Q107" s="14" t="n">
        <f aca="false">L107-L106</f>
        <v>141.805397177611</v>
      </c>
    </row>
    <row r="108" customFormat="false" ht="15" hidden="false" customHeight="false" outlineLevel="0" collapsed="false">
      <c r="A108" s="11" t="n">
        <v>46129</v>
      </c>
      <c r="B108" s="12" t="s">
        <v>48</v>
      </c>
      <c r="C108" s="13" t="n">
        <v>0.0604124621927199</v>
      </c>
      <c r="D108" s="13" t="n">
        <v>0.076842367543869</v>
      </c>
      <c r="E108" s="13" t="n">
        <v>0.0784280313361037</v>
      </c>
      <c r="F108" s="13" t="n">
        <v>0.0450887299387343</v>
      </c>
      <c r="G108" s="13" t="n">
        <v>0.0692701447413212</v>
      </c>
      <c r="H108" s="14" t="n">
        <f aca="false">H107*(1+C108)</f>
        <v>4053.14769857291</v>
      </c>
      <c r="I108" s="14" t="n">
        <f aca="false">I107*(1+D108)</f>
        <v>4633.49192854786</v>
      </c>
      <c r="J108" s="14" t="n">
        <f aca="false">J107*(1+E108)</f>
        <v>4372.54798122335</v>
      </c>
      <c r="K108" s="14" t="n">
        <f aca="false">K107*(1+F108)</f>
        <v>3966.86748561069</v>
      </c>
      <c r="L108" s="14" t="n">
        <f aca="false">L107*(1+G108)</f>
        <v>4409.01389657002</v>
      </c>
      <c r="M108" s="14" t="n">
        <f aca="false">H108-H107</f>
        <v>230.910745423741</v>
      </c>
      <c r="N108" s="14" t="n">
        <f aca="false">I108-I107</f>
        <v>330.641234517103</v>
      </c>
      <c r="O108" s="14" t="n">
        <f aca="false">J108-J107</f>
        <v>317.99092765155</v>
      </c>
      <c r="P108" s="14" t="n">
        <f aca="false">K108-K107</f>
        <v>171.144336014351</v>
      </c>
      <c r="Q108" s="14" t="n">
        <f aca="false">L108-L107</f>
        <v>285.6275678171</v>
      </c>
    </row>
    <row r="109" customFormat="false" ht="15" hidden="false" customHeight="false" outlineLevel="0" collapsed="false">
      <c r="A109" s="11" t="n">
        <v>46130</v>
      </c>
      <c r="B109" s="12" t="s">
        <v>49</v>
      </c>
      <c r="C109" s="13" t="n">
        <v>0.0314746669293198</v>
      </c>
      <c r="D109" s="13" t="n">
        <v>0.023982762080031</v>
      </c>
      <c r="E109" s="13" t="n">
        <v>0.0300675788884485</v>
      </c>
      <c r="F109" s="13" t="n">
        <v>0.0145918358193481</v>
      </c>
      <c r="G109" s="13" t="n">
        <v>0.0215793263372578</v>
      </c>
      <c r="H109" s="14" t="n">
        <f aca="false">H108*(1+C109)</f>
        <v>4180.71917240083</v>
      </c>
      <c r="I109" s="14" t="n">
        <f aca="false">I108*(1+D109)</f>
        <v>4744.61586306997</v>
      </c>
      <c r="J109" s="14" t="n">
        <f aca="false">J108*(1+E109)</f>
        <v>4504.01991259231</v>
      </c>
      <c r="K109" s="14" t="n">
        <f aca="false">K108*(1+F109)</f>
        <v>4024.75136467783</v>
      </c>
      <c r="L109" s="14" t="n">
        <f aca="false">L108*(1+G109)</f>
        <v>4504.15744626961</v>
      </c>
      <c r="M109" s="14" t="n">
        <f aca="false">H109-H108</f>
        <v>127.571473827922</v>
      </c>
      <c r="N109" s="14" t="n">
        <f aca="false">I109-I108</f>
        <v>111.123934522107</v>
      </c>
      <c r="O109" s="14" t="n">
        <f aca="false">J109-J108</f>
        <v>131.471931368959</v>
      </c>
      <c r="P109" s="14" t="n">
        <f aca="false">K109-K108</f>
        <v>57.8838790671416</v>
      </c>
      <c r="Q109" s="14" t="n">
        <f aca="false">L109-L108</f>
        <v>95.1435496995891</v>
      </c>
    </row>
    <row r="110" customFormat="false" ht="15" hidden="false" customHeight="false" outlineLevel="0" collapsed="false">
      <c r="A110" s="11" t="n">
        <v>46131</v>
      </c>
      <c r="B110" s="12" t="s">
        <v>50</v>
      </c>
      <c r="C110" s="13" t="n">
        <v>0.00514502175226272</v>
      </c>
      <c r="D110" s="13" t="n">
        <v>0.00377099005935914</v>
      </c>
      <c r="E110" s="13" t="n">
        <v>0.00705537158235384</v>
      </c>
      <c r="F110" s="13" t="n">
        <v>-0.000174913156200163</v>
      </c>
      <c r="G110" s="13" t="n">
        <v>0.00416561980486585</v>
      </c>
      <c r="H110" s="14" t="n">
        <f aca="false">H109*(1+C110)</f>
        <v>4202.22906348293</v>
      </c>
      <c r="I110" s="14" t="n">
        <f aca="false">I109*(1+D110)</f>
        <v>4762.50776232508</v>
      </c>
      <c r="J110" s="14" t="n">
        <f aca="false">J109*(1+E110)</f>
        <v>4535.79744668997</v>
      </c>
      <c r="K110" s="14" t="n">
        <f aca="false">K109*(1+F110)</f>
        <v>4024.04738271371</v>
      </c>
      <c r="L110" s="14" t="n">
        <f aca="false">L109*(1+G110)</f>
        <v>4522.92005373203</v>
      </c>
      <c r="M110" s="14" t="n">
        <f aca="false">H110-H109</f>
        <v>21.5098910821043</v>
      </c>
      <c r="N110" s="14" t="n">
        <f aca="false">I110-I109</f>
        <v>17.8918992551153</v>
      </c>
      <c r="O110" s="14" t="n">
        <f aca="false">J110-J109</f>
        <v>31.7775340976596</v>
      </c>
      <c r="P110" s="14" t="n">
        <f aca="false">K110-K109</f>
        <v>-0.703981964116792</v>
      </c>
      <c r="Q110" s="14" t="n">
        <f aca="false">L110-L109</f>
        <v>18.762607462415</v>
      </c>
    </row>
    <row r="111" customFormat="false" ht="15" hidden="false" customHeight="false" outlineLevel="0" collapsed="false">
      <c r="A111" s="11" t="n">
        <v>46132</v>
      </c>
      <c r="B111" s="12" t="s">
        <v>51</v>
      </c>
      <c r="C111" s="13" t="n">
        <v>0.0019695878401641</v>
      </c>
      <c r="D111" s="13" t="n">
        <v>0.00543131684463208</v>
      </c>
      <c r="E111" s="13" t="n">
        <v>0.00506588108634418</v>
      </c>
      <c r="F111" s="13" t="n">
        <v>0.00404447496868421</v>
      </c>
      <c r="G111" s="13" t="n">
        <v>0.00347920686600278</v>
      </c>
      <c r="H111" s="14" t="n">
        <f aca="false">H110*(1+C111)</f>
        <v>4210.50572274795</v>
      </c>
      <c r="I111" s="14" t="n">
        <f aca="false">I110*(1+D111)</f>
        <v>4788.37445095729</v>
      </c>
      <c r="J111" s="14" t="n">
        <f aca="false">J110*(1+E111)</f>
        <v>4558.77525718664</v>
      </c>
      <c r="K111" s="14" t="n">
        <f aca="false">K110*(1+F111)</f>
        <v>4040.3225416259</v>
      </c>
      <c r="L111" s="14" t="n">
        <f aca="false">L110*(1+G111)</f>
        <v>4538.65622823735</v>
      </c>
      <c r="M111" s="14" t="n">
        <f aca="false">H111-H110</f>
        <v>8.27665926501959</v>
      </c>
      <c r="N111" s="14" t="n">
        <f aca="false">I111-I110</f>
        <v>25.8666886322071</v>
      </c>
      <c r="O111" s="14" t="n">
        <f aca="false">J111-J110</f>
        <v>22.9778104966754</v>
      </c>
      <c r="P111" s="14" t="n">
        <f aca="false">K111-K110</f>
        <v>16.2751589121854</v>
      </c>
      <c r="Q111" s="14" t="n">
        <f aca="false">L111-L110</f>
        <v>15.7361745053258</v>
      </c>
    </row>
    <row r="112" customFormat="false" ht="15" hidden="false" customHeight="false" outlineLevel="0" collapsed="false">
      <c r="A112" s="11" t="n">
        <v>46133</v>
      </c>
      <c r="B112" s="12" t="s">
        <v>52</v>
      </c>
      <c r="C112" s="13" t="n">
        <v>-0.00507538994135648</v>
      </c>
      <c r="D112" s="13" t="n">
        <v>-0.0148846064295352</v>
      </c>
      <c r="E112" s="13" t="n">
        <v>-0.0148739826305905</v>
      </c>
      <c r="F112" s="13" t="n">
        <v>-0.00823749173697863</v>
      </c>
      <c r="G112" s="13" t="n">
        <v>-0.0131094549324704</v>
      </c>
      <c r="H112" s="14" t="n">
        <f aca="false">H111*(1+C112)</f>
        <v>4189.13576435469</v>
      </c>
      <c r="I112" s="14" t="n">
        <f aca="false">I111*(1+D112)</f>
        <v>4717.10138181755</v>
      </c>
      <c r="J112" s="14" t="n">
        <f aca="false">J111*(1+E112)</f>
        <v>4490.96811319448</v>
      </c>
      <c r="K112" s="14" t="n">
        <f aca="false">K111*(1+F112)</f>
        <v>4007.04041807453</v>
      </c>
      <c r="L112" s="14" t="n">
        <f aca="false">L111*(1+G112)</f>
        <v>4479.1569189593</v>
      </c>
      <c r="M112" s="14" t="n">
        <f aca="false">H112-H111</f>
        <v>-21.3699583932585</v>
      </c>
      <c r="N112" s="14" t="n">
        <f aca="false">I112-I111</f>
        <v>-71.273069139741</v>
      </c>
      <c r="O112" s="14" t="n">
        <f aca="false">J112-J111</f>
        <v>-67.8071439921605</v>
      </c>
      <c r="P112" s="14" t="n">
        <f aca="false">K112-K111</f>
        <v>-33.282123551372</v>
      </c>
      <c r="Q112" s="14" t="n">
        <f aca="false">L112-L111</f>
        <v>-59.4993092780533</v>
      </c>
    </row>
    <row r="113" customFormat="false" ht="15" hidden="false" customHeight="false" outlineLevel="0" collapsed="false">
      <c r="A113" s="11" t="n">
        <v>46134</v>
      </c>
      <c r="B113" s="12" t="s">
        <v>53</v>
      </c>
      <c r="C113" s="13" t="n">
        <v>-0.00695672410168818</v>
      </c>
      <c r="D113" s="13" t="n">
        <v>-0.0133061963559207</v>
      </c>
      <c r="E113" s="13" t="n">
        <v>-0.0129990830237487</v>
      </c>
      <c r="F113" s="13" t="n">
        <v>-0.00980023792642049</v>
      </c>
      <c r="G113" s="13" t="n">
        <v>-0.0112505288819942</v>
      </c>
      <c r="H113" s="14" t="n">
        <f aca="false">H112*(1+C113)</f>
        <v>4159.99310261757</v>
      </c>
      <c r="I113" s="14" t="n">
        <f aca="false">I112*(1+D113)</f>
        <v>4654.3347046003</v>
      </c>
      <c r="J113" s="14" t="n">
        <f aca="false">J112*(1+E113)</f>
        <v>4432.58964583406</v>
      </c>
      <c r="K113" s="14" t="n">
        <f aca="false">K112*(1+F113)</f>
        <v>3967.77046859661</v>
      </c>
      <c r="L113" s="14" t="n">
        <f aca="false">L112*(1+G113)</f>
        <v>4428.76403467556</v>
      </c>
      <c r="M113" s="14" t="n">
        <f aca="false">H113-H112</f>
        <v>-29.1426617371299</v>
      </c>
      <c r="N113" s="14" t="n">
        <f aca="false">I113-I112</f>
        <v>-62.7666772172497</v>
      </c>
      <c r="O113" s="14" t="n">
        <f aca="false">J113-J112</f>
        <v>-58.3784673604232</v>
      </c>
      <c r="P113" s="14" t="n">
        <f aca="false">K113-K112</f>
        <v>-39.269949477914</v>
      </c>
      <c r="Q113" s="14" t="n">
        <f aca="false">L113-L112</f>
        <v>-50.3928842837358</v>
      </c>
    </row>
    <row r="114" customFormat="false" ht="15" hidden="false" customHeight="false" outlineLevel="0" collapsed="false">
      <c r="A114" s="11" t="n">
        <v>46135</v>
      </c>
      <c r="B114" s="12" t="s">
        <v>47</v>
      </c>
      <c r="C114" s="13" t="n">
        <v>0.0196026827816559</v>
      </c>
      <c r="D114" s="13" t="n">
        <v>0.0251850911855551</v>
      </c>
      <c r="E114" s="13" t="n">
        <v>0.0251483139331383</v>
      </c>
      <c r="F114" s="13" t="n">
        <v>0.0102702029286478</v>
      </c>
      <c r="G114" s="13" t="n">
        <v>0.0230469385741329</v>
      </c>
      <c r="H114" s="14" t="n">
        <f aca="false">H113*(1+C114)</f>
        <v>4241.54012778205</v>
      </c>
      <c r="I114" s="14" t="n">
        <f aca="false">I113*(1+D114)</f>
        <v>4771.55454854375</v>
      </c>
      <c r="J114" s="14" t="n">
        <f aca="false">J113*(1+E114)</f>
        <v>4544.06180178427</v>
      </c>
      <c r="K114" s="14" t="n">
        <f aca="false">K113*(1+F114)</f>
        <v>4008.5202764834</v>
      </c>
      <c r="L114" s="14" t="n">
        <f aca="false">L113*(1+G114)</f>
        <v>4530.83348734206</v>
      </c>
      <c r="M114" s="14" t="n">
        <f aca="false">H114-H113</f>
        <v>81.5470251644892</v>
      </c>
      <c r="N114" s="14" t="n">
        <f aca="false">I114-I113</f>
        <v>117.219843943452</v>
      </c>
      <c r="O114" s="14" t="n">
        <f aca="false">J114-J113</f>
        <v>111.472155950213</v>
      </c>
      <c r="P114" s="14" t="n">
        <f aca="false">K114-K113</f>
        <v>40.7498078867834</v>
      </c>
      <c r="Q114" s="14" t="n">
        <f aca="false">L114-L113</f>
        <v>102.069452666497</v>
      </c>
    </row>
    <row r="115" customFormat="false" ht="15" hidden="false" customHeight="false" outlineLevel="0" collapsed="false">
      <c r="A115" s="11" t="n">
        <v>46136</v>
      </c>
      <c r="B115" s="12" t="s">
        <v>48</v>
      </c>
      <c r="C115" s="13" t="n">
        <v>-0.00897450123456589</v>
      </c>
      <c r="D115" s="13" t="n">
        <v>-0.00630596229701026</v>
      </c>
      <c r="E115" s="13" t="n">
        <v>-0.00630630609472662</v>
      </c>
      <c r="F115" s="13" t="n">
        <v>-0.0163834361904774</v>
      </c>
      <c r="G115" s="13" t="n">
        <v>-0.00593230583410459</v>
      </c>
      <c r="H115" s="14" t="n">
        <f aca="false">H114*(1+C115)</f>
        <v>4203.47442066881</v>
      </c>
      <c r="I115" s="14" t="n">
        <f aca="false">I114*(1+D115)</f>
        <v>4741.46530546251</v>
      </c>
      <c r="J115" s="14" t="n">
        <f aca="false">J114*(1+E115)</f>
        <v>4515.40555714887</v>
      </c>
      <c r="K115" s="14" t="n">
        <f aca="false">K114*(1+F115)</f>
        <v>3942.8469403154</v>
      </c>
      <c r="L115" s="14" t="n">
        <f aca="false">L114*(1+G115)</f>
        <v>4503.95519741175</v>
      </c>
      <c r="M115" s="14" t="n">
        <f aca="false">H115-H114</f>
        <v>-38.0657071132409</v>
      </c>
      <c r="N115" s="14" t="n">
        <f aca="false">I115-I114</f>
        <v>-30.0892430812446</v>
      </c>
      <c r="O115" s="14" t="n">
        <f aca="false">J115-J114</f>
        <v>-28.6562446354064</v>
      </c>
      <c r="P115" s="14" t="n">
        <f aca="false">K115-K114</f>
        <v>-65.6733361680008</v>
      </c>
      <c r="Q115" s="14" t="n">
        <f aca="false">L115-L114</f>
        <v>-26.8782899303151</v>
      </c>
    </row>
    <row r="116" customFormat="false" ht="15" hidden="false" customHeight="false" outlineLevel="0" collapsed="false">
      <c r="A116" s="11" t="n">
        <v>46137</v>
      </c>
      <c r="B116" s="12" t="s">
        <v>49</v>
      </c>
      <c r="C116" s="13" t="n">
        <v>0.0316284098876734</v>
      </c>
      <c r="D116" s="13" t="n">
        <v>0.0363880544867124</v>
      </c>
      <c r="E116" s="13" t="n">
        <v>0.0363880533727279</v>
      </c>
      <c r="F116" s="13" t="n">
        <v>0.0271914735313543</v>
      </c>
      <c r="G116" s="13" t="n">
        <v>0.0364499083312164</v>
      </c>
      <c r="H116" s="14" t="n">
        <f aca="false">H115*(1+C116)</f>
        <v>4336.42363259808</v>
      </c>
      <c r="I116" s="14" t="n">
        <f aca="false">I115*(1+D116)</f>
        <v>4913.99800334453</v>
      </c>
      <c r="J116" s="14" t="n">
        <f aca="false">J115*(1+E116)</f>
        <v>4679.71237556191</v>
      </c>
      <c r="K116" s="14" t="n">
        <f aca="false">K115*(1+F116)</f>
        <v>4050.05875853116</v>
      </c>
      <c r="L116" s="14" t="n">
        <f aca="false">L115*(1+G116)</f>
        <v>4668.12395148531</v>
      </c>
      <c r="M116" s="14" t="n">
        <f aca="false">H116-H115</f>
        <v>132.949211929264</v>
      </c>
      <c r="N116" s="14" t="n">
        <f aca="false">I116-I115</f>
        <v>172.532697882026</v>
      </c>
      <c r="O116" s="14" t="n">
        <f aca="false">J116-J115</f>
        <v>164.306818413045</v>
      </c>
      <c r="P116" s="14" t="n">
        <f aca="false">K116-K115</f>
        <v>107.211818215767</v>
      </c>
      <c r="Q116" s="14" t="n">
        <f aca="false">L116-L115</f>
        <v>164.168754073564</v>
      </c>
    </row>
    <row r="117" customFormat="false" ht="15" hidden="false" customHeight="false" outlineLevel="0" collapsed="false">
      <c r="A117" s="11" t="n">
        <v>46138</v>
      </c>
      <c r="B117" s="12" t="s">
        <v>50</v>
      </c>
      <c r="C117" s="13" t="n">
        <v>-0.00113847690345398</v>
      </c>
      <c r="D117" s="13" t="n">
        <v>-0.000194973213077232</v>
      </c>
      <c r="E117" s="13" t="n">
        <v>-0.000194972825178377</v>
      </c>
      <c r="F117" s="13" t="n">
        <v>-0.00426305413458655</v>
      </c>
      <c r="G117" s="13" t="n">
        <v>8.02646771319582E-006</v>
      </c>
      <c r="H117" s="14" t="n">
        <f aca="false">H116*(1+C117)</f>
        <v>4331.48671444877</v>
      </c>
      <c r="I117" s="14" t="n">
        <f aca="false">I116*(1+D117)</f>
        <v>4913.03990536477</v>
      </c>
      <c r="J117" s="14" t="n">
        <f aca="false">J116*(1+E117)</f>
        <v>4678.79995881903</v>
      </c>
      <c r="K117" s="14" t="n">
        <f aca="false">K116*(1+F117)</f>
        <v>4032.79313879529</v>
      </c>
      <c r="L117" s="14" t="n">
        <f aca="false">L116*(1+G117)</f>
        <v>4668.16142003149</v>
      </c>
      <c r="M117" s="14" t="n">
        <f aca="false">H117-H116</f>
        <v>-4.9369181493048</v>
      </c>
      <c r="N117" s="14" t="n">
        <f aca="false">I117-I116</f>
        <v>-0.958097979767445</v>
      </c>
      <c r="O117" s="14" t="n">
        <f aca="false">J117-J116</f>
        <v>-0.912416742885398</v>
      </c>
      <c r="P117" s="14" t="n">
        <f aca="false">K117-K116</f>
        <v>-17.2656197358747</v>
      </c>
      <c r="Q117" s="14" t="n">
        <f aca="false">L117-L116</f>
        <v>0.0374685461774789</v>
      </c>
    </row>
    <row r="118" customFormat="false" ht="15" hidden="false" customHeight="false" outlineLevel="0" collapsed="false">
      <c r="A118" s="11" t="n">
        <v>46139</v>
      </c>
      <c r="B118" s="12" t="s">
        <v>51</v>
      </c>
      <c r="C118" s="13" t="n">
        <v>0.0181341268621013</v>
      </c>
      <c r="D118" s="13" t="n">
        <v>0.0233605678292963</v>
      </c>
      <c r="E118" s="13" t="n">
        <v>0.0233605702285971</v>
      </c>
      <c r="F118" s="13" t="n">
        <v>0.0148460830208486</v>
      </c>
      <c r="G118" s="13" t="n">
        <v>0.0212572131337554</v>
      </c>
      <c r="H118" s="14" t="n">
        <f aca="false">H117*(1+C118)</f>
        <v>4410.03444403009</v>
      </c>
      <c r="I118" s="14" t="n">
        <f aca="false">I117*(1+D118)</f>
        <v>5027.81130732208</v>
      </c>
      <c r="J118" s="14" t="n">
        <f aca="false">J117*(1+E118)</f>
        <v>4788.09939384257</v>
      </c>
      <c r="K118" s="14" t="n">
        <f aca="false">K117*(1+F118)</f>
        <v>4092.66432053975</v>
      </c>
      <c r="L118" s="14" t="n">
        <f aca="false">L117*(1+G118)</f>
        <v>4767.39352227987</v>
      </c>
      <c r="M118" s="14" t="n">
        <f aca="false">H118-H117</f>
        <v>78.5477295813198</v>
      </c>
      <c r="N118" s="14" t="n">
        <f aca="false">I118-I117</f>
        <v>114.771401957313</v>
      </c>
      <c r="O118" s="14" t="n">
        <f aca="false">J118-J117</f>
        <v>109.299435023549</v>
      </c>
      <c r="P118" s="14" t="n">
        <f aca="false">K118-K117</f>
        <v>59.8711817444632</v>
      </c>
      <c r="Q118" s="14" t="n">
        <f aca="false">L118-L117</f>
        <v>99.2321022483839</v>
      </c>
    </row>
    <row r="119" customFormat="false" ht="15" hidden="false" customHeight="false" outlineLevel="0" collapsed="false">
      <c r="A119" s="11" t="n">
        <v>46140</v>
      </c>
      <c r="B119" s="12" t="s">
        <v>52</v>
      </c>
      <c r="C119" s="13" t="n">
        <v>0.00934524815193183</v>
      </c>
      <c r="D119" s="13" t="n">
        <v>0.0100036876508478</v>
      </c>
      <c r="E119" s="13" t="n">
        <v>0.0100036876398297</v>
      </c>
      <c r="F119" s="13" t="n">
        <v>0.00903203434943389</v>
      </c>
      <c r="G119" s="13" t="n">
        <v>0.00909069132263363</v>
      </c>
      <c r="H119" s="14" t="n">
        <f aca="false">H118*(1+C119)</f>
        <v>4451.24731026812</v>
      </c>
      <c r="I119" s="14" t="n">
        <f aca="false">I118*(1+D119)</f>
        <v>5078.10796120793</v>
      </c>
      <c r="J119" s="14" t="n">
        <f aca="false">J118*(1+E119)</f>
        <v>4835.99804456703</v>
      </c>
      <c r="K119" s="14" t="n">
        <f aca="false">K118*(1+F119)</f>
        <v>4129.62940526357</v>
      </c>
      <c r="L119" s="14" t="n">
        <f aca="false">L118*(1+G119)</f>
        <v>4810.73242520444</v>
      </c>
      <c r="M119" s="14" t="n">
        <f aca="false">H119-H118</f>
        <v>41.2128662380283</v>
      </c>
      <c r="N119" s="14" t="n">
        <f aca="false">I119-I118</f>
        <v>50.2966538858509</v>
      </c>
      <c r="O119" s="14" t="n">
        <f aca="false">J119-J118</f>
        <v>47.898650724459</v>
      </c>
      <c r="P119" s="14" t="n">
        <f aca="false">K119-K118</f>
        <v>36.9650847238177</v>
      </c>
      <c r="Q119" s="14" t="n">
        <f aca="false">L119-L118</f>
        <v>43.3389029245691</v>
      </c>
    </row>
    <row r="120" customFormat="false" ht="15" hidden="false" customHeight="false" outlineLevel="0" collapsed="false">
      <c r="A120" s="11" t="n">
        <v>46141</v>
      </c>
      <c r="B120" s="12" t="s">
        <v>53</v>
      </c>
      <c r="C120" s="13" t="n">
        <v>0.00114185495174479</v>
      </c>
      <c r="D120" s="13" t="n">
        <v>0.000855435812416755</v>
      </c>
      <c r="E120" s="13" t="n">
        <v>0.000842042165680923</v>
      </c>
      <c r="F120" s="13" t="n">
        <v>0.00406594961998985</v>
      </c>
      <c r="G120" s="13" t="n">
        <v>0.00590032088552961</v>
      </c>
      <c r="H120" s="14" t="n">
        <f aca="false">H119*(1+C120)</f>
        <v>4456.32998905079</v>
      </c>
      <c r="I120" s="14" t="n">
        <f aca="false">I119*(1+D120)</f>
        <v>5082.45195661727</v>
      </c>
      <c r="J120" s="14" t="n">
        <f aca="false">J119*(1+E120)</f>
        <v>4840.07015883371</v>
      </c>
      <c r="K120" s="14" t="n">
        <f aca="false">K119*(1+F120)</f>
        <v>4146.4202703746</v>
      </c>
      <c r="L120" s="14" t="n">
        <f aca="false">L119*(1+G120)</f>
        <v>4839.11729020757</v>
      </c>
      <c r="M120" s="14" t="n">
        <f aca="false">H120-H119</f>
        <v>5.08267878266997</v>
      </c>
      <c r="N120" s="14" t="n">
        <f aca="false">I120-I119</f>
        <v>4.34399540933555</v>
      </c>
      <c r="O120" s="14" t="n">
        <f aca="false">J120-J119</f>
        <v>4.07211426667618</v>
      </c>
      <c r="P120" s="14" t="n">
        <f aca="false">K120-K119</f>
        <v>16.7908651110311</v>
      </c>
      <c r="Q120" s="14" t="n">
        <f aca="false">L120-L119</f>
        <v>28.3848650031287</v>
      </c>
    </row>
    <row r="121" customFormat="false" ht="15" hidden="false" customHeight="false" outlineLevel="0" collapsed="false">
      <c r="A121" s="11" t="n">
        <v>46142</v>
      </c>
      <c r="B121" s="12" t="s">
        <v>47</v>
      </c>
      <c r="C121" s="13" t="n">
        <v>0.040305239402294</v>
      </c>
      <c r="D121" s="13" t="n">
        <v>0.0481348580439124</v>
      </c>
      <c r="E121" s="13" t="n">
        <v>0.0481348580124132</v>
      </c>
      <c r="F121" s="13" t="n">
        <v>0.040720001174492</v>
      </c>
      <c r="G121" s="13" t="n">
        <v>0.0413592272826031</v>
      </c>
      <c r="H121" s="14" t="n">
        <f aca="false">H120*(1+C121)</f>
        <v>4635.9434361151</v>
      </c>
      <c r="I121" s="14" t="n">
        <f aca="false">I120*(1+D121)</f>
        <v>5327.09506006404</v>
      </c>
      <c r="J121" s="14" t="n">
        <f aca="false">J120*(1+E121)</f>
        <v>5073.04624869929</v>
      </c>
      <c r="K121" s="14" t="n">
        <f aca="false">K120*(1+F121)</f>
        <v>4315.26250865419</v>
      </c>
      <c r="L121" s="14" t="n">
        <f aca="false">L120*(1+G121)</f>
        <v>5039.25944206044</v>
      </c>
      <c r="M121" s="14" t="n">
        <f aca="false">H121-H120</f>
        <v>179.613447064315</v>
      </c>
      <c r="N121" s="14" t="n">
        <f aca="false">I121-I120</f>
        <v>244.643103446777</v>
      </c>
      <c r="O121" s="14" t="n">
        <f aca="false">J121-J120</f>
        <v>232.976089865579</v>
      </c>
      <c r="P121" s="14" t="n">
        <f aca="false">K121-K120</f>
        <v>168.842238279591</v>
      </c>
      <c r="Q121" s="14" t="n">
        <f aca="false">L121-L120</f>
        <v>200.14215185287</v>
      </c>
    </row>
    <row r="122" customFormat="false" ht="15" hidden="false" customHeight="false" outlineLevel="0" collapsed="false">
      <c r="A122" s="11" t="n">
        <v>46143</v>
      </c>
      <c r="B122" s="12" t="s">
        <v>48</v>
      </c>
      <c r="C122" s="13" t="n">
        <v>0.0133685852092043</v>
      </c>
      <c r="D122" s="13" t="n">
        <v>0.0149663874047859</v>
      </c>
      <c r="E122" s="13" t="n">
        <v>0.0149663874059356</v>
      </c>
      <c r="F122" s="13" t="n">
        <v>0.0074148221603566</v>
      </c>
      <c r="G122" s="13" t="n">
        <v>0.0111362157352185</v>
      </c>
      <c r="H122" s="14" t="n">
        <f aca="false">H121*(1+C122)</f>
        <v>4697.91944096586</v>
      </c>
      <c r="I122" s="14" t="n">
        <f aca="false">I121*(1+D122)</f>
        <v>5406.82242847508</v>
      </c>
      <c r="J122" s="14" t="n">
        <f aca="false">J121*(1+E122)</f>
        <v>5148.97142418555</v>
      </c>
      <c r="K122" s="14" t="n">
        <f aca="false">K121*(1+F122)</f>
        <v>4347.25941273112</v>
      </c>
      <c r="L122" s="14" t="n">
        <f aca="false">L121*(1+G122)</f>
        <v>5095.37772235296</v>
      </c>
      <c r="M122" s="14" t="n">
        <f aca="false">H122-H121</f>
        <v>61.976004850756</v>
      </c>
      <c r="N122" s="14" t="n">
        <f aca="false">I122-I121</f>
        <v>79.7273684110396</v>
      </c>
      <c r="O122" s="14" t="n">
        <f aca="false">J122-J121</f>
        <v>75.9251754862617</v>
      </c>
      <c r="P122" s="14" t="n">
        <f aca="false">K122-K121</f>
        <v>31.9969040769247</v>
      </c>
      <c r="Q122" s="14" t="n">
        <f aca="false">L122-L121</f>
        <v>56.1182802925214</v>
      </c>
    </row>
    <row r="123" customFormat="false" ht="15" hidden="false" customHeight="false" outlineLevel="0" collapsed="false">
      <c r="A123" s="11" t="n">
        <v>46144</v>
      </c>
      <c r="B123" s="12" t="s">
        <v>49</v>
      </c>
      <c r="C123" s="13" t="n">
        <v>0.00858242447800306</v>
      </c>
      <c r="D123" s="13" t="n">
        <v>0.0104073871204076</v>
      </c>
      <c r="E123" s="13" t="n">
        <v>0.0104073871281938</v>
      </c>
      <c r="F123" s="13" t="n">
        <v>0.00986374085149766</v>
      </c>
      <c r="G123" s="13" t="n">
        <v>0.00949238429146659</v>
      </c>
      <c r="H123" s="14" t="n">
        <f aca="false">H122*(1+C123)</f>
        <v>4738.23897977169</v>
      </c>
      <c r="I123" s="14" t="n">
        <f aca="false">I122*(1+D123)</f>
        <v>5463.09332257952</v>
      </c>
      <c r="J123" s="14" t="n">
        <f aca="false">J122*(1+E123)</f>
        <v>5202.55876310906</v>
      </c>
      <c r="K123" s="14" t="n">
        <f aca="false">K122*(1+F123)</f>
        <v>4390.13965299253</v>
      </c>
      <c r="L123" s="14" t="n">
        <f aca="false">L122*(1+G123)</f>
        <v>5143.74500580371</v>
      </c>
      <c r="M123" s="14" t="n">
        <f aca="false">H123-H122</f>
        <v>40.3195388058321</v>
      </c>
      <c r="N123" s="14" t="n">
        <f aca="false">I123-I122</f>
        <v>56.2708941044421</v>
      </c>
      <c r="O123" s="14" t="n">
        <f aca="false">J123-J122</f>
        <v>53.5873389235067</v>
      </c>
      <c r="P123" s="14" t="n">
        <f aca="false">K123-K122</f>
        <v>42.8802402614137</v>
      </c>
      <c r="Q123" s="14" t="n">
        <f aca="false">L123-L122</f>
        <v>48.3672834507515</v>
      </c>
    </row>
    <row r="124" customFormat="false" ht="15" hidden="false" customHeight="false" outlineLevel="0" collapsed="false">
      <c r="A124" s="11" t="n">
        <v>46145</v>
      </c>
      <c r="B124" s="12" t="s">
        <v>50</v>
      </c>
      <c r="C124" s="13" t="n">
        <v>-0.000314022664591795</v>
      </c>
      <c r="D124" s="13" t="n">
        <v>0.001459746754898</v>
      </c>
      <c r="E124" s="13" t="n">
        <v>0.00146391296868491</v>
      </c>
      <c r="F124" s="13" t="n">
        <v>-0.00356504195826701</v>
      </c>
      <c r="G124" s="13" t="n">
        <v>0.00261147646996685</v>
      </c>
      <c r="H124" s="14" t="n">
        <f aca="false">H123*(1+C124)</f>
        <v>4736.75106534179</v>
      </c>
      <c r="I124" s="14" t="n">
        <f aca="false">I123*(1+D124)</f>
        <v>5471.06805532886</v>
      </c>
      <c r="J124" s="14" t="n">
        <f aca="false">J123*(1+E124)</f>
        <v>5210.17485635272</v>
      </c>
      <c r="K124" s="14" t="n">
        <f aca="false">K123*(1+F124)</f>
        <v>4374.48862092696</v>
      </c>
      <c r="L124" s="14" t="n">
        <f aca="false">L123*(1+G124)</f>
        <v>5157.17777485388</v>
      </c>
      <c r="M124" s="14" t="n">
        <f aca="false">H124-H123</f>
        <v>-1.48791442990023</v>
      </c>
      <c r="N124" s="14" t="n">
        <f aca="false">I124-I123</f>
        <v>7.97473274934055</v>
      </c>
      <c r="O124" s="14" t="n">
        <f aca="false">J124-J123</f>
        <v>7.61609324366054</v>
      </c>
      <c r="P124" s="14" t="n">
        <f aca="false">K124-K123</f>
        <v>-15.6510320655698</v>
      </c>
      <c r="Q124" s="14" t="n">
        <f aca="false">L124-L123</f>
        <v>13.4327690501668</v>
      </c>
    </row>
    <row r="125" customFormat="false" ht="15" hidden="false" customHeight="false" outlineLevel="0" collapsed="false">
      <c r="A125" s="11" t="n">
        <v>46146</v>
      </c>
      <c r="B125" s="12" t="s">
        <v>51</v>
      </c>
      <c r="C125" s="13" t="n">
        <v>0.00956762000299327</v>
      </c>
      <c r="D125" s="13" t="n">
        <v>0.0149193751325739</v>
      </c>
      <c r="E125" s="13" t="n">
        <v>0.01492736844621</v>
      </c>
      <c r="F125" s="13" t="n">
        <v>0.00343868338367515</v>
      </c>
      <c r="G125" s="13" t="n">
        <v>0.0131593112212526</v>
      </c>
      <c r="H125" s="14" t="n">
        <f aca="false">H124*(1+C125)</f>
        <v>4782.07049958376</v>
      </c>
      <c r="I125" s="14" t="n">
        <f aca="false">I124*(1+D125)</f>
        <v>5552.69297202216</v>
      </c>
      <c r="J125" s="14" t="n">
        <f aca="false">J124*(1+E125)</f>
        <v>5287.94905610267</v>
      </c>
      <c r="K125" s="14" t="n">
        <f aca="false">K124*(1+F125)</f>
        <v>4389.53110225982</v>
      </c>
      <c r="L125" s="14" t="n">
        <f aca="false">L124*(1+G125)</f>
        <v>5225.04268221651</v>
      </c>
      <c r="M125" s="14" t="n">
        <f aca="false">H125-H124</f>
        <v>45.3194342419638</v>
      </c>
      <c r="N125" s="14" t="n">
        <f aca="false">I125-I124</f>
        <v>81.6249166932921</v>
      </c>
      <c r="O125" s="14" t="n">
        <f aca="false">J125-J124</f>
        <v>77.7741997499561</v>
      </c>
      <c r="P125" s="14" t="n">
        <f aca="false">K125-K124</f>
        <v>15.0424813328573</v>
      </c>
      <c r="Q125" s="14" t="n">
        <f aca="false">L125-L124</f>
        <v>67.8649073626293</v>
      </c>
    </row>
    <row r="126" customFormat="false" ht="15" hidden="false" customHeight="false" outlineLevel="0" collapsed="false">
      <c r="A126" s="11" t="n">
        <v>46147</v>
      </c>
      <c r="B126" s="12" t="s">
        <v>52</v>
      </c>
      <c r="C126" s="13" t="n">
        <v>0.0155724888217742</v>
      </c>
      <c r="D126" s="13" t="n">
        <v>0.0101605136234085</v>
      </c>
      <c r="E126" s="13" t="n">
        <v>0.0101605136234092</v>
      </c>
      <c r="F126" s="13" t="n">
        <v>0.0118189201712725</v>
      </c>
      <c r="G126" s="13" t="n">
        <v>0.00582442860338772</v>
      </c>
      <c r="H126" s="14" t="n">
        <f aca="false">H125*(1+C126)</f>
        <v>4856.53923898346</v>
      </c>
      <c r="I126" s="14" t="n">
        <f aca="false">I125*(1+D126)</f>
        <v>5609.11118461099</v>
      </c>
      <c r="J126" s="14" t="n">
        <f aca="false">J125*(1+E126)</f>
        <v>5341.6773345271</v>
      </c>
      <c r="K126" s="14" t="n">
        <f aca="false">K125*(1+F126)</f>
        <v>4441.41061994674</v>
      </c>
      <c r="L126" s="14" t="n">
        <f aca="false">L125*(1+G126)</f>
        <v>5255.47557026873</v>
      </c>
      <c r="M126" s="14" t="n">
        <f aca="false">H126-H125</f>
        <v>74.4687393997047</v>
      </c>
      <c r="N126" s="14" t="n">
        <f aca="false">I126-I125</f>
        <v>56.4182125888356</v>
      </c>
      <c r="O126" s="14" t="n">
        <f aca="false">J126-J125</f>
        <v>53.7282784244253</v>
      </c>
      <c r="P126" s="14" t="n">
        <f aca="false">K126-K125</f>
        <v>51.8795176869271</v>
      </c>
      <c r="Q126" s="14" t="n">
        <f aca="false">L126-L125</f>
        <v>30.4328880522235</v>
      </c>
    </row>
    <row r="127" customFormat="false" ht="15" hidden="false" customHeight="false" outlineLevel="0" collapsed="false">
      <c r="A127" s="11" t="n">
        <v>46148</v>
      </c>
      <c r="B127" s="12" t="s">
        <v>53</v>
      </c>
      <c r="C127" s="13" t="n">
        <v>0.0168205706595965</v>
      </c>
      <c r="D127" s="13" t="n">
        <v>0.0126170340578602</v>
      </c>
      <c r="E127" s="13" t="n">
        <v>0.0126170340578624</v>
      </c>
      <c r="F127" s="13" t="n">
        <v>0.00815892573968269</v>
      </c>
      <c r="G127" s="13" t="n">
        <v>0.011374674582321</v>
      </c>
      <c r="H127" s="14" t="n">
        <f aca="false">H126*(1+C127)</f>
        <v>4938.22900041389</v>
      </c>
      <c r="I127" s="14" t="n">
        <f aca="false">I126*(1+D127)</f>
        <v>5679.88153146155</v>
      </c>
      <c r="J127" s="14" t="n">
        <f aca="false">J126*(1+E127)</f>
        <v>5409.07345938294</v>
      </c>
      <c r="K127" s="14" t="n">
        <f aca="false">K126*(1+F127)</f>
        <v>4477.64775937433</v>
      </c>
      <c r="L127" s="14" t="n">
        <f aca="false">L126*(1+G127)</f>
        <v>5315.25489465588</v>
      </c>
      <c r="M127" s="14" t="n">
        <f aca="false">H127-H126</f>
        <v>81.6897614304244</v>
      </c>
      <c r="N127" s="14" t="n">
        <f aca="false">I127-I126</f>
        <v>70.7703468505615</v>
      </c>
      <c r="O127" s="14" t="n">
        <f aca="false">J127-J126</f>
        <v>67.3961248558398</v>
      </c>
      <c r="P127" s="14" t="n">
        <f aca="false">K127-K126</f>
        <v>36.2371394275833</v>
      </c>
      <c r="Q127" s="14" t="n">
        <f aca="false">L127-L126</f>
        <v>59.7793243871456</v>
      </c>
    </row>
    <row r="128" customFormat="false" ht="15" hidden="false" customHeight="false" outlineLevel="0" collapsed="false">
      <c r="A128" s="11" t="n">
        <v>46149</v>
      </c>
      <c r="B128" s="12" t="s">
        <v>47</v>
      </c>
      <c r="C128" s="13" t="n">
        <v>0.0239492001501087</v>
      </c>
      <c r="D128" s="13" t="n">
        <v>0.0248217171818794</v>
      </c>
      <c r="E128" s="13" t="n">
        <v>0.0248217171818791</v>
      </c>
      <c r="F128" s="13" t="n">
        <v>0.0207630520620546</v>
      </c>
      <c r="G128" s="13" t="n">
        <v>0.0223436854753295</v>
      </c>
      <c r="H128" s="14" t="n">
        <f aca="false">H127*(1+C128)</f>
        <v>5056.49563513187</v>
      </c>
      <c r="I128" s="14" t="n">
        <f aca="false">I127*(1+D128)</f>
        <v>5820.86594446207</v>
      </c>
      <c r="J128" s="14" t="n">
        <f aca="false">J127*(1+E128)</f>
        <v>5543.33595100775</v>
      </c>
      <c r="K128" s="14" t="n">
        <f aca="false">K127*(1+F128)</f>
        <v>4570.61739291776</v>
      </c>
      <c r="L128" s="14" t="n">
        <f aca="false">L127*(1+G128)</f>
        <v>5434.01727824327</v>
      </c>
      <c r="M128" s="14" t="n">
        <f aca="false">H128-H127</f>
        <v>118.266634717984</v>
      </c>
      <c r="N128" s="14" t="n">
        <f aca="false">I128-I127</f>
        <v>140.984413000519</v>
      </c>
      <c r="O128" s="14" t="n">
        <f aca="false">J128-J127</f>
        <v>134.262491624812</v>
      </c>
      <c r="P128" s="14" t="n">
        <f aca="false">K128-K127</f>
        <v>92.969633543431</v>
      </c>
      <c r="Q128" s="14" t="n">
        <f aca="false">L128-L127</f>
        <v>118.762383587397</v>
      </c>
    </row>
    <row r="129" customFormat="false" ht="15" hidden="false" customHeight="false" outlineLevel="0" collapsed="false">
      <c r="A129" s="11" t="n">
        <v>46150</v>
      </c>
      <c r="B129" s="12" t="s">
        <v>48</v>
      </c>
      <c r="C129" s="13" t="n">
        <v>0.00522872387163742</v>
      </c>
      <c r="D129" s="13" t="n">
        <v>0.00538862378080732</v>
      </c>
      <c r="E129" s="13" t="n">
        <v>0.00538862378080732</v>
      </c>
      <c r="F129" s="13" t="n">
        <v>-0.00862178737012226</v>
      </c>
      <c r="G129" s="13" t="n">
        <v>0.00200078601829679</v>
      </c>
      <c r="H129" s="14" t="n">
        <f aca="false">H128*(1+C129)</f>
        <v>5082.93465456611</v>
      </c>
      <c r="I129" s="14" t="n">
        <f aca="false">I128*(1+D129)</f>
        <v>5852.23240111529</v>
      </c>
      <c r="J129" s="14" t="n">
        <f aca="false">J128*(1+E129)</f>
        <v>5573.20690293836</v>
      </c>
      <c r="K129" s="14" t="n">
        <f aca="false">K128*(1+F129)</f>
        <v>4531.21050160584</v>
      </c>
      <c r="L129" s="14" t="n">
        <f aca="false">L128*(1+G129)</f>
        <v>5444.88958403677</v>
      </c>
      <c r="M129" s="14" t="n">
        <f aca="false">H129-H128</f>
        <v>26.439019434245</v>
      </c>
      <c r="N129" s="14" t="n">
        <f aca="false">I129-I128</f>
        <v>31.3664566532207</v>
      </c>
      <c r="O129" s="14" t="n">
        <f aca="false">J129-J128</f>
        <v>29.8709519306049</v>
      </c>
      <c r="P129" s="14" t="n">
        <f aca="false">K129-K128</f>
        <v>-39.406891311919</v>
      </c>
      <c r="Q129" s="14" t="n">
        <f aca="false">L129-L128</f>
        <v>10.8723057934931</v>
      </c>
    </row>
    <row r="130" customFormat="false" ht="15" hidden="false" customHeight="false" outlineLevel="0" collapsed="false">
      <c r="A130" s="11" t="n">
        <v>46151</v>
      </c>
      <c r="B130" s="12" t="s">
        <v>49</v>
      </c>
      <c r="C130" s="13" t="n">
        <v>0.00904073886612866</v>
      </c>
      <c r="D130" s="13" t="n">
        <v>0.00917491211047807</v>
      </c>
      <c r="E130" s="13" t="n">
        <v>0.00917491211047807</v>
      </c>
      <c r="F130" s="13" t="n">
        <v>0.00546123555810663</v>
      </c>
      <c r="G130" s="13" t="n">
        <v>0.00984944530587317</v>
      </c>
      <c r="H130" s="14" t="n">
        <f aca="false">H129*(1+C130)</f>
        <v>5128.88813945164</v>
      </c>
      <c r="I130" s="14" t="n">
        <f aca="false">I129*(1+D130)</f>
        <v>5905.92611904562</v>
      </c>
      <c r="J130" s="14" t="n">
        <f aca="false">J129*(1+E130)</f>
        <v>5624.34058644632</v>
      </c>
      <c r="K130" s="14" t="n">
        <f aca="false">K129*(1+F130)</f>
        <v>4555.95650951848</v>
      </c>
      <c r="L130" s="14" t="n">
        <f aca="false">L129*(1+G130)</f>
        <v>5498.51872619126</v>
      </c>
      <c r="M130" s="14" t="n">
        <f aca="false">H130-H129</f>
        <v>45.9534848855283</v>
      </c>
      <c r="N130" s="14" t="n">
        <f aca="false">I130-I129</f>
        <v>53.693717930325</v>
      </c>
      <c r="O130" s="14" t="n">
        <f aca="false">J130-J129</f>
        <v>51.1336835079692</v>
      </c>
      <c r="P130" s="14" t="n">
        <f aca="false">K130-K129</f>
        <v>24.7460079126367</v>
      </c>
      <c r="Q130" s="14" t="n">
        <f aca="false">L130-L129</f>
        <v>53.6291421544884</v>
      </c>
    </row>
    <row r="131" customFormat="false" ht="15" hidden="false" customHeight="false" outlineLevel="0" collapsed="false">
      <c r="A131" s="11" t="n">
        <v>46152</v>
      </c>
      <c r="B131" s="12" t="s">
        <v>50</v>
      </c>
      <c r="C131" s="13" t="n">
        <v>-0.0120370872304096</v>
      </c>
      <c r="D131" s="13" t="n">
        <v>-0.0133702043687565</v>
      </c>
      <c r="E131" s="13" t="n">
        <v>-0.0133702043687567</v>
      </c>
      <c r="F131" s="13" t="n">
        <v>-0.011949195703832</v>
      </c>
      <c r="G131" s="13" t="n">
        <v>-0.0142453570143526</v>
      </c>
      <c r="H131" s="14" t="n">
        <f aca="false">H130*(1+C131)</f>
        <v>5067.15126552205</v>
      </c>
      <c r="I131" s="14" t="n">
        <f aca="false">I130*(1+D131)</f>
        <v>5826.9626798472</v>
      </c>
      <c r="J131" s="14" t="n">
        <f aca="false">J130*(1+E131)</f>
        <v>5549.14200336604</v>
      </c>
      <c r="K131" s="14" t="n">
        <f aca="false">K130*(1+F131)</f>
        <v>4501.51649356809</v>
      </c>
      <c r="L131" s="14" t="n">
        <f aca="false">L130*(1+G131)</f>
        <v>5420.19036388656</v>
      </c>
      <c r="M131" s="14" t="n">
        <f aca="false">H131-H130</f>
        <v>-61.7368739295926</v>
      </c>
      <c r="N131" s="14" t="n">
        <f aca="false">I131-I130</f>
        <v>-78.9634391984164</v>
      </c>
      <c r="O131" s="14" t="n">
        <f aca="false">J131-J130</f>
        <v>-75.1985830802805</v>
      </c>
      <c r="P131" s="14" t="n">
        <f aca="false">K131-K130</f>
        <v>-54.4400159503839</v>
      </c>
      <c r="Q131" s="14" t="n">
        <f aca="false">L131-L130</f>
        <v>-78.3283623046973</v>
      </c>
    </row>
    <row r="132" customFormat="false" ht="15" hidden="false" customHeight="false" outlineLevel="0" collapsed="false">
      <c r="A132" s="11" t="n">
        <v>46153</v>
      </c>
      <c r="B132" s="12" t="s">
        <v>51</v>
      </c>
      <c r="C132" s="13" t="n">
        <v>-0.00358798802365784</v>
      </c>
      <c r="D132" s="13" t="n">
        <v>-0.0062733853488938</v>
      </c>
      <c r="E132" s="13" t="n">
        <v>-0.00627338534889373</v>
      </c>
      <c r="F132" s="13" t="n">
        <v>-0.00403623884903703</v>
      </c>
      <c r="G132" s="13" t="n">
        <v>-0.00581595769097787</v>
      </c>
      <c r="H132" s="14" t="n">
        <f aca="false">H131*(1+C132)</f>
        <v>5048.97038746729</v>
      </c>
      <c r="I132" s="14" t="n">
        <f aca="false">I131*(1+D132)</f>
        <v>5790.4078975429</v>
      </c>
      <c r="J132" s="14" t="n">
        <f aca="false">J131*(1+E132)</f>
        <v>5514.3300972232</v>
      </c>
      <c r="K132" s="14" t="n">
        <f aca="false">K131*(1+F132)</f>
        <v>4483.34729781717</v>
      </c>
      <c r="L132" s="14" t="n">
        <f aca="false">L131*(1+G132)</f>
        <v>5388.66676605315</v>
      </c>
      <c r="M132" s="14" t="n">
        <f aca="false">H132-H131</f>
        <v>-18.1808780547553</v>
      </c>
      <c r="N132" s="14" t="n">
        <f aca="false">I132-I131</f>
        <v>-36.5547823043044</v>
      </c>
      <c r="O132" s="14" t="n">
        <f aca="false">J132-J131</f>
        <v>-34.8119061428479</v>
      </c>
      <c r="P132" s="14" t="n">
        <f aca="false">K132-K131</f>
        <v>-18.1691957509202</v>
      </c>
      <c r="Q132" s="14" t="n">
        <f aca="false">L132-L131</f>
        <v>-31.5235978334104</v>
      </c>
    </row>
    <row r="133" customFormat="false" ht="15" hidden="false" customHeight="false" outlineLevel="0" collapsed="false">
      <c r="A133" s="11" t="n">
        <v>46154</v>
      </c>
      <c r="B133" s="12" t="s">
        <v>52</v>
      </c>
      <c r="C133" s="13" t="n">
        <v>-0.0115104514148734</v>
      </c>
      <c r="D133" s="13" t="n">
        <v>-0.00848643400980488</v>
      </c>
      <c r="E133" s="13" t="n">
        <v>-0.00848643400980495</v>
      </c>
      <c r="F133" s="13" t="n">
        <v>-0.00529056892565555</v>
      </c>
      <c r="G133" s="13" t="n">
        <v>-0.00872940310273912</v>
      </c>
      <c r="H133" s="14" t="n">
        <f aca="false">H132*(1+C133)</f>
        <v>4990.85445912722</v>
      </c>
      <c r="I133" s="14" t="n">
        <f aca="false">I132*(1+D133)</f>
        <v>5741.26798303055</v>
      </c>
      <c r="J133" s="14" t="n">
        <f aca="false">J132*(1+E133)</f>
        <v>5467.53309874483</v>
      </c>
      <c r="K133" s="14" t="n">
        <f aca="false">K132*(1+F133)</f>
        <v>4459.62783992042</v>
      </c>
      <c r="L133" s="14" t="n">
        <f aca="false">L132*(1+G133)</f>
        <v>5341.62692166594</v>
      </c>
      <c r="M133" s="14" t="n">
        <f aca="false">H133-H132</f>
        <v>-58.1159283400766</v>
      </c>
      <c r="N133" s="14" t="n">
        <f aca="false">I133-I132</f>
        <v>-49.1399145123505</v>
      </c>
      <c r="O133" s="14" t="n">
        <f aca="false">J133-J132</f>
        <v>-46.7969984783658</v>
      </c>
      <c r="P133" s="14" t="n">
        <f aca="false">K133-K132</f>
        <v>-23.7194578967528</v>
      </c>
      <c r="Q133" s="14" t="n">
        <f aca="false">L133-L132</f>
        <v>-47.0398443872118</v>
      </c>
    </row>
    <row r="134" customFormat="false" ht="15" hidden="false" customHeight="false" outlineLevel="0" collapsed="false">
      <c r="A134" s="11" t="n">
        <v>46155</v>
      </c>
      <c r="B134" s="12" t="s">
        <v>53</v>
      </c>
      <c r="C134" s="13" t="n">
        <v>-0.0116666076139474</v>
      </c>
      <c r="D134" s="13" t="n">
        <v>-0.0102874958319294</v>
      </c>
      <c r="E134" s="13" t="n">
        <v>-0.0102874958319295</v>
      </c>
      <c r="F134" s="13" t="n">
        <v>-0.012835099218565</v>
      </c>
      <c r="G134" s="13" t="n">
        <v>-0.0115954942760987</v>
      </c>
      <c r="H134" s="14" t="n">
        <f aca="false">H133*(1+C134)</f>
        <v>4932.62811849426</v>
      </c>
      <c r="I134" s="14" t="n">
        <f aca="false">I133*(1+D134)</f>
        <v>5682.20471258513</v>
      </c>
      <c r="J134" s="14" t="n">
        <f aca="false">J133*(1+E134)</f>
        <v>5411.28587478056</v>
      </c>
      <c r="K134" s="14" t="n">
        <f aca="false">K133*(1+F134)</f>
        <v>4402.38807411717</v>
      </c>
      <c r="L134" s="14" t="n">
        <f aca="false">L133*(1+G134)</f>
        <v>5279.6881172707</v>
      </c>
      <c r="M134" s="14" t="n">
        <f aca="false">H134-H133</f>
        <v>-58.2263406329575</v>
      </c>
      <c r="N134" s="14" t="n">
        <f aca="false">I134-I133</f>
        <v>-59.0632704454165</v>
      </c>
      <c r="O134" s="14" t="n">
        <f aca="false">J134-J133</f>
        <v>-56.2472239642739</v>
      </c>
      <c r="P134" s="14" t="n">
        <f aca="false">K134-K133</f>
        <v>-57.2397658032533</v>
      </c>
      <c r="Q134" s="14" t="n">
        <f aca="false">L134-L133</f>
        <v>-61.9388043952313</v>
      </c>
    </row>
    <row r="135" customFormat="false" ht="15" hidden="false" customHeight="false" outlineLevel="0" collapsed="false">
      <c r="A135" s="11" t="n">
        <v>46156</v>
      </c>
      <c r="B135" s="12" t="s">
        <v>47</v>
      </c>
      <c r="C135" s="13" t="n">
        <v>0.0184206515851272</v>
      </c>
      <c r="D135" s="13" t="n">
        <v>0.0116346112427435</v>
      </c>
      <c r="E135" s="13" t="n">
        <v>0.0116346112427435</v>
      </c>
      <c r="F135" s="13" t="n">
        <v>0.012158084236512</v>
      </c>
      <c r="G135" s="13" t="n">
        <v>0.0142177190995483</v>
      </c>
      <c r="H135" s="14" t="n">
        <f aca="false">H134*(1+C135)</f>
        <v>5023.49034246404</v>
      </c>
      <c r="I135" s="14" t="n">
        <f aca="false">I134*(1+D135)</f>
        <v>5748.31495541774</v>
      </c>
      <c r="J135" s="14" t="n">
        <f aca="false">J134*(1+E135)</f>
        <v>5474.24408225698</v>
      </c>
      <c r="K135" s="14" t="n">
        <f aca="false">K134*(1+F135)</f>
        <v>4455.9126791641</v>
      </c>
      <c r="L135" s="14" t="n">
        <f aca="false">L134*(1+G135)</f>
        <v>5354.75323985528</v>
      </c>
      <c r="M135" s="14" t="n">
        <f aca="false">H135-H134</f>
        <v>90.8622239697834</v>
      </c>
      <c r="N135" s="14" t="n">
        <f aca="false">I135-I134</f>
        <v>66.110242832613</v>
      </c>
      <c r="O135" s="14" t="n">
        <f aca="false">J135-J134</f>
        <v>62.9582074764203</v>
      </c>
      <c r="P135" s="14" t="n">
        <f aca="false">K135-K134</f>
        <v>53.5246050469314</v>
      </c>
      <c r="Q135" s="14" t="n">
        <f aca="false">L135-L134</f>
        <v>75.0651225845777</v>
      </c>
    </row>
    <row r="136" customFormat="false" ht="15" hidden="false" customHeight="false" outlineLevel="0" collapsed="false">
      <c r="A136" s="11" t="n">
        <v>46157</v>
      </c>
      <c r="B136" s="12" t="s">
        <v>48</v>
      </c>
      <c r="C136" s="13" t="n">
        <v>-0.00586405682563618</v>
      </c>
      <c r="D136" s="13" t="n">
        <v>-0.00321291194259915</v>
      </c>
      <c r="E136" s="13" t="n">
        <v>-0.00321291194259928</v>
      </c>
      <c r="F136" s="13" t="n">
        <v>-0.00204159802148324</v>
      </c>
      <c r="G136" s="13" t="n">
        <v>-0.00381839614598445</v>
      </c>
      <c r="H136" s="14" t="n">
        <f aca="false">H135*(1+C136)</f>
        <v>4994.0323096328</v>
      </c>
      <c r="I136" s="14" t="n">
        <f aca="false">I135*(1+D136)</f>
        <v>5729.84612564766</v>
      </c>
      <c r="J136" s="14" t="n">
        <f aca="false">J135*(1+E136)</f>
        <v>5456.65581806839</v>
      </c>
      <c r="K136" s="14" t="n">
        <f aca="false">K135*(1+F136)</f>
        <v>4446.81549665441</v>
      </c>
      <c r="L136" s="14" t="n">
        <f aca="false">L135*(1+G136)</f>
        <v>5334.30667072152</v>
      </c>
      <c r="M136" s="14" t="n">
        <f aca="false">H136-H135</f>
        <v>-29.4580328312441</v>
      </c>
      <c r="N136" s="14" t="n">
        <f aca="false">I136-I135</f>
        <v>-18.4688297700832</v>
      </c>
      <c r="O136" s="14" t="n">
        <f aca="false">J136-J135</f>
        <v>-17.5882641885873</v>
      </c>
      <c r="P136" s="14" t="n">
        <f aca="false">K136-K135</f>
        <v>-9.09718250968308</v>
      </c>
      <c r="Q136" s="14" t="n">
        <f aca="false">L136-L135</f>
        <v>-20.4465691337609</v>
      </c>
    </row>
    <row r="137" customFormat="false" ht="15" hidden="false" customHeight="false" outlineLevel="0" collapsed="false">
      <c r="A137" s="11" t="n">
        <v>46158</v>
      </c>
      <c r="B137" s="12" t="s">
        <v>49</v>
      </c>
      <c r="C137" s="13" t="n">
        <v>-0.0157811096283163</v>
      </c>
      <c r="D137" s="13" t="n">
        <v>-0.0115804121933574</v>
      </c>
      <c r="E137" s="13" t="n">
        <v>-0.0115804121933576</v>
      </c>
      <c r="F137" s="13" t="n">
        <v>-0.0111438686061153</v>
      </c>
      <c r="G137" s="13" t="n">
        <v>-0.0143618747775037</v>
      </c>
      <c r="H137" s="14" t="n">
        <f aca="false">H136*(1+C137)</f>
        <v>4915.22093826713</v>
      </c>
      <c r="I137" s="14" t="n">
        <f aca="false">I136*(1+D137)</f>
        <v>5663.49214570815</v>
      </c>
      <c r="J137" s="14" t="n">
        <f aca="false">J136*(1+E137)</f>
        <v>5393.46549449787</v>
      </c>
      <c r="K137" s="14" t="n">
        <f aca="false">K136*(1+F137)</f>
        <v>4397.26076904406</v>
      </c>
      <c r="L137" s="14" t="n">
        <f aca="false">L136*(1+G137)</f>
        <v>5257.69602629182</v>
      </c>
      <c r="M137" s="14" t="n">
        <f aca="false">H137-H136</f>
        <v>-78.8113713656685</v>
      </c>
      <c r="N137" s="14" t="n">
        <f aca="false">I137-I136</f>
        <v>-66.3539799395112</v>
      </c>
      <c r="O137" s="14" t="n">
        <f aca="false">J137-J136</f>
        <v>-63.1903235705149</v>
      </c>
      <c r="P137" s="14" t="n">
        <f aca="false">K137-K136</f>
        <v>-49.5547276103544</v>
      </c>
      <c r="Q137" s="14" t="n">
        <f aca="false">L137-L136</f>
        <v>-76.6106444297047</v>
      </c>
    </row>
    <row r="138" customFormat="false" ht="15" hidden="false" customHeight="false" outlineLevel="0" collapsed="false">
      <c r="A138" s="11" t="n">
        <v>46159</v>
      </c>
      <c r="B138" s="12" t="s">
        <v>50</v>
      </c>
      <c r="C138" s="13" t="n">
        <v>0.00918986925270404</v>
      </c>
      <c r="D138" s="13" t="n">
        <v>0.00606572912738174</v>
      </c>
      <c r="E138" s="13" t="n">
        <v>0.00606572912738174</v>
      </c>
      <c r="F138" s="13" t="n">
        <v>0.00677320899246259</v>
      </c>
      <c r="G138" s="13" t="n">
        <v>0.0075442554039945</v>
      </c>
      <c r="H138" s="14" t="n">
        <f aca="false">H137*(1+C138)</f>
        <v>4960.39117603796</v>
      </c>
      <c r="I138" s="14" t="n">
        <f aca="false">I137*(1+D138)</f>
        <v>5697.84535497907</v>
      </c>
      <c r="J138" s="14" t="n">
        <f aca="false">J137*(1+E138)</f>
        <v>5426.18079524538</v>
      </c>
      <c r="K138" s="14" t="n">
        <f aca="false">K137*(1+F138)</f>
        <v>4427.04433522715</v>
      </c>
      <c r="L138" s="14" t="n">
        <f aca="false">L137*(1+G138)</f>
        <v>5297.36142795073</v>
      </c>
      <c r="M138" s="14" t="n">
        <f aca="false">H138-H137</f>
        <v>45.1702377708289</v>
      </c>
      <c r="N138" s="14" t="n">
        <f aca="false">I138-I137</f>
        <v>34.3532092709202</v>
      </c>
      <c r="O138" s="14" t="n">
        <f aca="false">J138-J137</f>
        <v>32.7153007475044</v>
      </c>
      <c r="P138" s="14" t="n">
        <f aca="false">K138-K137</f>
        <v>29.7835661830923</v>
      </c>
      <c r="Q138" s="14" t="n">
        <f aca="false">L138-L137</f>
        <v>39.6654016589127</v>
      </c>
    </row>
    <row r="139" customFormat="false" ht="15" hidden="false" customHeight="false" outlineLevel="0" collapsed="false">
      <c r="A139" s="11" t="n">
        <v>46160</v>
      </c>
      <c r="B139" s="12" t="s">
        <v>51</v>
      </c>
      <c r="C139" s="13" t="n">
        <v>0.00369071761063322</v>
      </c>
      <c r="D139" s="13" t="n">
        <v>0.00246454106981724</v>
      </c>
      <c r="E139" s="13" t="n">
        <v>0.00246454106981775</v>
      </c>
      <c r="F139" s="13" t="n">
        <v>0.00622405460232356</v>
      </c>
      <c r="G139" s="13" t="n">
        <v>0.0030765666431718</v>
      </c>
      <c r="H139" s="14" t="n">
        <f aca="false">H138*(1+C139)</f>
        <v>4978.69857910699</v>
      </c>
      <c r="I139" s="14" t="n">
        <f aca="false">I138*(1+D139)</f>
        <v>5711.88792886588</v>
      </c>
      <c r="J139" s="14" t="n">
        <f aca="false">J138*(1+E139)</f>
        <v>5439.55384066752</v>
      </c>
      <c r="K139" s="14" t="n">
        <f aca="false">K138*(1+F139)</f>
        <v>4454.59850089651</v>
      </c>
      <c r="L139" s="14" t="n">
        <f aca="false">L138*(1+G139)</f>
        <v>5313.65911341679</v>
      </c>
      <c r="M139" s="14" t="n">
        <f aca="false">H139-H138</f>
        <v>18.3074030690332</v>
      </c>
      <c r="N139" s="14" t="n">
        <f aca="false">I139-I138</f>
        <v>14.0425738868134</v>
      </c>
      <c r="O139" s="14" t="n">
        <f aca="false">J139-J138</f>
        <v>13.3730454221377</v>
      </c>
      <c r="P139" s="14" t="n">
        <f aca="false">K139-K138</f>
        <v>27.5541656693613</v>
      </c>
      <c r="Q139" s="14" t="n">
        <f aca="false">L139-L138</f>
        <v>16.2976854660583</v>
      </c>
    </row>
    <row r="140" customFormat="false" ht="15" hidden="false" customHeight="false" outlineLevel="0" collapsed="false">
      <c r="A140" s="11" t="n">
        <v>46161</v>
      </c>
      <c r="B140" s="12" t="s">
        <v>52</v>
      </c>
      <c r="C140" s="13" t="n">
        <v>0.0151535205381049</v>
      </c>
      <c r="D140" s="13" t="n">
        <v>0.013754671796219</v>
      </c>
      <c r="E140" s="13" t="n">
        <v>0.013754671796219</v>
      </c>
      <c r="F140" s="13" t="n">
        <v>0.0217495873526399</v>
      </c>
      <c r="G140" s="13" t="n">
        <v>0.0170549443908832</v>
      </c>
      <c r="H140" s="14" t="n">
        <f aca="false">H139*(1+C140)</f>
        <v>5054.14339027853</v>
      </c>
      <c r="I140" s="14" t="n">
        <f aca="false">I139*(1+D140)</f>
        <v>5790.45307266422</v>
      </c>
      <c r="J140" s="14" t="n">
        <f aca="false">J139*(1+E140)</f>
        <v>5514.37311846376</v>
      </c>
      <c r="K140" s="14" t="n">
        <f aca="false">K139*(1+F140)</f>
        <v>4551.4841801127</v>
      </c>
      <c r="L140" s="14" t="n">
        <f aca="false">L139*(1+G140)</f>
        <v>5404.28327410822</v>
      </c>
      <c r="M140" s="14" t="n">
        <f aca="false">H140-H139</f>
        <v>75.4448111715319</v>
      </c>
      <c r="N140" s="14" t="n">
        <f aca="false">I140-I139</f>
        <v>78.5651437983352</v>
      </c>
      <c r="O140" s="14" t="n">
        <f aca="false">J140-J139</f>
        <v>74.819277796244</v>
      </c>
      <c r="P140" s="14" t="n">
        <f aca="false">K140-K139</f>
        <v>96.8856792161878</v>
      </c>
      <c r="Q140" s="14" t="n">
        <f aca="false">L140-L139</f>
        <v>90.6241606914327</v>
      </c>
    </row>
    <row r="141" customFormat="false" ht="15" hidden="false" customHeight="false" outlineLevel="0" collapsed="false">
      <c r="A141" s="11" t="n">
        <v>46162</v>
      </c>
      <c r="B141" s="12" t="s">
        <v>53</v>
      </c>
      <c r="C141" s="13" t="n">
        <v>0.0373547666473166</v>
      </c>
      <c r="D141" s="13" t="n">
        <v>0.0287108072958446</v>
      </c>
      <c r="E141" s="13" t="n">
        <v>0.0287108072958445</v>
      </c>
      <c r="F141" s="13" t="n">
        <v>0.0371737911031059</v>
      </c>
      <c r="G141" s="13" t="n">
        <v>0.0351539700197385</v>
      </c>
      <c r="H141" s="14" t="n">
        <f aca="false">H140*(1+C141)</f>
        <v>5242.93973722446</v>
      </c>
      <c r="I141" s="14" t="n">
        <f aca="false">I140*(1+D141)</f>
        <v>5956.70165498911</v>
      </c>
      <c r="J141" s="14" t="n">
        <f aca="false">J140*(1+E141)</f>
        <v>5672.69522242536</v>
      </c>
      <c r="K141" s="14" t="n">
        <f aca="false">K140*(1+F141)</f>
        <v>4720.6801022333</v>
      </c>
      <c r="L141" s="14" t="n">
        <f aca="false">L140*(1+G141)</f>
        <v>5594.2652863044</v>
      </c>
      <c r="M141" s="14" t="n">
        <f aca="false">H141-H140</f>
        <v>188.796346945932</v>
      </c>
      <c r="N141" s="14" t="n">
        <f aca="false">I141-I140</f>
        <v>166.248582324894</v>
      </c>
      <c r="O141" s="14" t="n">
        <f aca="false">J141-J140</f>
        <v>158.322103961597</v>
      </c>
      <c r="P141" s="14" t="n">
        <f aca="false">K141-K140</f>
        <v>169.195922120601</v>
      </c>
      <c r="Q141" s="14" t="n">
        <f aca="false">L141-L140</f>
        <v>189.982012196175</v>
      </c>
    </row>
    <row r="142" customFormat="false" ht="15" hidden="false" customHeight="false" outlineLevel="0" collapsed="false">
      <c r="A142" s="11" t="n">
        <v>46163</v>
      </c>
      <c r="B142" s="12" t="s">
        <v>47</v>
      </c>
      <c r="C142" s="13" t="n">
        <v>0.0149768899079643</v>
      </c>
      <c r="D142" s="13" t="n">
        <v>0.00919845902185225</v>
      </c>
      <c r="E142" s="13" t="n">
        <v>0.00919845902185212</v>
      </c>
      <c r="F142" s="13" t="n">
        <v>0.0118166621373812</v>
      </c>
      <c r="G142" s="13" t="n">
        <v>0.0115566908978785</v>
      </c>
      <c r="H142" s="14" t="n">
        <f aca="false">H141*(1+C142)</f>
        <v>5321.46266846296</v>
      </c>
      <c r="I142" s="14" t="n">
        <f aca="false">I141*(1+D142)</f>
        <v>6011.49413106793</v>
      </c>
      <c r="J142" s="14" t="n">
        <f aca="false">J141*(1+E142)</f>
        <v>5724.87527697229</v>
      </c>
      <c r="K142" s="14" t="n">
        <f aca="false">K141*(1+F142)</f>
        <v>4776.46278406005</v>
      </c>
      <c r="L142" s="14" t="n">
        <f aca="false">L141*(1+G142)</f>
        <v>5658.91648101895</v>
      </c>
      <c r="M142" s="14" t="n">
        <f aca="false">H142-H141</f>
        <v>78.5229312385018</v>
      </c>
      <c r="N142" s="14" t="n">
        <f aca="false">I142-I141</f>
        <v>54.7924760788173</v>
      </c>
      <c r="O142" s="14" t="n">
        <f aca="false">J142-J141</f>
        <v>52.1800545469359</v>
      </c>
      <c r="P142" s="14" t="n">
        <f aca="false">K142-K141</f>
        <v>55.7826818267495</v>
      </c>
      <c r="Q142" s="14" t="n">
        <f aca="false">L142-L141</f>
        <v>64.6511947145509</v>
      </c>
    </row>
    <row r="143" customFormat="false" ht="15" hidden="false" customHeight="false" outlineLevel="0" collapsed="false">
      <c r="A143" s="11" t="n">
        <v>46164</v>
      </c>
      <c r="B143" s="12" t="s">
        <v>48</v>
      </c>
      <c r="C143" s="13" t="n">
        <v>-0.00650173271161403</v>
      </c>
      <c r="D143" s="13" t="n">
        <v>-0.00400874820969697</v>
      </c>
      <c r="E143" s="13" t="n">
        <v>-0.00400874820969684</v>
      </c>
      <c r="F143" s="13" t="n">
        <v>-0.0147641507550278</v>
      </c>
      <c r="G143" s="13" t="n">
        <v>-0.00625598274750211</v>
      </c>
      <c r="H143" s="14" t="n">
        <f aca="false">H142*(1+C143)</f>
        <v>5286.86394055778</v>
      </c>
      <c r="I143" s="14" t="n">
        <f aca="false">I142*(1+D143)</f>
        <v>5987.39556473241</v>
      </c>
      <c r="J143" s="14" t="n">
        <f aca="false">J142*(1+E143)</f>
        <v>5701.92569345499</v>
      </c>
      <c r="K143" s="14" t="n">
        <f aca="false">K142*(1+F143)</f>
        <v>4705.94236744041</v>
      </c>
      <c r="L143" s="14" t="n">
        <f aca="false">L142*(1+G143)</f>
        <v>5623.51439714414</v>
      </c>
      <c r="M143" s="14" t="n">
        <f aca="false">H143-H142</f>
        <v>-34.5987279051788</v>
      </c>
      <c r="N143" s="14" t="n">
        <f aca="false">I143-I142</f>
        <v>-24.0985663355223</v>
      </c>
      <c r="O143" s="14" t="n">
        <f aca="false">J143-J142</f>
        <v>-22.9495835173002</v>
      </c>
      <c r="P143" s="14" t="n">
        <f aca="false">K143-K142</f>
        <v>-70.5204166196427</v>
      </c>
      <c r="Q143" s="14" t="n">
        <f aca="false">L143-L142</f>
        <v>-35.4020838748102</v>
      </c>
    </row>
    <row r="144" customFormat="false" ht="15" hidden="false" customHeight="false" outlineLevel="0" collapsed="false">
      <c r="A144" s="11" t="n">
        <v>46165</v>
      </c>
      <c r="B144" s="12" t="s">
        <v>49</v>
      </c>
      <c r="C144" s="13" t="n">
        <v>0.0040008381551756</v>
      </c>
      <c r="D144" s="13" t="n">
        <v>0.00356638471159046</v>
      </c>
      <c r="E144" s="13" t="n">
        <v>0.00356638471159059</v>
      </c>
      <c r="F144" s="13" t="n">
        <v>0.00729277909492632</v>
      </c>
      <c r="G144" s="13" t="n">
        <v>0.00430064598281643</v>
      </c>
      <c r="H144" s="14" t="n">
        <f aca="false">H143*(1+C144)</f>
        <v>5308.01582753239</v>
      </c>
      <c r="I144" s="14" t="n">
        <f aca="false">I143*(1+D144)</f>
        <v>6008.74892073671</v>
      </c>
      <c r="J144" s="14" t="n">
        <f aca="false">J143*(1+E144)</f>
        <v>5722.26095407476</v>
      </c>
      <c r="K144" s="14" t="n">
        <f aca="false">K143*(1+F144)</f>
        <v>4740.26176555961</v>
      </c>
      <c r="L144" s="14" t="n">
        <f aca="false">L143*(1+G144)</f>
        <v>5647.69914174552</v>
      </c>
      <c r="M144" s="14" t="n">
        <f aca="false">H144-H143</f>
        <v>21.1518869746051</v>
      </c>
      <c r="N144" s="14" t="n">
        <f aca="false">I144-I143</f>
        <v>21.353356004307</v>
      </c>
      <c r="O144" s="14" t="n">
        <f aca="false">J144-J143</f>
        <v>20.3352606197632</v>
      </c>
      <c r="P144" s="14" t="n">
        <f aca="false">K144-K143</f>
        <v>34.319398119198</v>
      </c>
      <c r="Q144" s="14" t="n">
        <f aca="false">L144-L143</f>
        <v>24.184744601388</v>
      </c>
    </row>
    <row r="145" customFormat="false" ht="15" hidden="false" customHeight="false" outlineLevel="0" collapsed="false">
      <c r="A145" s="11" t="n">
        <v>46166</v>
      </c>
      <c r="B145" s="12" t="s">
        <v>50</v>
      </c>
      <c r="C145" s="13" t="n">
        <v>0.0169028372785808</v>
      </c>
      <c r="D145" s="13" t="n">
        <v>0.0135214165688581</v>
      </c>
      <c r="E145" s="13" t="n">
        <v>0.0135214165688583</v>
      </c>
      <c r="F145" s="13" t="n">
        <v>0.0107877406284066</v>
      </c>
      <c r="G145" s="13" t="n">
        <v>0.0167965381467997</v>
      </c>
      <c r="H145" s="14" t="n">
        <f aca="false">H144*(1+C145)</f>
        <v>5397.7363553373</v>
      </c>
      <c r="I145" s="14" t="n">
        <f aca="false">I144*(1+D145)</f>
        <v>6089.99571795167</v>
      </c>
      <c r="J145" s="14" t="n">
        <f aca="false">J144*(1+E145)</f>
        <v>5799.63402815051</v>
      </c>
      <c r="K145" s="14" t="n">
        <f aca="false">K144*(1+F145)</f>
        <v>4791.39847999722</v>
      </c>
      <c r="L145" s="14" t="n">
        <f aca="false">L144*(1+G145)</f>
        <v>5742.5609358215</v>
      </c>
      <c r="M145" s="14" t="n">
        <f aca="false">H145-H144</f>
        <v>89.7205278049105</v>
      </c>
      <c r="N145" s="14" t="n">
        <f aca="false">I145-I144</f>
        <v>81.246797214957</v>
      </c>
      <c r="O145" s="14" t="n">
        <f aca="false">J145-J144</f>
        <v>77.3730740757583</v>
      </c>
      <c r="P145" s="14" t="n">
        <f aca="false">K145-K144</f>
        <v>51.136714437609</v>
      </c>
      <c r="Q145" s="14" t="n">
        <f aca="false">L145-L144</f>
        <v>94.8617940759777</v>
      </c>
    </row>
    <row r="146" customFormat="false" ht="15" hidden="false" customHeight="false" outlineLevel="0" collapsed="false">
      <c r="A146" s="11" t="n">
        <v>46167</v>
      </c>
      <c r="B146" s="12" t="s">
        <v>51</v>
      </c>
      <c r="C146" s="13" t="n">
        <v>-0.00632016054603246</v>
      </c>
      <c r="D146" s="13" t="n">
        <v>-0.00319299936747169</v>
      </c>
      <c r="E146" s="13" t="n">
        <v>-0.0031929993674715</v>
      </c>
      <c r="F146" s="13" t="n">
        <v>-0.0115247708198494</v>
      </c>
      <c r="G146" s="13" t="n">
        <v>-0.00385751057275285</v>
      </c>
      <c r="H146" s="14" t="n">
        <f aca="false">H145*(1+C146)</f>
        <v>5363.62179498641</v>
      </c>
      <c r="I146" s="14" t="n">
        <f aca="false">I145*(1+D146)</f>
        <v>6070.55036547635</v>
      </c>
      <c r="J146" s="14" t="n">
        <f aca="false">J145*(1+E146)</f>
        <v>5781.11580036706</v>
      </c>
      <c r="K146" s="14" t="n">
        <f aca="false">K145*(1+F146)</f>
        <v>4736.17871060867</v>
      </c>
      <c r="L146" s="14" t="n">
        <f aca="false">L145*(1+G146)</f>
        <v>5720.40894629689</v>
      </c>
      <c r="M146" s="14" t="n">
        <f aca="false">H146-H145</f>
        <v>-34.1145603508876</v>
      </c>
      <c r="N146" s="14" t="n">
        <f aca="false">I146-I145</f>
        <v>-19.4453524753244</v>
      </c>
      <c r="O146" s="14" t="n">
        <f aca="false">J146-J145</f>
        <v>-18.518227783451</v>
      </c>
      <c r="P146" s="14" t="n">
        <f aca="false">K146-K145</f>
        <v>-55.2197693885428</v>
      </c>
      <c r="Q146" s="14" t="n">
        <f aca="false">L146-L145</f>
        <v>-22.1519895246092</v>
      </c>
    </row>
    <row r="147" customFormat="false" ht="15" hidden="false" customHeight="false" outlineLevel="0" collapsed="false">
      <c r="A147" s="11" t="n">
        <v>46168</v>
      </c>
      <c r="B147" s="12" t="s">
        <v>52</v>
      </c>
      <c r="C147" s="13" t="n">
        <v>-0.0189853079572735</v>
      </c>
      <c r="D147" s="13" t="n">
        <v>-0.00994897054749095</v>
      </c>
      <c r="E147" s="13" t="n">
        <v>-0.00994897054749095</v>
      </c>
      <c r="F147" s="13" t="n">
        <v>-0.0227105834374036</v>
      </c>
      <c r="G147" s="13" t="n">
        <v>-0.0123608523648351</v>
      </c>
      <c r="H147" s="14" t="n">
        <f aca="false">H146*(1+C147)</f>
        <v>5261.79178344225</v>
      </c>
      <c r="I147" s="14" t="n">
        <f aca="false">I146*(1+D147)</f>
        <v>6010.15463868316</v>
      </c>
      <c r="J147" s="14" t="n">
        <f aca="false">J146*(1+E147)</f>
        <v>5723.59964953758</v>
      </c>
      <c r="K147" s="14" t="n">
        <f aca="false">K146*(1+F147)</f>
        <v>4628.61732882694</v>
      </c>
      <c r="L147" s="14" t="n">
        <f aca="false">L146*(1+G147)</f>
        <v>5649.69981584523</v>
      </c>
      <c r="M147" s="14" t="n">
        <f aca="false">H147-H146</f>
        <v>-101.830011544161</v>
      </c>
      <c r="N147" s="14" t="n">
        <f aca="false">I147-I146</f>
        <v>-60.3957267931846</v>
      </c>
      <c r="O147" s="14" t="n">
        <f aca="false">J147-J146</f>
        <v>-57.5161508294868</v>
      </c>
      <c r="P147" s="14" t="n">
        <f aca="false">K147-K146</f>
        <v>-107.561381781732</v>
      </c>
      <c r="Q147" s="14" t="n">
        <f aca="false">L147-L146</f>
        <v>-70.709130451658</v>
      </c>
    </row>
    <row r="148" customFormat="false" ht="15" hidden="false" customHeight="false" outlineLevel="0" collapsed="false">
      <c r="A148" s="11" t="n">
        <v>46169</v>
      </c>
      <c r="B148" s="12" t="s">
        <v>53</v>
      </c>
      <c r="C148" s="13" t="n">
        <v>-0.0130568440495738</v>
      </c>
      <c r="D148" s="13" t="n">
        <v>-0.0195067944675574</v>
      </c>
      <c r="E148" s="13" t="n">
        <v>-0.0130980827205758</v>
      </c>
      <c r="F148" s="13" t="n">
        <v>-0.0206601619557537</v>
      </c>
      <c r="G148" s="13" t="n">
        <v>-0.0242879565784128</v>
      </c>
      <c r="H148" s="14" t="n">
        <f aca="false">H147*(1+C148)</f>
        <v>5193.08938870451</v>
      </c>
      <c r="I148" s="14" t="n">
        <f aca="false">I147*(1+D148)</f>
        <v>5892.91578742813</v>
      </c>
      <c r="J148" s="14" t="n">
        <f aca="false">J147*(1+E148)</f>
        <v>5648.63146786848</v>
      </c>
      <c r="K148" s="14" t="n">
        <f aca="false">K147*(1+F148)</f>
        <v>4532.98934518217</v>
      </c>
      <c r="L148" s="14" t="n">
        <f aca="false">L147*(1+G148)</f>
        <v>5512.48015203692</v>
      </c>
      <c r="M148" s="14" t="n">
        <f aca="false">H148-H147</f>
        <v>-68.7023947377338</v>
      </c>
      <c r="N148" s="14" t="n">
        <f aca="false">I148-I147</f>
        <v>-117.23885125503</v>
      </c>
      <c r="O148" s="14" t="n">
        <f aca="false">J148-J147</f>
        <v>-74.9681816691018</v>
      </c>
      <c r="P148" s="14" t="n">
        <f aca="false">K148-K147</f>
        <v>-95.6279836447729</v>
      </c>
      <c r="Q148" s="14" t="n">
        <f aca="false">L148-L147</f>
        <v>-137.219663808316</v>
      </c>
    </row>
    <row r="149" customFormat="false" ht="15" hidden="false" customHeight="false" outlineLevel="0" collapsed="false">
      <c r="A149" s="11" t="n">
        <v>46170</v>
      </c>
      <c r="B149" s="12" t="s">
        <v>47</v>
      </c>
      <c r="C149" s="13" t="n">
        <v>-0.0115995950009328</v>
      </c>
      <c r="D149" s="13" t="n">
        <v>-0.00736733437017785</v>
      </c>
      <c r="E149" s="13" t="n">
        <v>-0.0101587099580804</v>
      </c>
      <c r="F149" s="13" t="n">
        <v>0.00173985313932867</v>
      </c>
      <c r="G149" s="13" t="n">
        <v>-0.00750986774258766</v>
      </c>
      <c r="H149" s="14" t="n">
        <f aca="false">H148*(1+C149)</f>
        <v>5132.8516549919</v>
      </c>
      <c r="I149" s="14" t="n">
        <f aca="false">I148*(1+D149)</f>
        <v>5849.50070640685</v>
      </c>
      <c r="J149" s="14" t="n">
        <f aca="false">J148*(1+E149)</f>
        <v>5591.24865912631</v>
      </c>
      <c r="K149" s="14" t="n">
        <f aca="false">K148*(1+F149)</f>
        <v>4540.87608092493</v>
      </c>
      <c r="L149" s="14" t="n">
        <f aca="false">L148*(1+G149)</f>
        <v>5471.08215516148</v>
      </c>
      <c r="M149" s="14" t="n">
        <f aca="false">H149-H148</f>
        <v>-60.2377337126145</v>
      </c>
      <c r="N149" s="14" t="n">
        <f aca="false">I149-I148</f>
        <v>-43.4150810212832</v>
      </c>
      <c r="O149" s="14" t="n">
        <f aca="false">J149-J148</f>
        <v>-57.3828087421616</v>
      </c>
      <c r="P149" s="14" t="n">
        <f aca="false">K149-K148</f>
        <v>7.8867357427589</v>
      </c>
      <c r="Q149" s="14" t="n">
        <f aca="false">L149-L148</f>
        <v>-41.3979968754366</v>
      </c>
    </row>
    <row r="150" customFormat="false" ht="15" hidden="false" customHeight="false" outlineLevel="0" collapsed="false">
      <c r="A150" s="11" t="n">
        <v>46171</v>
      </c>
      <c r="B150" s="12" t="s">
        <v>48</v>
      </c>
      <c r="C150" s="13" t="n">
        <v>0.0162944789101996</v>
      </c>
      <c r="D150" s="13" t="n">
        <v>0.0156820800376421</v>
      </c>
      <c r="E150" s="13" t="n">
        <v>0.0155586208196549</v>
      </c>
      <c r="F150" s="13" t="n">
        <v>0.014672237561268</v>
      </c>
      <c r="G150" s="13" t="n">
        <v>0.0213948656245605</v>
      </c>
      <c r="H150" s="14" t="n">
        <f aca="false">H149*(1+C150)</f>
        <v>5216.48879803335</v>
      </c>
      <c r="I150" s="14" t="n">
        <f aca="false">I149*(1+D150)</f>
        <v>5941.23304466496</v>
      </c>
      <c r="J150" s="14" t="n">
        <f aca="false">J149*(1+E150)</f>
        <v>5678.24077692206</v>
      </c>
      <c r="K150" s="14" t="n">
        <f aca="false">K149*(1+F150)</f>
        <v>4607.50089352054</v>
      </c>
      <c r="L150" s="14" t="n">
        <f aca="false">L149*(1+G150)</f>
        <v>5588.13522269209</v>
      </c>
      <c r="M150" s="14" t="n">
        <f aca="false">H150-H149</f>
        <v>83.6371430414492</v>
      </c>
      <c r="N150" s="14" t="n">
        <f aca="false">I150-I149</f>
        <v>91.7323382581162</v>
      </c>
      <c r="O150" s="14" t="n">
        <f aca="false">J150-J149</f>
        <v>86.9921177957504</v>
      </c>
      <c r="P150" s="14" t="n">
        <f aca="false">K150-K149</f>
        <v>66.6248125956099</v>
      </c>
      <c r="Q150" s="14" t="n">
        <f aca="false">L150-L149</f>
        <v>117.05306753061</v>
      </c>
    </row>
    <row r="151" customFormat="false" ht="15" hidden="false" customHeight="false" outlineLevel="0" collapsed="false">
      <c r="A151" s="11" t="n">
        <v>46172</v>
      </c>
      <c r="B151" s="12" t="s">
        <v>49</v>
      </c>
      <c r="C151" s="13" t="n">
        <v>0.0110794152923285</v>
      </c>
      <c r="D151" s="13" t="n">
        <v>0.0130132934715613</v>
      </c>
      <c r="E151" s="13" t="n">
        <v>0.0126563875520078</v>
      </c>
      <c r="F151" s="13" t="n">
        <v>-0.000265255850785517</v>
      </c>
      <c r="G151" s="13" t="n">
        <v>0.0161967550689059</v>
      </c>
      <c r="H151" s="14" t="n">
        <f aca="false">H150*(1+C151)</f>
        <v>5274.28444379454</v>
      </c>
      <c r="I151" s="14" t="n">
        <f aca="false">I150*(1+D151)</f>
        <v>6018.54805385813</v>
      </c>
      <c r="J151" s="14" t="n">
        <f aca="false">J150*(1+E151)</f>
        <v>5750.1067928084</v>
      </c>
      <c r="K151" s="14" t="n">
        <f aca="false">K150*(1+F151)</f>
        <v>4606.27872695103</v>
      </c>
      <c r="L151" s="14" t="n">
        <f aca="false">L150*(1+G151)</f>
        <v>5678.64488018596</v>
      </c>
      <c r="M151" s="14" t="n">
        <f aca="false">H151-H150</f>
        <v>57.7956457611917</v>
      </c>
      <c r="N151" s="14" t="n">
        <f aca="false">I151-I150</f>
        <v>77.315009193162</v>
      </c>
      <c r="O151" s="14" t="n">
        <f aca="false">J151-J150</f>
        <v>71.8660158863395</v>
      </c>
      <c r="P151" s="14" t="n">
        <f aca="false">K151-K150</f>
        <v>-1.22216656950604</v>
      </c>
      <c r="Q151" s="14" t="n">
        <f aca="false">L151-L150</f>
        <v>90.5096574938698</v>
      </c>
    </row>
    <row r="152" customFormat="false" ht="15" hidden="false" customHeight="false" outlineLevel="0" collapsed="false">
      <c r="A152" s="11" t="n">
        <v>46173</v>
      </c>
      <c r="B152" s="12" t="s">
        <v>50</v>
      </c>
      <c r="C152" s="13" t="n">
        <v>0.0407640638108581</v>
      </c>
      <c r="D152" s="13" t="n">
        <v>0.0342200923022519</v>
      </c>
      <c r="E152" s="13" t="n">
        <v>0.0336238155386076</v>
      </c>
      <c r="F152" s="13" t="n">
        <v>0.0420361301574317</v>
      </c>
      <c r="G152" s="13" t="n">
        <v>0.0417279645508653</v>
      </c>
      <c r="H152" s="14" t="n">
        <f aca="false">H151*(1+C152)</f>
        <v>5489.285711418</v>
      </c>
      <c r="I152" s="14" t="n">
        <f aca="false">I151*(1+D152)</f>
        <v>6224.50332378669</v>
      </c>
      <c r="J152" s="14" t="n">
        <f aca="false">J151*(1+E152)</f>
        <v>5943.44732293709</v>
      </c>
      <c r="K152" s="14" t="n">
        <f aca="false">K151*(1+F152)</f>
        <v>4799.90885905855</v>
      </c>
      <c r="L152" s="14" t="n">
        <f aca="false">L151*(1+G152)</f>
        <v>5915.60317244331</v>
      </c>
      <c r="M152" s="14" t="n">
        <f aca="false">H152-H151</f>
        <v>215.001267623456</v>
      </c>
      <c r="N152" s="14" t="n">
        <f aca="false">I152-I151</f>
        <v>205.955269928564</v>
      </c>
      <c r="O152" s="14" t="n">
        <f aca="false">J152-J151</f>
        <v>193.340530128684</v>
      </c>
      <c r="P152" s="14" t="n">
        <f aca="false">K152-K151</f>
        <v>193.630132107523</v>
      </c>
      <c r="Q152" s="14" t="n">
        <f aca="false">L152-L151</f>
        <v>236.958292257352</v>
      </c>
    </row>
    <row r="153" customFormat="false" ht="15" hidden="false" customHeight="false" outlineLevel="0" collapsed="false">
      <c r="A153" s="11" t="n">
        <v>46174</v>
      </c>
      <c r="B153" s="12" t="s">
        <v>51</v>
      </c>
      <c r="C153" s="13" t="n">
        <v>-0.0141134407310333</v>
      </c>
      <c r="D153" s="13" t="n">
        <v>-0.0143134507768559</v>
      </c>
      <c r="E153" s="13" t="n">
        <v>-0.0132942971881415</v>
      </c>
      <c r="F153" s="13" t="n">
        <v>-0.0273980576083593</v>
      </c>
      <c r="G153" s="13" t="n">
        <v>-0.0177675871258943</v>
      </c>
      <c r="H153" s="14" t="n">
        <f aca="false">H152*(1+C153)</f>
        <v>5411.81300287419</v>
      </c>
      <c r="I153" s="14" t="n">
        <f aca="false">I152*(1+D153)</f>
        <v>6135.40920185129</v>
      </c>
      <c r="J153" s="14" t="n">
        <f aca="false">J152*(1+E153)</f>
        <v>5864.4333679039</v>
      </c>
      <c r="K153" s="14" t="n">
        <f aca="false">K152*(1+F153)</f>
        <v>4668.40067962319</v>
      </c>
      <c r="L153" s="14" t="n">
        <f aca="false">L152*(1+G153)</f>
        <v>5810.49717767471</v>
      </c>
      <c r="M153" s="14" t="n">
        <f aca="false">H153-H152</f>
        <v>-77.4727085438053</v>
      </c>
      <c r="N153" s="14" t="n">
        <f aca="false">I153-I152</f>
        <v>-89.0941219353963</v>
      </c>
      <c r="O153" s="14" t="n">
        <f aca="false">J153-J152</f>
        <v>-79.0139550331896</v>
      </c>
      <c r="P153" s="14" t="n">
        <f aca="false">K153-K152</f>
        <v>-131.50817943536</v>
      </c>
      <c r="Q153" s="14" t="n">
        <f aca="false">L153-L152</f>
        <v>-105.105994768603</v>
      </c>
    </row>
    <row r="154" customFormat="false" ht="15" hidden="false" customHeight="false" outlineLevel="0" collapsed="false">
      <c r="A154" s="11" t="n">
        <v>46175</v>
      </c>
      <c r="B154" s="12" t="s">
        <v>52</v>
      </c>
      <c r="C154" s="13" t="n">
        <v>0.00271472038460163</v>
      </c>
      <c r="D154" s="13" t="n">
        <v>0.0352736801614869</v>
      </c>
      <c r="E154" s="13" t="n">
        <v>0.00706582613283401</v>
      </c>
      <c r="F154" s="13" t="n">
        <v>0.00163352187074622</v>
      </c>
      <c r="G154" s="13" t="n">
        <v>0.042073607740501</v>
      </c>
      <c r="H154" s="14" t="n">
        <f aca="false">H153*(1+C154)</f>
        <v>5426.50456195075</v>
      </c>
      <c r="I154" s="14" t="n">
        <f aca="false">I153*(1+D154)</f>
        <v>6351.82766369724</v>
      </c>
      <c r="J154" s="14" t="n">
        <f aca="false">J153*(1+E154)</f>
        <v>5905.8704344491</v>
      </c>
      <c r="K154" s="14" t="n">
        <f aca="false">K153*(1+F154)</f>
        <v>4676.02661423477</v>
      </c>
      <c r="L154" s="14" t="n">
        <f aca="false">L153*(1+G154)</f>
        <v>6054.96575670548</v>
      </c>
      <c r="M154" s="14" t="n">
        <f aca="false">H154-H153</f>
        <v>14.6915590765548</v>
      </c>
      <c r="N154" s="14" t="n">
        <f aca="false">I154-I153</f>
        <v>216.418461845947</v>
      </c>
      <c r="O154" s="14" t="n">
        <f aca="false">J154-J153</f>
        <v>41.4370665451988</v>
      </c>
      <c r="P154" s="14" t="n">
        <f aca="false">K154-K153</f>
        <v>7.62593461157121</v>
      </c>
      <c r="Q154" s="14" t="n">
        <f aca="false">L154-L153</f>
        <v>244.468579030773</v>
      </c>
    </row>
    <row r="155" customFormat="false" ht="15" hidden="false" customHeight="false" outlineLevel="0" collapsed="false">
      <c r="A155" s="11" t="n">
        <v>46176</v>
      </c>
      <c r="B155" s="12" t="s">
        <v>53</v>
      </c>
      <c r="C155" s="13" t="n">
        <v>0.0156211887278035</v>
      </c>
      <c r="D155" s="13" t="n">
        <v>0.0238296928974355</v>
      </c>
      <c r="E155" s="13" t="n">
        <v>0.0247421317092107</v>
      </c>
      <c r="F155" s="13" t="n">
        <v>0.0252494835410949</v>
      </c>
      <c r="G155" s="13" t="n">
        <v>0.0306156463424955</v>
      </c>
      <c r="H155" s="14" t="n">
        <f aca="false">H154*(1+C155)</f>
        <v>5511.27301384526</v>
      </c>
      <c r="I155" s="14" t="n">
        <f aca="false">I154*(1+D155)</f>
        <v>6503.18976626058</v>
      </c>
      <c r="J155" s="14" t="n">
        <f aca="false">J154*(1+E155)</f>
        <v>6051.99425859577</v>
      </c>
      <c r="K155" s="14" t="n">
        <f aca="false">K154*(1+F155)</f>
        <v>4794.09387126861</v>
      </c>
      <c r="L155" s="14" t="n">
        <f aca="false">L154*(1+G155)</f>
        <v>6240.3424469287</v>
      </c>
      <c r="M155" s="14" t="n">
        <f aca="false">H155-H154</f>
        <v>84.7684518945189</v>
      </c>
      <c r="N155" s="14" t="n">
        <f aca="false">I155-I154</f>
        <v>151.362102563341</v>
      </c>
      <c r="O155" s="14" t="n">
        <f aca="false">J155-J154</f>
        <v>146.123824146673</v>
      </c>
      <c r="P155" s="14" t="n">
        <f aca="false">K155-K154</f>
        <v>118.067257033843</v>
      </c>
      <c r="Q155" s="14" t="n">
        <f aca="false">L155-L154</f>
        <v>185.376690223215</v>
      </c>
    </row>
    <row r="156" customFormat="false" ht="15" hidden="false" customHeight="false" outlineLevel="0" collapsed="false">
      <c r="A156" s="11" t="n">
        <v>46177</v>
      </c>
      <c r="B156" s="12" t="s">
        <v>47</v>
      </c>
      <c r="C156" s="13" t="n">
        <v>0.0204467429775195</v>
      </c>
      <c r="D156" s="13" t="n">
        <v>0.0153418152850298</v>
      </c>
      <c r="E156" s="13" t="n">
        <v>0.0162088527664461</v>
      </c>
      <c r="F156" s="13" t="n">
        <v>0.00581870517909655</v>
      </c>
      <c r="G156" s="13" t="n">
        <v>0.0192345347608188</v>
      </c>
      <c r="H156" s="14" t="n">
        <f aca="false">H155*(1+C156)</f>
        <v>5623.9605966383</v>
      </c>
      <c r="I156" s="14" t="n">
        <f aca="false">I155*(1+D156)</f>
        <v>6602.96050241805</v>
      </c>
      <c r="J156" s="14" t="n">
        <f aca="false">J155*(1+E156)</f>
        <v>6150.09014247673</v>
      </c>
      <c r="K156" s="14" t="n">
        <f aca="false">K155*(1+F156)</f>
        <v>4821.98929010643</v>
      </c>
      <c r="L156" s="14" t="n">
        <f aca="false">L155*(1+G156)</f>
        <v>6360.37253064356</v>
      </c>
      <c r="M156" s="14" t="n">
        <f aca="false">H156-H155</f>
        <v>112.687582793033</v>
      </c>
      <c r="N156" s="14" t="n">
        <f aca="false">I156-I155</f>
        <v>99.7707361574658</v>
      </c>
      <c r="O156" s="14" t="n">
        <f aca="false">J156-J155</f>
        <v>98.0958838809565</v>
      </c>
      <c r="P156" s="14" t="n">
        <f aca="false">K156-K155</f>
        <v>27.8954188378257</v>
      </c>
      <c r="Q156" s="14" t="n">
        <f aca="false">L156-L155</f>
        <v>120.030083714862</v>
      </c>
    </row>
    <row r="157" customFormat="false" ht="15" hidden="false" customHeight="false" outlineLevel="0" collapsed="false">
      <c r="A157" s="11" t="n">
        <v>46178</v>
      </c>
      <c r="B157" s="12" t="s">
        <v>48</v>
      </c>
      <c r="C157" s="13" t="n">
        <v>-0.0289865245267167</v>
      </c>
      <c r="D157" s="13" t="n">
        <v>-0.0273139985231326</v>
      </c>
      <c r="E157" s="13" t="n">
        <v>-0.0239613063157939</v>
      </c>
      <c r="F157" s="13" t="n">
        <v>-0.0220198201180563</v>
      </c>
      <c r="G157" s="13" t="n">
        <v>-0.0336167952144506</v>
      </c>
      <c r="H157" s="14" t="n">
        <f aca="false">H156*(1+C157)</f>
        <v>5460.94152486655</v>
      </c>
      <c r="I157" s="14" t="n">
        <f aca="false">I156*(1+D157)</f>
        <v>6422.6072490067</v>
      </c>
      <c r="J157" s="14" t="n">
        <f aca="false">J156*(1+E157)</f>
        <v>6002.7259487031</v>
      </c>
      <c r="K157" s="14" t="n">
        <f aca="false">K156*(1+F157)</f>
        <v>4715.8099533271</v>
      </c>
      <c r="L157" s="14" t="n">
        <f aca="false">L156*(1+G157)</f>
        <v>6146.5571897933</v>
      </c>
      <c r="M157" s="14" t="n">
        <f aca="false">H157-H156</f>
        <v>-163.019071771744</v>
      </c>
      <c r="N157" s="14" t="n">
        <f aca="false">I157-I156</f>
        <v>-180.353253411349</v>
      </c>
      <c r="O157" s="14" t="n">
        <f aca="false">J157-J156</f>
        <v>-147.364193773629</v>
      </c>
      <c r="P157" s="14" t="n">
        <f aca="false">K157-K156</f>
        <v>-106.179336779337</v>
      </c>
      <c r="Q157" s="14" t="n">
        <f aca="false">L157-L156</f>
        <v>-213.815340850261</v>
      </c>
    </row>
    <row r="158" customFormat="false" ht="15" hidden="false" customHeight="false" outlineLevel="0" collapsed="false">
      <c r="A158" s="11" t="n">
        <v>46179</v>
      </c>
      <c r="B158" s="12" t="s">
        <v>49</v>
      </c>
      <c r="C158" s="13" t="n">
        <v>0.0441757272052017</v>
      </c>
      <c r="D158" s="13" t="n">
        <v>0.0380635497717544</v>
      </c>
      <c r="E158" s="13" t="n">
        <v>0.0353448233062537</v>
      </c>
      <c r="F158" s="13" t="n">
        <v>0.0453805972053294</v>
      </c>
      <c r="G158" s="13" t="n">
        <v>0.0477249822424269</v>
      </c>
      <c r="H158" s="14" t="n">
        <f aca="false">H157*(1+C158)</f>
        <v>5702.18258795262</v>
      </c>
      <c r="I158" s="14" t="n">
        <f aca="false">I157*(1+D158)</f>
        <v>6667.0744796937</v>
      </c>
      <c r="J158" s="14" t="n">
        <f aca="false">J157*(1+E158)</f>
        <v>6214.89123671587</v>
      </c>
      <c r="K158" s="14" t="n">
        <f aca="false">K157*(1+F158)</f>
        <v>4929.81622531592</v>
      </c>
      <c r="L158" s="14" t="n">
        <f aca="false">L157*(1+G158)</f>
        <v>6439.90152252825</v>
      </c>
      <c r="M158" s="14" t="n">
        <f aca="false">H158-H157</f>
        <v>241.241063086063</v>
      </c>
      <c r="N158" s="14" t="n">
        <f aca="false">I158-I157</f>
        <v>244.467230686998</v>
      </c>
      <c r="O158" s="14" t="n">
        <f aca="false">J158-J157</f>
        <v>212.165288012775</v>
      </c>
      <c r="P158" s="14" t="n">
        <f aca="false">K158-K157</f>
        <v>214.00627198882</v>
      </c>
      <c r="Q158" s="14" t="n">
        <f aca="false">L158-L157</f>
        <v>293.344332734948</v>
      </c>
    </row>
    <row r="159" customFormat="false" ht="15" hidden="false" customHeight="false" outlineLevel="0" collapsed="false">
      <c r="A159" s="11" t="n">
        <v>46180</v>
      </c>
      <c r="B159" s="12" t="s">
        <v>50</v>
      </c>
      <c r="C159" s="13" t="n">
        <v>-0.0150329716182089</v>
      </c>
      <c r="D159" s="13" t="n">
        <v>-0.00545977609940721</v>
      </c>
      <c r="E159" s="13" t="n">
        <v>-0.00643579491695792</v>
      </c>
      <c r="F159" s="13" t="n">
        <v>-0.0188179698387662</v>
      </c>
      <c r="G159" s="13" t="n">
        <v>-0.00692660472959156</v>
      </c>
      <c r="H159" s="14" t="n">
        <f aca="false">H158*(1+C159)</f>
        <v>5616.46183894608</v>
      </c>
      <c r="I159" s="14" t="n">
        <f aca="false">I158*(1+D159)</f>
        <v>6630.6737457965</v>
      </c>
      <c r="J159" s="14" t="n">
        <f aca="false">J158*(1+E159)</f>
        <v>6174.89347128517</v>
      </c>
      <c r="K159" s="14" t="n">
        <f aca="false">K158*(1+F159)</f>
        <v>4837.04709227726</v>
      </c>
      <c r="L159" s="14" t="n">
        <f aca="false">L158*(1+G159)</f>
        <v>6395.2948701842</v>
      </c>
      <c r="M159" s="14" t="n">
        <f aca="false">H159-H158</f>
        <v>-85.7207490065366</v>
      </c>
      <c r="N159" s="14" t="n">
        <f aca="false">I159-I158</f>
        <v>-36.4007338971987</v>
      </c>
      <c r="O159" s="14" t="n">
        <f aca="false">J159-J158</f>
        <v>-39.9977654307022</v>
      </c>
      <c r="P159" s="14" t="n">
        <f aca="false">K159-K158</f>
        <v>-92.7691330386551</v>
      </c>
      <c r="Q159" s="14" t="n">
        <f aca="false">L159-L158</f>
        <v>-44.6066523440477</v>
      </c>
    </row>
    <row r="160" customFormat="false" ht="15" hidden="false" customHeight="false" outlineLevel="0" collapsed="false">
      <c r="A160" s="11" t="n">
        <v>46181</v>
      </c>
      <c r="B160" s="12" t="s">
        <v>51</v>
      </c>
      <c r="C160" s="13" t="n">
        <v>-0.0272483198034849</v>
      </c>
      <c r="D160" s="13" t="n">
        <v>-0.0318170608354694</v>
      </c>
      <c r="E160" s="13" t="n">
        <v>-0.0193011202711689</v>
      </c>
      <c r="F160" s="13" t="n">
        <v>-0.0274559296857033</v>
      </c>
      <c r="G160" s="13" t="n">
        <v>-0.0397414895705563</v>
      </c>
      <c r="H160" s="14" t="n">
        <f aca="false">H159*(1+C160)</f>
        <v>5463.42269059441</v>
      </c>
      <c r="I160" s="14" t="n">
        <f aca="false">I159*(1+D160)</f>
        <v>6419.70519584634</v>
      </c>
      <c r="J160" s="14" t="n">
        <f aca="false">J159*(1+E160)</f>
        <v>6055.71110973424</v>
      </c>
      <c r="K160" s="14" t="n">
        <f aca="false">K159*(1+F160)</f>
        <v>4704.24146742526</v>
      </c>
      <c r="L160" s="14" t="n">
        <f aca="false">L159*(1+G160)</f>
        <v>6141.13632580014</v>
      </c>
      <c r="M160" s="14" t="n">
        <f aca="false">H160-H159</f>
        <v>-153.039148351671</v>
      </c>
      <c r="N160" s="14" t="n">
        <f aca="false">I160-I159</f>
        <v>-210.968549950157</v>
      </c>
      <c r="O160" s="14" t="n">
        <f aca="false">J160-J159</f>
        <v>-119.182361550931</v>
      </c>
      <c r="P160" s="14" t="n">
        <f aca="false">K160-K159</f>
        <v>-132.805624852001</v>
      </c>
      <c r="Q160" s="14" t="n">
        <f aca="false">L160-L159</f>
        <v>-254.158544384058</v>
      </c>
    </row>
    <row r="161" customFormat="false" ht="15" hidden="false" customHeight="false" outlineLevel="0" collapsed="false">
      <c r="A161" s="11" t="n">
        <v>46182</v>
      </c>
      <c r="B161" s="12" t="s">
        <v>52</v>
      </c>
      <c r="C161" s="13" t="n">
        <v>-0.00670961332047115</v>
      </c>
      <c r="D161" s="13" t="n">
        <v>-0.00335431143895067</v>
      </c>
      <c r="E161" s="13" t="n">
        <v>-0.00437300813575192</v>
      </c>
      <c r="F161" s="13" t="n">
        <v>-0.0112807754311775</v>
      </c>
      <c r="G161" s="13" t="n">
        <v>-0.00309489527773188</v>
      </c>
      <c r="H161" s="14" t="n">
        <f aca="false">H160*(1+C161)</f>
        <v>5426.76523693423</v>
      </c>
      <c r="I161" s="14" t="n">
        <f aca="false">I160*(1+D161)</f>
        <v>6398.17150527322</v>
      </c>
      <c r="J161" s="14" t="n">
        <f aca="false">J160*(1+E161)</f>
        <v>6029.22943578361</v>
      </c>
      <c r="K161" s="14" t="n">
        <f aca="false">K160*(1+F161)</f>
        <v>4651.1739758572</v>
      </c>
      <c r="L161" s="14" t="n">
        <f aca="false">L160*(1+G161)</f>
        <v>6122.13015198552</v>
      </c>
      <c r="M161" s="14" t="n">
        <f aca="false">H161-H160</f>
        <v>-36.6574536601765</v>
      </c>
      <c r="N161" s="14" t="n">
        <f aca="false">I161-I160</f>
        <v>-21.5336905731183</v>
      </c>
      <c r="O161" s="14" t="n">
        <f aca="false">J161-J160</f>
        <v>-26.4816739506314</v>
      </c>
      <c r="P161" s="14" t="n">
        <f aca="false">K161-K160</f>
        <v>-53.0674915680575</v>
      </c>
      <c r="Q161" s="14" t="n">
        <f aca="false">L161-L160</f>
        <v>-19.0061738146269</v>
      </c>
    </row>
    <row r="162" customFormat="false" ht="15" hidden="false" customHeight="false" outlineLevel="0" collapsed="false">
      <c r="A162" s="11" t="n">
        <v>46183</v>
      </c>
      <c r="B162" s="12" t="s">
        <v>53</v>
      </c>
      <c r="C162" s="13" t="n">
        <v>-0.00466634938823735</v>
      </c>
      <c r="D162" s="13" t="n">
        <v>-0.00265258662617381</v>
      </c>
      <c r="E162" s="13" t="n">
        <v>-0.00162385450407509</v>
      </c>
      <c r="F162" s="13" t="n">
        <v>-0.00435001788162359</v>
      </c>
      <c r="G162" s="13" t="n">
        <v>-0.00223624101708364</v>
      </c>
      <c r="H162" s="14" t="n">
        <f aca="false">H161*(1+C162)</f>
        <v>5401.44205429076</v>
      </c>
      <c r="I162" s="14" t="n">
        <f aca="false">I161*(1+D162)</f>
        <v>6381.19980110637</v>
      </c>
      <c r="J162" s="14" t="n">
        <f aca="false">J161*(1+E162)</f>
        <v>6019.43884440821</v>
      </c>
      <c r="K162" s="14" t="n">
        <f aca="false">K161*(1+F162)</f>
        <v>4630.94128589168</v>
      </c>
      <c r="L162" s="14" t="n">
        <f aca="false">L161*(1+G162)</f>
        <v>6108.43959342772</v>
      </c>
      <c r="M162" s="14" t="n">
        <f aca="false">H162-H161</f>
        <v>-25.3231826434758</v>
      </c>
      <c r="N162" s="14" t="n">
        <f aca="false">I162-I161</f>
        <v>-16.9717041668546</v>
      </c>
      <c r="O162" s="14" t="n">
        <f aca="false">J162-J161</f>
        <v>-9.79059137539935</v>
      </c>
      <c r="P162" s="14" t="n">
        <f aca="false">K162-K161</f>
        <v>-20.2326899655209</v>
      </c>
      <c r="Q162" s="14" t="n">
        <f aca="false">L162-L161</f>
        <v>-13.6905585577942</v>
      </c>
    </row>
    <row r="163" customFormat="false" ht="15" hidden="false" customHeight="false" outlineLevel="0" collapsed="false">
      <c r="A163" s="11" t="n">
        <v>46184</v>
      </c>
      <c r="B163" s="12" t="s">
        <v>47</v>
      </c>
      <c r="C163" s="13" t="n">
        <v>-0.00479066446763332</v>
      </c>
      <c r="D163" s="13" t="n">
        <v>0.0132770453163864</v>
      </c>
      <c r="E163" s="13" t="n">
        <v>0.00715292410964268</v>
      </c>
      <c r="F163" s="13" t="n">
        <v>-0.000137977181585314</v>
      </c>
      <c r="G163" s="13" t="n">
        <v>0.0149133390214</v>
      </c>
      <c r="H163" s="14" t="n">
        <f aca="false">H162*(1+C163)</f>
        <v>5375.56555776729</v>
      </c>
      <c r="I163" s="14" t="n">
        <f aca="false">I162*(1+D163)</f>
        <v>6465.92328003857</v>
      </c>
      <c r="J163" s="14" t="n">
        <f aca="false">J162*(1+E163)</f>
        <v>6062.49543364489</v>
      </c>
      <c r="K163" s="14" t="n">
        <f aca="false">K162*(1+F163)</f>
        <v>4630.30232166497</v>
      </c>
      <c r="L163" s="14" t="n">
        <f aca="false">L162*(1+G163)</f>
        <v>6199.53682397625</v>
      </c>
      <c r="M163" s="14" t="n">
        <f aca="false">H163-H162</f>
        <v>-25.8764965234714</v>
      </c>
      <c r="N163" s="14" t="n">
        <f aca="false">I163-I162</f>
        <v>84.7234789322056</v>
      </c>
      <c r="O163" s="14" t="n">
        <f aca="false">J163-J162</f>
        <v>43.0565892366867</v>
      </c>
      <c r="P163" s="14" t="n">
        <f aca="false">K163-K162</f>
        <v>-0.638964226714052</v>
      </c>
      <c r="Q163" s="14" t="n">
        <f aca="false">L163-L162</f>
        <v>91.0972305485302</v>
      </c>
    </row>
    <row r="164" customFormat="false" ht="15" hidden="false" customHeight="false" outlineLevel="0" collapsed="false">
      <c r="A164" s="11" t="n">
        <v>46185</v>
      </c>
      <c r="B164" s="12" t="s">
        <v>48</v>
      </c>
      <c r="C164" s="13" t="n">
        <v>0.00189394919023911</v>
      </c>
      <c r="D164" s="13" t="n">
        <v>0.0117502875992943</v>
      </c>
      <c r="E164" s="13" t="n">
        <v>0.0101357761666019</v>
      </c>
      <c r="F164" s="13" t="n">
        <v>0.00452446435563703</v>
      </c>
      <c r="G164" s="13" t="n">
        <v>0.0148228937461525</v>
      </c>
      <c r="H164" s="14" t="n">
        <f aca="false">H163*(1+C164)</f>
        <v>5385.7466058025</v>
      </c>
      <c r="I164" s="14" t="n">
        <f aca="false">I163*(1+D164)</f>
        <v>6541.899738174</v>
      </c>
      <c r="J164" s="14" t="n">
        <f aca="false">J163*(1+E164)</f>
        <v>6123.94353037136</v>
      </c>
      <c r="K164" s="14" t="n">
        <f aca="false">K163*(1+F164)</f>
        <v>4651.25195947517</v>
      </c>
      <c r="L164" s="14" t="n">
        <f aca="false">L163*(1+G164)</f>
        <v>6291.43189959341</v>
      </c>
      <c r="M164" s="14" t="n">
        <f aca="false">H164-H163</f>
        <v>10.1810480352096</v>
      </c>
      <c r="N164" s="14" t="n">
        <f aca="false">I164-I163</f>
        <v>75.9764581354257</v>
      </c>
      <c r="O164" s="14" t="n">
        <f aca="false">J164-J163</f>
        <v>61.4480967264708</v>
      </c>
      <c r="P164" s="14" t="n">
        <f aca="false">K164-K163</f>
        <v>20.9496378101967</v>
      </c>
      <c r="Q164" s="14" t="n">
        <f aca="false">L164-L163</f>
        <v>91.8950756171598</v>
      </c>
    </row>
    <row r="165" customFormat="false" ht="15" hidden="false" customHeight="false" outlineLevel="0" collapsed="false">
      <c r="A165" s="11" t="n">
        <v>46186</v>
      </c>
      <c r="B165" s="12" t="s">
        <v>49</v>
      </c>
      <c r="C165" s="13" t="n">
        <v>-0.0118672925036896</v>
      </c>
      <c r="D165" s="13" t="n">
        <v>-0.0105633982134545</v>
      </c>
      <c r="E165" s="13" t="n">
        <v>-0.00940998267840651</v>
      </c>
      <c r="F165" s="13" t="n">
        <v>-0.0145900253975304</v>
      </c>
      <c r="G165" s="13" t="n">
        <v>-0.0132549551626096</v>
      </c>
      <c r="H165" s="14" t="n">
        <f aca="false">H164*(1+C165)</f>
        <v>5321.83237548068</v>
      </c>
      <c r="I165" s="14" t="n">
        <f aca="false">I164*(1+D165)</f>
        <v>6472.79504616717</v>
      </c>
      <c r="J165" s="14" t="n">
        <f aca="false">J164*(1+E165)</f>
        <v>6066.31732782703</v>
      </c>
      <c r="K165" s="14" t="n">
        <f aca="false">K164*(1+F165)</f>
        <v>4583.39007525611</v>
      </c>
      <c r="L165" s="14" t="n">
        <f aca="false">L164*(1+G165)</f>
        <v>6208.03925185569</v>
      </c>
      <c r="M165" s="14" t="n">
        <f aca="false">H165-H164</f>
        <v>-63.9142303218114</v>
      </c>
      <c r="N165" s="14" t="n">
        <f aca="false">I165-I164</f>
        <v>-69.1046920068256</v>
      </c>
      <c r="O165" s="14" t="n">
        <f aca="false">J165-J164</f>
        <v>-57.6262025443339</v>
      </c>
      <c r="P165" s="14" t="n">
        <f aca="false">K165-K164</f>
        <v>-67.8618842190554</v>
      </c>
      <c r="Q165" s="14" t="n">
        <f aca="false">L165-L164</f>
        <v>-83.3926477377218</v>
      </c>
    </row>
    <row r="166" customFormat="false" ht="15" hidden="false" customHeight="false" outlineLevel="0" collapsed="false">
      <c r="A166" s="11" t="n">
        <v>46187</v>
      </c>
      <c r="B166" s="12" t="s">
        <v>50</v>
      </c>
      <c r="C166" s="13" t="n">
        <v>0.0270449160329295</v>
      </c>
      <c r="D166" s="13" t="n">
        <v>0.0233767274366704</v>
      </c>
      <c r="E166" s="13" t="n">
        <v>0.0251606794474221</v>
      </c>
      <c r="F166" s="13" t="n">
        <v>0.0206947355471551</v>
      </c>
      <c r="G166" s="13" t="n">
        <v>0.0290629668366761</v>
      </c>
      <c r="H166" s="14" t="n">
        <f aca="false">H165*(1+C166)</f>
        <v>5465.76088521688</v>
      </c>
      <c r="I166" s="14" t="n">
        <f aca="false">I165*(1+D166)</f>
        <v>6624.10781171485</v>
      </c>
      <c r="J166" s="14" t="n">
        <f aca="false">J165*(1+E166)</f>
        <v>6218.94999353883</v>
      </c>
      <c r="K166" s="14" t="n">
        <f aca="false">K165*(1+F166)</f>
        <v>4678.24212077299</v>
      </c>
      <c r="L166" s="14" t="n">
        <f aca="false">L165*(1+G166)</f>
        <v>6388.46329075316</v>
      </c>
      <c r="M166" s="14" t="n">
        <f aca="false">H166-H165</f>
        <v>143.928509736201</v>
      </c>
      <c r="N166" s="14" t="n">
        <f aca="false">I166-I165</f>
        <v>151.312765547681</v>
      </c>
      <c r="O166" s="14" t="n">
        <f aca="false">J166-J165</f>
        <v>152.632665711799</v>
      </c>
      <c r="P166" s="14" t="n">
        <f aca="false">K166-K165</f>
        <v>94.85204551688</v>
      </c>
      <c r="Q166" s="14" t="n">
        <f aca="false">L166-L165</f>
        <v>180.424038897466</v>
      </c>
    </row>
    <row r="167" customFormat="false" ht="15" hidden="false" customHeight="false" outlineLevel="0" collapsed="false">
      <c r="A167" s="11" t="n">
        <v>46188</v>
      </c>
      <c r="B167" s="12" t="s">
        <v>51</v>
      </c>
      <c r="C167" s="13" t="n">
        <v>0.00286816517413469</v>
      </c>
      <c r="D167" s="13" t="n">
        <v>0.00625275112621037</v>
      </c>
      <c r="E167" s="13" t="n">
        <v>0.00742301648183392</v>
      </c>
      <c r="F167" s="13" t="n">
        <v>0.00220178937065524</v>
      </c>
      <c r="G167" s="13" t="n">
        <v>0.00796660243177572</v>
      </c>
      <c r="H167" s="14" t="n">
        <f aca="false">H166*(1+C167)</f>
        <v>5481.43759023801</v>
      </c>
      <c r="I167" s="14" t="n">
        <f aca="false">I166*(1+D167)</f>
        <v>6665.52670929469</v>
      </c>
      <c r="J167" s="14" t="n">
        <f aca="false">J166*(1+E167)</f>
        <v>6265.11336184057</v>
      </c>
      <c r="K167" s="14" t="n">
        <f aca="false">K166*(1+F167)</f>
        <v>4688.54262454786</v>
      </c>
      <c r="L167" s="14" t="n">
        <f aca="false">L166*(1+G167)</f>
        <v>6439.35763794058</v>
      </c>
      <c r="M167" s="14" t="n">
        <f aca="false">H167-H166</f>
        <v>15.6767050211265</v>
      </c>
      <c r="N167" s="14" t="n">
        <f aca="false">I167-I166</f>
        <v>41.4188975798379</v>
      </c>
      <c r="O167" s="14" t="n">
        <f aca="false">J167-J166</f>
        <v>46.163368301739</v>
      </c>
      <c r="P167" s="14" t="n">
        <f aca="false">K167-K166</f>
        <v>10.300503774869</v>
      </c>
      <c r="Q167" s="14" t="n">
        <f aca="false">L167-L166</f>
        <v>50.8943471874236</v>
      </c>
    </row>
    <row r="168" customFormat="false" ht="15" hidden="false" customHeight="false" outlineLevel="0" collapsed="false">
      <c r="A168" s="11" t="n">
        <v>46189</v>
      </c>
      <c r="B168" s="12" t="s">
        <v>52</v>
      </c>
      <c r="C168" s="13" t="n">
        <v>0.00598615871844788</v>
      </c>
      <c r="D168" s="13" t="n">
        <v>0.0057097387050875</v>
      </c>
      <c r="E168" s="13" t="n">
        <v>-0.000793011214416922</v>
      </c>
      <c r="F168" s="13" t="n">
        <v>0.00748224579819889</v>
      </c>
      <c r="G168" s="13" t="n">
        <v>0.00738827153798283</v>
      </c>
      <c r="H168" s="14" t="n">
        <f aca="false">H167*(1+C168)</f>
        <v>5514.25034565844</v>
      </c>
      <c r="I168" s="14" t="n">
        <f aca="false">I167*(1+D168)</f>
        <v>6703.58512513655</v>
      </c>
      <c r="J168" s="14" t="n">
        <f aca="false">J167*(1+E168)</f>
        <v>6260.14505668504</v>
      </c>
      <c r="K168" s="14" t="n">
        <f aca="false">K167*(1+F168)</f>
        <v>4723.62345290006</v>
      </c>
      <c r="L168" s="14" t="n">
        <f aca="false">L167*(1+G168)</f>
        <v>6486.93336069987</v>
      </c>
      <c r="M168" s="14" t="n">
        <f aca="false">H168-H167</f>
        <v>32.8127554204302</v>
      </c>
      <c r="N168" s="14" t="n">
        <f aca="false">I168-I167</f>
        <v>38.0584158418542</v>
      </c>
      <c r="O168" s="14" t="n">
        <f aca="false">J168-J167</f>
        <v>-4.96830515553302</v>
      </c>
      <c r="P168" s="14" t="n">
        <f aca="false">K168-K167</f>
        <v>35.0808283521992</v>
      </c>
      <c r="Q168" s="14" t="n">
        <f aca="false">L168-L167</f>
        <v>47.5757227592894</v>
      </c>
    </row>
    <row r="169" customFormat="false" ht="15" hidden="false" customHeight="false" outlineLevel="0" collapsed="false">
      <c r="A169" s="11" t="n">
        <v>46190</v>
      </c>
      <c r="B169" s="12" t="s">
        <v>53</v>
      </c>
      <c r="C169" s="13" t="n">
        <v>-0.00700892278313831</v>
      </c>
      <c r="D169" s="13" t="n">
        <v>0.00152609641705589</v>
      </c>
      <c r="E169" s="13" t="n">
        <v>0.001555296439018</v>
      </c>
      <c r="F169" s="13" t="n">
        <v>-0.0110692783111877</v>
      </c>
      <c r="G169" s="13" t="n">
        <v>0.00435094655894219</v>
      </c>
      <c r="H169" s="14" t="n">
        <f aca="false">H168*(1+C169)</f>
        <v>5475.60139077883</v>
      </c>
      <c r="I169" s="14" t="n">
        <f aca="false">I168*(1+D169)</f>
        <v>6713.81544237745</v>
      </c>
      <c r="J169" s="14" t="n">
        <f aca="false">J168*(1+E169)</f>
        <v>6269.88143799943</v>
      </c>
      <c r="K169" s="14" t="n">
        <f aca="false">K168*(1+F169)</f>
        <v>4671.33635026265</v>
      </c>
      <c r="L169" s="14" t="n">
        <f aca="false">L168*(1+G169)</f>
        <v>6515.15766108369</v>
      </c>
      <c r="M169" s="14" t="n">
        <f aca="false">H169-H168</f>
        <v>-38.6489548796135</v>
      </c>
      <c r="N169" s="14" t="n">
        <f aca="false">I169-I168</f>
        <v>10.2303172408992</v>
      </c>
      <c r="O169" s="14" t="n">
        <f aca="false">J169-J168</f>
        <v>9.73638131439839</v>
      </c>
      <c r="P169" s="14" t="n">
        <f aca="false">K169-K168</f>
        <v>-52.2871026374041</v>
      </c>
      <c r="Q169" s="14" t="n">
        <f aca="false">L169-L168</f>
        <v>28.2243003838248</v>
      </c>
    </row>
    <row r="170" customFormat="false" ht="15" hidden="false" customHeight="false" outlineLevel="0" collapsed="false">
      <c r="A170" s="11" t="n">
        <v>46191</v>
      </c>
      <c r="B170" s="12" t="s">
        <v>47</v>
      </c>
      <c r="C170" s="13" t="n">
        <v>0.00491523001955874</v>
      </c>
      <c r="D170" s="13" t="n">
        <v>-0.00195118575067063</v>
      </c>
      <c r="E170" s="13" t="n">
        <v>-0.00437589531138255</v>
      </c>
      <c r="F170" s="13" t="n">
        <v>0.012189277819988</v>
      </c>
      <c r="G170" s="13" t="n">
        <v>-0.000750295580547788</v>
      </c>
      <c r="H170" s="14" t="n">
        <f aca="false">H169*(1+C170)</f>
        <v>5502.51523110992</v>
      </c>
      <c r="I170" s="14" t="n">
        <f aca="false">I169*(1+D170)</f>
        <v>6700.71554135365</v>
      </c>
      <c r="J170" s="14" t="n">
        <f aca="false">J169*(1+E170)</f>
        <v>6242.44509321197</v>
      </c>
      <c r="K170" s="14" t="n">
        <f aca="false">K169*(1+F170)</f>
        <v>4728.27656682662</v>
      </c>
      <c r="L170" s="14" t="n">
        <f aca="false">L169*(1+G170)</f>
        <v>6510.26936708401</v>
      </c>
      <c r="M170" s="14" t="n">
        <f aca="false">H170-H169</f>
        <v>26.9138403310935</v>
      </c>
      <c r="N170" s="14" t="n">
        <f aca="false">I170-I169</f>
        <v>-13.0999010237992</v>
      </c>
      <c r="O170" s="14" t="n">
        <f aca="false">J170-J169</f>
        <v>-27.4363447874657</v>
      </c>
      <c r="P170" s="14" t="n">
        <f aca="false">K170-K169</f>
        <v>56.9402165639613</v>
      </c>
      <c r="Q170" s="14" t="n">
        <f aca="false">L170-L169</f>
        <v>-4.88829399968381</v>
      </c>
    </row>
    <row r="171" customFormat="false" ht="15" hidden="false" customHeight="false" outlineLevel="0" collapsed="false">
      <c r="A171" s="11" t="n">
        <v>46192</v>
      </c>
      <c r="B171" s="12" t="s">
        <v>48</v>
      </c>
      <c r="C171" s="13" t="n">
        <v>0.0213768573893824</v>
      </c>
      <c r="D171" s="13" t="n">
        <v>0.0176493199957942</v>
      </c>
      <c r="E171" s="13" t="n">
        <v>0.0178740963200913</v>
      </c>
      <c r="F171" s="13" t="n">
        <v>0.0192183222083008</v>
      </c>
      <c r="G171" s="13" t="n">
        <v>0.023237985264903</v>
      </c>
      <c r="H171" s="14" t="n">
        <f aca="false">H170*(1+C171)</f>
        <v>5620.14171448826</v>
      </c>
      <c r="I171" s="14" t="n">
        <f aca="false">I170*(1+D171)</f>
        <v>6818.97861414379</v>
      </c>
      <c r="J171" s="14" t="n">
        <f aca="false">J170*(1+E171)</f>
        <v>6354.02315808092</v>
      </c>
      <c r="K171" s="14" t="n">
        <f aca="false">K170*(1+F171)</f>
        <v>4819.14610937785</v>
      </c>
      <c r="L171" s="14" t="n">
        <f aca="false">L170*(1+G171)</f>
        <v>6661.55491070686</v>
      </c>
      <c r="M171" s="14" t="n">
        <f aca="false">H171-H170</f>
        <v>117.626483378342</v>
      </c>
      <c r="N171" s="14" t="n">
        <f aca="false">I171-I170</f>
        <v>118.263072790142</v>
      </c>
      <c r="O171" s="14" t="n">
        <f aca="false">J171-J170</f>
        <v>111.578064868952</v>
      </c>
      <c r="P171" s="14" t="n">
        <f aca="false">K171-K170</f>
        <v>90.8695425512324</v>
      </c>
      <c r="Q171" s="14" t="n">
        <f aca="false">L171-L170</f>
        <v>151.285543622847</v>
      </c>
    </row>
    <row r="172" customFormat="false" ht="15" hidden="false" customHeight="false" outlineLevel="0" collapsed="false">
      <c r="A172" s="11" t="n">
        <v>46193</v>
      </c>
      <c r="B172" s="12" t="s">
        <v>49</v>
      </c>
      <c r="C172" s="13" t="n">
        <v>0.00289803318175341</v>
      </c>
      <c r="D172" s="13" t="n">
        <v>0.00333570723627927</v>
      </c>
      <c r="E172" s="13" t="n">
        <v>0.0052352152461593</v>
      </c>
      <c r="F172" s="13" t="n">
        <v>-0.00421710823004162</v>
      </c>
      <c r="G172" s="13" t="n">
        <v>0.00432026451199674</v>
      </c>
      <c r="H172" s="14" t="n">
        <f aca="false">H171*(1+C172)</f>
        <v>5636.42907166301</v>
      </c>
      <c r="I172" s="14" t="n">
        <f aca="false">I171*(1+D172)</f>
        <v>6841.72473045102</v>
      </c>
      <c r="J172" s="14" t="n">
        <f aca="false">J171*(1+E172)</f>
        <v>6387.28783699255</v>
      </c>
      <c r="K172" s="14" t="n">
        <f aca="false">K171*(1+F172)</f>
        <v>4798.82324865822</v>
      </c>
      <c r="L172" s="14" t="n">
        <f aca="false">L171*(1+G172)</f>
        <v>6690.3345899823</v>
      </c>
      <c r="M172" s="14" t="n">
        <f aca="false">H172-H171</f>
        <v>16.2873571747432</v>
      </c>
      <c r="N172" s="14" t="n">
        <f aca="false">I172-I171</f>
        <v>22.7461163072321</v>
      </c>
      <c r="O172" s="14" t="n">
        <f aca="false">J172-J171</f>
        <v>33.2646789116343</v>
      </c>
      <c r="P172" s="14" t="n">
        <f aca="false">K172-K171</f>
        <v>-20.3228607196306</v>
      </c>
      <c r="Q172" s="14" t="n">
        <f aca="false">L172-L171</f>
        <v>28.7796792754434</v>
      </c>
    </row>
    <row r="173" customFormat="false" ht="15" hidden="false" customHeight="false" outlineLevel="0" collapsed="false">
      <c r="A173" s="11" t="n">
        <v>46194</v>
      </c>
      <c r="B173" s="12" t="s">
        <v>50</v>
      </c>
      <c r="C173" s="13" t="n">
        <v>-0.00506080303774786</v>
      </c>
      <c r="D173" s="13" t="n">
        <v>-0.00178264833051416</v>
      </c>
      <c r="E173" s="13" t="n">
        <v>-0.00273391663439259</v>
      </c>
      <c r="F173" s="13" t="n">
        <v>0.00535260041093866</v>
      </c>
      <c r="G173" s="13" t="n">
        <v>-0.00215880021333387</v>
      </c>
      <c r="H173" s="14" t="n">
        <f aca="false">H172*(1+C173)</f>
        <v>5607.90421429508</v>
      </c>
      <c r="I173" s="14" t="n">
        <f aca="false">I172*(1+D173)</f>
        <v>6829.52834128245</v>
      </c>
      <c r="J173" s="14" t="n">
        <f aca="false">J172*(1+E173)</f>
        <v>6369.82552452635</v>
      </c>
      <c r="K173" s="14" t="n">
        <f aca="false">K172*(1+F173)</f>
        <v>4824.50943195101</v>
      </c>
      <c r="L173" s="14" t="n">
        <f aca="false">L172*(1+G173)</f>
        <v>6675.89149424217</v>
      </c>
      <c r="M173" s="14" t="n">
        <f aca="false">H173-H172</f>
        <v>-28.5248573679228</v>
      </c>
      <c r="N173" s="14" t="n">
        <f aca="false">I173-I172</f>
        <v>-12.1963891685755</v>
      </c>
      <c r="O173" s="14" t="n">
        <f aca="false">J173-J172</f>
        <v>-17.4623124662076</v>
      </c>
      <c r="P173" s="14" t="n">
        <f aca="false">K173-K172</f>
        <v>25.6861832927898</v>
      </c>
      <c r="Q173" s="14" t="n">
        <f aca="false">L173-L172</f>
        <v>-14.4430957401291</v>
      </c>
    </row>
    <row r="174" customFormat="false" ht="15" hidden="false" customHeight="false" outlineLevel="0" collapsed="false">
      <c r="A174" s="11" t="n">
        <v>46195</v>
      </c>
      <c r="B174" s="12" t="s">
        <v>51</v>
      </c>
      <c r="C174" s="13" t="n">
        <v>0.00556395431063361</v>
      </c>
      <c r="D174" s="13" t="n">
        <v>-0.0087937306579411</v>
      </c>
      <c r="E174" s="13" t="n">
        <v>-0.00541297439794721</v>
      </c>
      <c r="F174" s="13" t="n">
        <v>0.0055603324078416</v>
      </c>
      <c r="G174" s="13" t="n">
        <v>-0.0108678405410618</v>
      </c>
      <c r="H174" s="14" t="n">
        <f aca="false">H173*(1+C174)</f>
        <v>5639.10633712183</v>
      </c>
      <c r="I174" s="14" t="n">
        <f aca="false">I173*(1+D174)</f>
        <v>6769.47130852843</v>
      </c>
      <c r="J174" s="14" t="n">
        <f aca="false">J173*(1+E174)</f>
        <v>6335.3458220427</v>
      </c>
      <c r="K174" s="14" t="n">
        <f aca="false">K173*(1+F174)</f>
        <v>4851.33530809742</v>
      </c>
      <c r="L174" s="14" t="n">
        <f aca="false">L173*(1+G174)</f>
        <v>6603.33897001332</v>
      </c>
      <c r="M174" s="14" t="n">
        <f aca="false">H174-H173</f>
        <v>31.2021228267477</v>
      </c>
      <c r="N174" s="14" t="n">
        <f aca="false">I174-I173</f>
        <v>-60.0570327540127</v>
      </c>
      <c r="O174" s="14" t="n">
        <f aca="false">J174-J173</f>
        <v>-34.4797024836516</v>
      </c>
      <c r="P174" s="14" t="n">
        <f aca="false">K174-K173</f>
        <v>26.8258761464149</v>
      </c>
      <c r="Q174" s="14" t="n">
        <f aca="false">L174-L173</f>
        <v>-72.552524228855</v>
      </c>
    </row>
    <row r="175" customFormat="false" ht="15" hidden="false" customHeight="false" outlineLevel="0" collapsed="false">
      <c r="A175" s="11" t="n">
        <v>46196</v>
      </c>
      <c r="B175" s="12" t="s">
        <v>52</v>
      </c>
      <c r="C175" s="13" t="n">
        <v>0.0046045308292787</v>
      </c>
      <c r="D175" s="13" t="n">
        <v>0.0034182171151921</v>
      </c>
      <c r="E175" s="13" t="n">
        <v>0.00341844478124181</v>
      </c>
      <c r="F175" s="13" t="n">
        <v>0.0028341112645317</v>
      </c>
      <c r="G175" s="13" t="n">
        <v>0.00425903190136989</v>
      </c>
      <c r="H175" s="14" t="n">
        <f aca="false">H174*(1+C175)</f>
        <v>5665.07177610069</v>
      </c>
      <c r="I175" s="14" t="n">
        <f aca="false">I174*(1+D175)</f>
        <v>6792.61083121605</v>
      </c>
      <c r="J175" s="14" t="n">
        <f aca="false">J174*(1+E175)</f>
        <v>6357.00285190542</v>
      </c>
      <c r="K175" s="14" t="n">
        <f aca="false">K174*(1+F175)</f>
        <v>4865.08453214212</v>
      </c>
      <c r="L175" s="14" t="n">
        <f aca="false">L174*(1+G175)</f>
        <v>6631.46280134216</v>
      </c>
      <c r="M175" s="14" t="n">
        <f aca="false">H175-H174</f>
        <v>25.9654389788593</v>
      </c>
      <c r="N175" s="14" t="n">
        <f aca="false">I175-I174</f>
        <v>23.1395226876148</v>
      </c>
      <c r="O175" s="14" t="n">
        <f aca="false">J175-J174</f>
        <v>21.6570298627239</v>
      </c>
      <c r="P175" s="14" t="n">
        <f aca="false">K175-K174</f>
        <v>13.7492240446991</v>
      </c>
      <c r="Q175" s="14" t="n">
        <f aca="false">L175-L174</f>
        <v>28.123831328845</v>
      </c>
    </row>
    <row r="176" customFormat="false" ht="15" hidden="false" customHeight="false" outlineLevel="0" collapsed="false">
      <c r="A176" s="11" t="n">
        <v>46197</v>
      </c>
      <c r="B176" s="12" t="s">
        <v>53</v>
      </c>
      <c r="C176" s="13" t="n">
        <v>0.0217973915373262</v>
      </c>
      <c r="D176" s="13" t="n">
        <v>0.0167852455422137</v>
      </c>
      <c r="E176" s="13" t="n">
        <v>0.0167833853591525</v>
      </c>
      <c r="F176" s="13" t="n">
        <v>0.0213394055416338</v>
      </c>
      <c r="G176" s="13" t="n">
        <v>0.0209907178427757</v>
      </c>
      <c r="H176" s="14" t="n">
        <f aca="false">H175*(1+C176)</f>
        <v>5788.55556369141</v>
      </c>
      <c r="I176" s="14" t="n">
        <f aca="false">I175*(1+D176)</f>
        <v>6906.62647189071</v>
      </c>
      <c r="J176" s="14" t="n">
        <f aca="false">J175*(1+E176)</f>
        <v>6463.69488049818</v>
      </c>
      <c r="K176" s="14" t="n">
        <f aca="false">K175*(1+F176)</f>
        <v>4968.90254396783</v>
      </c>
      <c r="L176" s="14" t="n">
        <f aca="false">L175*(1+G176)</f>
        <v>6770.66196589</v>
      </c>
      <c r="M176" s="14" t="n">
        <f aca="false">H176-H175</f>
        <v>123.483787590722</v>
      </c>
      <c r="N176" s="14" t="n">
        <f aca="false">I176-I175</f>
        <v>114.015640674662</v>
      </c>
      <c r="O176" s="14" t="n">
        <f aca="false">J176-J175</f>
        <v>106.692028592761</v>
      </c>
      <c r="P176" s="14" t="n">
        <f aca="false">K176-K175</f>
        <v>103.818011825711</v>
      </c>
      <c r="Q176" s="14" t="n">
        <f aca="false">L176-L175</f>
        <v>139.199164547837</v>
      </c>
    </row>
    <row r="177" customFormat="false" ht="15" hidden="false" customHeight="false" outlineLevel="0" collapsed="false">
      <c r="A177" s="11" t="n">
        <v>46198</v>
      </c>
      <c r="B177" s="12" t="s">
        <v>47</v>
      </c>
      <c r="C177" s="13" t="n">
        <v>0.0599023087927426</v>
      </c>
      <c r="D177" s="13" t="n">
        <v>0.0519105599247208</v>
      </c>
      <c r="E177" s="13" t="n">
        <v>0.0519106428077666</v>
      </c>
      <c r="F177" s="13" t="n">
        <v>0.0616184807042246</v>
      </c>
      <c r="G177" s="13" t="n">
        <v>0.0637753801631952</v>
      </c>
      <c r="H177" s="14" t="n">
        <f aca="false">H176*(1+C177)</f>
        <v>6135.3034065316</v>
      </c>
      <c r="I177" s="14" t="n">
        <f aca="false">I176*(1+D177)</f>
        <v>7265.15331923745</v>
      </c>
      <c r="J177" s="14" t="n">
        <f aca="false">J176*(1+E177)</f>
        <v>6799.22943665811</v>
      </c>
      <c r="K177" s="14" t="n">
        <f aca="false">K176*(1+F177)</f>
        <v>5275.07876949449</v>
      </c>
      <c r="L177" s="14" t="n">
        <f aca="false">L176*(1+G177)</f>
        <v>7202.46350672112</v>
      </c>
      <c r="M177" s="14" t="n">
        <f aca="false">H177-H176</f>
        <v>346.747842840191</v>
      </c>
      <c r="N177" s="14" t="n">
        <f aca="false">I177-I176</f>
        <v>358.526847346745</v>
      </c>
      <c r="O177" s="14" t="n">
        <f aca="false">J177-J176</f>
        <v>335.53455615993</v>
      </c>
      <c r="P177" s="14" t="n">
        <f aca="false">K177-K176</f>
        <v>306.176225526654</v>
      </c>
      <c r="Q177" s="14" t="n">
        <f aca="false">L177-L176</f>
        <v>431.801540831122</v>
      </c>
    </row>
    <row r="178" customFormat="false" ht="15" hidden="false" customHeight="false" outlineLevel="0" collapsed="false">
      <c r="A178" s="11" t="n">
        <v>46199</v>
      </c>
      <c r="B178" s="12" t="s">
        <v>48</v>
      </c>
      <c r="C178" s="13" t="n">
        <v>0.0183207489717484</v>
      </c>
      <c r="D178" s="13" t="n">
        <v>0.0119057938441722</v>
      </c>
      <c r="E178" s="13" t="n">
        <v>0.0119058097539645</v>
      </c>
      <c r="F178" s="13" t="n">
        <v>0.0135196515813136</v>
      </c>
      <c r="G178" s="13" t="n">
        <v>0.012955907114908</v>
      </c>
      <c r="H178" s="14" t="n">
        <f aca="false">H177*(1+C178)</f>
        <v>6247.70676010818</v>
      </c>
      <c r="I178" s="14" t="n">
        <f aca="false">I177*(1+D178)</f>
        <v>7351.6507369026</v>
      </c>
      <c r="J178" s="14" t="n">
        <f aca="false">J177*(1+E178)</f>
        <v>6880.17976880452</v>
      </c>
      <c r="K178" s="14" t="n">
        <f aca="false">K177*(1+F178)</f>
        <v>5346.39599652204</v>
      </c>
      <c r="L178" s="14" t="n">
        <f aca="false">L177*(1+G178)</f>
        <v>7295.77795491271</v>
      </c>
      <c r="M178" s="14" t="n">
        <f aca="false">H178-H177</f>
        <v>112.403353576578</v>
      </c>
      <c r="N178" s="14" t="n">
        <f aca="false">I178-I177</f>
        <v>86.4974176651449</v>
      </c>
      <c r="O178" s="14" t="n">
        <f aca="false">J178-J177</f>
        <v>80.9503321464063</v>
      </c>
      <c r="P178" s="14" t="n">
        <f aca="false">K178-K177</f>
        <v>71.31722702755</v>
      </c>
      <c r="Q178" s="14" t="n">
        <f aca="false">L178-L177</f>
        <v>93.3144481915942</v>
      </c>
    </row>
    <row r="179" customFormat="false" ht="15" hidden="false" customHeight="false" outlineLevel="0" collapsed="false">
      <c r="A179" s="11" t="n">
        <v>46200</v>
      </c>
      <c r="B179" s="12" t="s">
        <v>49</v>
      </c>
      <c r="C179" s="13" t="n">
        <v>-0.0278557211146834</v>
      </c>
      <c r="D179" s="13" t="n">
        <v>-0.0154517830371252</v>
      </c>
      <c r="E179" s="13" t="n">
        <v>-0.0154518018630691</v>
      </c>
      <c r="F179" s="13" t="n">
        <v>-0.0204720633340052</v>
      </c>
      <c r="G179" s="13" t="n">
        <v>-0.0179704106769449</v>
      </c>
      <c r="H179" s="14" t="n">
        <f aca="false">H178*(1+C179)</f>
        <v>6073.67238299229</v>
      </c>
      <c r="I179" s="14" t="n">
        <f aca="false">I178*(1+D179)</f>
        <v>7238.05462475126</v>
      </c>
      <c r="J179" s="14" t="n">
        <f aca="false">J178*(1+E179)</f>
        <v>6773.86859423465</v>
      </c>
      <c r="K179" s="14" t="n">
        <f aca="false">K178*(1+F179)</f>
        <v>5236.94423907256</v>
      </c>
      <c r="L179" s="14" t="n">
        <f aca="false">L178*(1+G179)</f>
        <v>7164.66982885513</v>
      </c>
      <c r="M179" s="14" t="n">
        <f aca="false">H179-H178</f>
        <v>-174.034377115896</v>
      </c>
      <c r="N179" s="14" t="n">
        <f aca="false">I179-I178</f>
        <v>-113.596112151341</v>
      </c>
      <c r="O179" s="14" t="n">
        <f aca="false">J179-J178</f>
        <v>-106.311174569864</v>
      </c>
      <c r="P179" s="14" t="n">
        <f aca="false">K179-K178</f>
        <v>-109.451757449471</v>
      </c>
      <c r="Q179" s="14" t="n">
        <f aca="false">L179-L178</f>
        <v>-131.108126057583</v>
      </c>
    </row>
    <row r="180" customFormat="false" ht="15" hidden="false" customHeight="false" outlineLevel="0" collapsed="false">
      <c r="A180" s="11" t="n">
        <v>46201</v>
      </c>
      <c r="B180" s="12" t="s">
        <v>50</v>
      </c>
      <c r="C180" s="13" t="n">
        <v>0.0253556127763356</v>
      </c>
      <c r="D180" s="13" t="n">
        <v>0.0135167422669731</v>
      </c>
      <c r="E180" s="13" t="n">
        <v>0.013516759607761</v>
      </c>
      <c r="F180" s="13" t="n">
        <v>0.0134497293888575</v>
      </c>
      <c r="G180" s="13" t="n">
        <v>0.0171743260576776</v>
      </c>
      <c r="H180" s="14" t="n">
        <f aca="false">H179*(1+C180)</f>
        <v>6227.67406806576</v>
      </c>
      <c r="I180" s="14" t="n">
        <f aca="false">I179*(1+D180)</f>
        <v>7335.88954362829</v>
      </c>
      <c r="J180" s="14" t="n">
        <f aca="false">J179*(1+E180)</f>
        <v>6865.42934763748</v>
      </c>
      <c r="K180" s="14" t="n">
        <f aca="false">K179*(1+F180)</f>
        <v>5307.37972191263</v>
      </c>
      <c r="L180" s="14" t="n">
        <f aca="false">L179*(1+G180)</f>
        <v>7287.71820459149</v>
      </c>
      <c r="M180" s="14" t="n">
        <f aca="false">H180-H179</f>
        <v>154.001685073476</v>
      </c>
      <c r="N180" s="14" t="n">
        <f aca="false">I180-I179</f>
        <v>97.8349188770353</v>
      </c>
      <c r="O180" s="14" t="n">
        <f aca="false">J180-J179</f>
        <v>91.5607534028313</v>
      </c>
      <c r="P180" s="14" t="n">
        <f aca="false">K180-K179</f>
        <v>70.4354828400628</v>
      </c>
      <c r="Q180" s="14" t="n">
        <f aca="false">L180-L179</f>
        <v>123.048375736363</v>
      </c>
    </row>
    <row r="181" customFormat="false" ht="15" hidden="false" customHeight="false" outlineLevel="0" collapsed="false">
      <c r="A181" s="11" t="n">
        <v>46202</v>
      </c>
      <c r="B181" s="12" t="s">
        <v>51</v>
      </c>
      <c r="C181" s="13" t="n">
        <v>0.0212479840087112</v>
      </c>
      <c r="D181" s="13" t="n">
        <v>0.0101707724617306</v>
      </c>
      <c r="E181" s="13" t="n">
        <v>0.0104672041178909</v>
      </c>
      <c r="F181" s="13" t="n">
        <v>0.0383991239302279</v>
      </c>
      <c r="G181" s="13" t="n">
        <v>0.0133774303657069</v>
      </c>
      <c r="H181" s="14" t="n">
        <f aca="false">H180*(1+C181)</f>
        <v>6359.99958707549</v>
      </c>
      <c r="I181" s="14" t="n">
        <f aca="false">I180*(1+D181)</f>
        <v>7410.50120698092</v>
      </c>
      <c r="J181" s="14" t="n">
        <f aca="false">J180*(1+E181)</f>
        <v>6937.29119797616</v>
      </c>
      <c r="K181" s="14" t="n">
        <f aca="false">K180*(1+F181)</f>
        <v>5511.17845359913</v>
      </c>
      <c r="L181" s="14" t="n">
        <f aca="false">L180*(1+G181)</f>
        <v>7385.20914739831</v>
      </c>
      <c r="M181" s="14" t="n">
        <f aca="false">H181-H180</f>
        <v>132.325519009727</v>
      </c>
      <c r="N181" s="14" t="n">
        <f aca="false">I181-I180</f>
        <v>74.6116633526317</v>
      </c>
      <c r="O181" s="14" t="n">
        <f aca="false">J181-J180</f>
        <v>71.8618503386797</v>
      </c>
      <c r="P181" s="14" t="n">
        <f aca="false">K181-K180</f>
        <v>203.798731686502</v>
      </c>
      <c r="Q181" s="14" t="n">
        <f aca="false">L181-L180</f>
        <v>97.4909428068168</v>
      </c>
    </row>
    <row r="182" customFormat="false" ht="15" hidden="false" customHeight="false" outlineLevel="0" collapsed="false">
      <c r="A182" s="11" t="n">
        <v>46203</v>
      </c>
      <c r="B182" s="12" t="s">
        <v>52</v>
      </c>
      <c r="C182" s="13" t="n">
        <v>0.0265862067400757</v>
      </c>
      <c r="D182" s="13" t="n">
        <v>0.0386766375238021</v>
      </c>
      <c r="E182" s="13" t="n">
        <v>0.0389615099126315</v>
      </c>
      <c r="F182" s="13" t="n">
        <v>0.0232459778127121</v>
      </c>
      <c r="G182" s="13" t="n">
        <v>0.050576385846214</v>
      </c>
      <c r="H182" s="14" t="n">
        <f aca="false">H181*(1+C182)</f>
        <v>6529.08785096427</v>
      </c>
      <c r="I182" s="14" t="n">
        <f aca="false">I181*(1+D182)</f>
        <v>7697.11447603302</v>
      </c>
      <c r="J182" s="14" t="n">
        <f aca="false">J181*(1+E182)</f>
        <v>7207.57853775292</v>
      </c>
      <c r="K182" s="14" t="n">
        <f aca="false">K181*(1+F182)</f>
        <v>5639.29118565339</v>
      </c>
      <c r="L182" s="14" t="n">
        <f aca="false">L181*(1+G182)</f>
        <v>7758.72633479212</v>
      </c>
      <c r="M182" s="14" t="n">
        <f aca="false">H182-H181</f>
        <v>169.088263888785</v>
      </c>
      <c r="N182" s="14" t="n">
        <f aca="false">I182-I181</f>
        <v>286.613269052099</v>
      </c>
      <c r="O182" s="14" t="n">
        <f aca="false">J182-J181</f>
        <v>270.287339776759</v>
      </c>
      <c r="P182" s="14" t="n">
        <f aca="false">K182-K181</f>
        <v>128.112732054262</v>
      </c>
      <c r="Q182" s="14" t="n">
        <f aca="false">L182-L181</f>
        <v>373.517187393806</v>
      </c>
    </row>
    <row r="183" customFormat="false" ht="15" hidden="false" customHeight="false" outlineLevel="0" collapsed="false">
      <c r="A183" s="11" t="n">
        <v>46204</v>
      </c>
      <c r="B183" s="12" t="s">
        <v>53</v>
      </c>
      <c r="C183" s="13" t="n">
        <v>-0.0255359235533064</v>
      </c>
      <c r="D183" s="13" t="n">
        <v>-0.0251986967909804</v>
      </c>
      <c r="E183" s="13" t="n">
        <v>-0.0248955454614279</v>
      </c>
      <c r="F183" s="13" t="n">
        <v>-0.0378722421440676</v>
      </c>
      <c r="G183" s="13" t="n">
        <v>-0.0308833602571566</v>
      </c>
      <c r="H183" s="14" t="n">
        <f aca="false">H182*(1+C183)</f>
        <v>6362.36156272923</v>
      </c>
      <c r="I183" s="14" t="n">
        <f aca="false">I182*(1+D183)</f>
        <v>7503.157222186</v>
      </c>
      <c r="J183" s="14" t="n">
        <f aca="false">J182*(1+E183)</f>
        <v>7028.14193859948</v>
      </c>
      <c r="K183" s="14" t="n">
        <f aca="false">K182*(1+F183)</f>
        <v>5425.71858434942</v>
      </c>
      <c r="L183" s="14" t="n">
        <f aca="false">L182*(1+G183)</f>
        <v>7519.11079425804</v>
      </c>
      <c r="M183" s="14" t="n">
        <f aca="false">H183-H182</f>
        <v>-166.726288235046</v>
      </c>
      <c r="N183" s="14" t="n">
        <f aca="false">I183-I182</f>
        <v>-193.957253847022</v>
      </c>
      <c r="O183" s="14" t="n">
        <f aca="false">J183-J182</f>
        <v>-179.43659915344</v>
      </c>
      <c r="P183" s="14" t="n">
        <f aca="false">K183-K182</f>
        <v>-213.572601303971</v>
      </c>
      <c r="Q183" s="14" t="n">
        <f aca="false">L183-L182</f>
        <v>-239.615540534072</v>
      </c>
    </row>
    <row r="184" customFormat="false" ht="15" hidden="false" customHeight="false" outlineLevel="0" collapsed="false">
      <c r="A184" s="11" t="n">
        <v>46205</v>
      </c>
      <c r="B184" s="12" t="s">
        <v>47</v>
      </c>
      <c r="C184" s="13" t="n">
        <v>0.021380259157948</v>
      </c>
      <c r="D184" s="13" t="n">
        <v>0.0198276362474487</v>
      </c>
      <c r="E184" s="13" t="n">
        <v>0.0203297782684788</v>
      </c>
      <c r="F184" s="13" t="n">
        <v>0.016847716150178</v>
      </c>
      <c r="G184" s="13" t="n">
        <v>0.0232623244997687</v>
      </c>
      <c r="H184" s="14" t="n">
        <f aca="false">H183*(1+C184)</f>
        <v>6498.39050179695</v>
      </c>
      <c r="I184" s="14" t="n">
        <f aca="false">I183*(1+D184)</f>
        <v>7651.92709429492</v>
      </c>
      <c r="J184" s="14" t="n">
        <f aca="false">J183*(1+E184)</f>
        <v>7171.02250585061</v>
      </c>
      <c r="K184" s="14" t="n">
        <f aca="false">K183*(1+F184)</f>
        <v>5517.12955096928</v>
      </c>
      <c r="L184" s="14" t="n">
        <f aca="false">L183*(1+G184)</f>
        <v>7694.02278950379</v>
      </c>
      <c r="M184" s="14" t="n">
        <f aca="false">H184-H183</f>
        <v>136.028939067717</v>
      </c>
      <c r="N184" s="14" t="n">
        <f aca="false">I184-I183</f>
        <v>148.769872108922</v>
      </c>
      <c r="O184" s="14" t="n">
        <f aca="false">J184-J183</f>
        <v>142.880567251124</v>
      </c>
      <c r="P184" s="14" t="n">
        <f aca="false">K184-K183</f>
        <v>91.4109666198638</v>
      </c>
      <c r="Q184" s="14" t="n">
        <f aca="false">L184-L183</f>
        <v>174.911995245744</v>
      </c>
    </row>
    <row r="185" customFormat="false" ht="15" hidden="false" customHeight="false" outlineLevel="0" collapsed="false">
      <c r="A185" s="11" t="n">
        <v>46206</v>
      </c>
      <c r="B185" s="12" t="s">
        <v>48</v>
      </c>
      <c r="C185" s="13" t="n">
        <v>-0.0285159294997138</v>
      </c>
      <c r="D185" s="13" t="n">
        <v>-0.0257401658819259</v>
      </c>
      <c r="E185" s="13" t="n">
        <v>-0.0245600670775371</v>
      </c>
      <c r="F185" s="13" t="n">
        <v>-0.0242963804718198</v>
      </c>
      <c r="G185" s="13" t="n">
        <v>-0.0323976983798352</v>
      </c>
      <c r="H185" s="14" t="n">
        <f aca="false">H184*(1+C185)</f>
        <v>6313.08285638609</v>
      </c>
      <c r="I185" s="14" t="n">
        <f aca="false">I184*(1+D185)</f>
        <v>7454.96522157137</v>
      </c>
      <c r="J185" s="14" t="n">
        <f aca="false">J184*(1+E185)</f>
        <v>6994.90171209239</v>
      </c>
      <c r="K185" s="14" t="n">
        <f aca="false">K184*(1+F185)</f>
        <v>5383.08327228661</v>
      </c>
      <c r="L185" s="14" t="n">
        <f aca="false">L184*(1+G185)</f>
        <v>7444.75415984187</v>
      </c>
      <c r="M185" s="14" t="n">
        <f aca="false">H185-H184</f>
        <v>-185.307645410851</v>
      </c>
      <c r="N185" s="14" t="n">
        <f aca="false">I185-I184</f>
        <v>-196.961872723555</v>
      </c>
      <c r="O185" s="14" t="n">
        <f aca="false">J185-J184</f>
        <v>-176.120793758219</v>
      </c>
      <c r="P185" s="14" t="n">
        <f aca="false">K185-K184</f>
        <v>-134.04627868267</v>
      </c>
      <c r="Q185" s="14" t="n">
        <f aca="false">L185-L184</f>
        <v>-249.268629661922</v>
      </c>
    </row>
    <row r="186" customFormat="false" ht="15" hidden="false" customHeight="false" outlineLevel="0" collapsed="false">
      <c r="A186" s="11" t="n">
        <v>46207</v>
      </c>
      <c r="B186" s="12" t="s">
        <v>49</v>
      </c>
      <c r="C186" s="13" t="n">
        <v>-0.0112263247635449</v>
      </c>
      <c r="D186" s="13" t="n">
        <v>0.022978510230656</v>
      </c>
      <c r="E186" s="13" t="n">
        <v>-0.00868132457549165</v>
      </c>
      <c r="F186" s="13" t="n">
        <v>-0.0146683342878676</v>
      </c>
      <c r="G186" s="13" t="n">
        <v>0.0289540405914468</v>
      </c>
      <c r="H186" s="14" t="n">
        <f aca="false">H185*(1+C186)</f>
        <v>6242.21013798114</v>
      </c>
      <c r="I186" s="14" t="n">
        <f aca="false">I185*(1+D186)</f>
        <v>7626.26921618443</v>
      </c>
      <c r="J186" s="14" t="n">
        <f aca="false">J185*(1+E186)</f>
        <v>6934.17669995605</v>
      </c>
      <c r="K186" s="14" t="n">
        <f aca="false">K185*(1+F186)</f>
        <v>5304.12240734928</v>
      </c>
      <c r="L186" s="14" t="n">
        <f aca="false">L185*(1+G186)</f>
        <v>7660.30987397927</v>
      </c>
      <c r="M186" s="14" t="n">
        <f aca="false">H186-H185</f>
        <v>-70.8727184049576</v>
      </c>
      <c r="N186" s="14" t="n">
        <f aca="false">I186-I185</f>
        <v>171.303994613063</v>
      </c>
      <c r="O186" s="14" t="n">
        <f aca="false">J186-J185</f>
        <v>-60.7250121363359</v>
      </c>
      <c r="P186" s="14" t="n">
        <f aca="false">K186-K185</f>
        <v>-78.9608649373286</v>
      </c>
      <c r="Q186" s="14" t="n">
        <f aca="false">L186-L185</f>
        <v>215.555714137404</v>
      </c>
    </row>
    <row r="187" customFormat="false" ht="15" hidden="false" customHeight="false" outlineLevel="0" collapsed="false">
      <c r="A187" s="11" t="n">
        <v>46208</v>
      </c>
      <c r="B187" s="12" t="s">
        <v>50</v>
      </c>
      <c r="C187" s="13" t="n">
        <v>0.00554297857673636</v>
      </c>
      <c r="D187" s="13" t="n">
        <v>0.00503709991046613</v>
      </c>
      <c r="E187" s="13" t="n">
        <v>0.00339949787044435</v>
      </c>
      <c r="F187" s="13" t="n">
        <v>0.0100059226408447</v>
      </c>
      <c r="G187" s="13" t="n">
        <v>0.00680147006047249</v>
      </c>
      <c r="H187" s="14" t="n">
        <f aca="false">H186*(1+C187)</f>
        <v>6276.81057504745</v>
      </c>
      <c r="I187" s="14" t="n">
        <f aca="false">I186*(1+D187)</f>
        <v>7664.68349617046</v>
      </c>
      <c r="J187" s="14" t="n">
        <f aca="false">J186*(1+E187)</f>
        <v>6957.74941888084</v>
      </c>
      <c r="K187" s="14" t="n">
        <f aca="false">K186*(1+F187)</f>
        <v>5357.19504583479</v>
      </c>
      <c r="L187" s="14" t="n">
        <f aca="false">L186*(1+G187)</f>
        <v>7712.41124224108</v>
      </c>
      <c r="M187" s="14" t="n">
        <f aca="false">H187-H186</f>
        <v>34.600437066315</v>
      </c>
      <c r="N187" s="14" t="n">
        <f aca="false">I187-I186</f>
        <v>38.4142799860329</v>
      </c>
      <c r="O187" s="14" t="n">
        <f aca="false">J187-J186</f>
        <v>23.5727189247855</v>
      </c>
      <c r="P187" s="14" t="n">
        <f aca="false">K187-K186</f>
        <v>53.0726384855079</v>
      </c>
      <c r="Q187" s="14" t="n">
        <f aca="false">L187-L186</f>
        <v>52.1013682618122</v>
      </c>
    </row>
    <row r="188" customFormat="false" ht="15" hidden="false" customHeight="false" outlineLevel="0" collapsed="false">
      <c r="A188" s="11" t="n">
        <v>46209</v>
      </c>
      <c r="B188" s="12" t="s">
        <v>51</v>
      </c>
      <c r="C188" s="13" t="n">
        <v>0.016929064711389</v>
      </c>
      <c r="D188" s="13" t="n">
        <v>0.0147617470297442</v>
      </c>
      <c r="E188" s="13" t="n">
        <v>0.0151605279156384</v>
      </c>
      <c r="F188" s="13" t="n">
        <v>0.0187510930795186</v>
      </c>
      <c r="G188" s="13" t="n">
        <v>0.0172102466055898</v>
      </c>
      <c r="H188" s="14" t="n">
        <f aca="false">H187*(1+C188)</f>
        <v>6383.07110745356</v>
      </c>
      <c r="I188" s="14" t="n">
        <f aca="false">I187*(1+D188)</f>
        <v>7777.82761500399</v>
      </c>
      <c r="J188" s="14" t="n">
        <f aca="false">J187*(1+E188)</f>
        <v>7063.2325731758</v>
      </c>
      <c r="K188" s="14" t="n">
        <f aca="false">K187*(1+F188)</f>
        <v>5457.64830878438</v>
      </c>
      <c r="L188" s="14" t="n">
        <f aca="false">L187*(1+G188)</f>
        <v>7845.14374164378</v>
      </c>
      <c r="M188" s="14" t="n">
        <f aca="false">H188-H187</f>
        <v>106.26053240611</v>
      </c>
      <c r="N188" s="14" t="n">
        <f aca="false">I188-I187</f>
        <v>113.144118833523</v>
      </c>
      <c r="O188" s="14" t="n">
        <f aca="false">J188-J187</f>
        <v>105.48315429496</v>
      </c>
      <c r="P188" s="14" t="n">
        <f aca="false">K188-K187</f>
        <v>100.453262949584</v>
      </c>
      <c r="Q188" s="14" t="n">
        <f aca="false">L188-L187</f>
        <v>132.732499402693</v>
      </c>
    </row>
    <row r="189" customFormat="false" ht="15" hidden="false" customHeight="false" outlineLevel="0" collapsed="false">
      <c r="A189" s="11" t="n">
        <v>46210</v>
      </c>
      <c r="B189" s="12" t="s">
        <v>52</v>
      </c>
      <c r="C189" s="13" t="n">
        <v>-0.0290679446419466</v>
      </c>
      <c r="D189" s="13" t="n">
        <v>-0.0364970130429565</v>
      </c>
      <c r="E189" s="13" t="n">
        <v>-0.0247230647572112</v>
      </c>
      <c r="F189" s="13" t="n">
        <v>-0.0327589612725199</v>
      </c>
      <c r="G189" s="13" t="n">
        <v>-0.0395860474126006</v>
      </c>
      <c r="H189" s="14" t="n">
        <f aca="false">H188*(1+C189)</f>
        <v>6197.52834985649</v>
      </c>
      <c r="I189" s="14" t="n">
        <f aca="false">I188*(1+D189)</f>
        <v>7493.96013909332</v>
      </c>
      <c r="J189" s="14" t="n">
        <f aca="false">J188*(1+E189)</f>
        <v>6888.60781687393</v>
      </c>
      <c r="K189" s="14" t="n">
        <f aca="false">K188*(1+F189)</f>
        <v>5278.86141919788</v>
      </c>
      <c r="L189" s="14" t="n">
        <f aca="false">L188*(1+G189)</f>
        <v>7534.5855095284</v>
      </c>
      <c r="M189" s="14" t="n">
        <f aca="false">H189-H188</f>
        <v>-185.542757597068</v>
      </c>
      <c r="N189" s="14" t="n">
        <f aca="false">I189-I188</f>
        <v>-283.867475910668</v>
      </c>
      <c r="O189" s="14" t="n">
        <f aca="false">J189-J188</f>
        <v>-174.624756301869</v>
      </c>
      <c r="P189" s="14" t="n">
        <f aca="false">K189-K188</f>
        <v>-178.786889586501</v>
      </c>
      <c r="Q189" s="14" t="n">
        <f aca="false">L189-L188</f>
        <v>-310.558232115378</v>
      </c>
    </row>
    <row r="190" customFormat="false" ht="15" hidden="false" customHeight="false" outlineLevel="0" collapsed="false">
      <c r="A190" s="11" t="n">
        <v>46211</v>
      </c>
      <c r="B190" s="12" t="s">
        <v>53</v>
      </c>
      <c r="C190" s="13" t="n">
        <v>0.00450802847417231</v>
      </c>
      <c r="D190" s="13" t="n">
        <v>-0.00553511643272387</v>
      </c>
      <c r="E190" s="13" t="n">
        <v>0.00586075255032791</v>
      </c>
      <c r="F190" s="13" t="n">
        <v>0.00153627485705221</v>
      </c>
      <c r="G190" s="13" t="n">
        <v>-0.00604328184959746</v>
      </c>
      <c r="H190" s="14" t="n">
        <f aca="false">H189*(1+C190)</f>
        <v>6225.46698412714</v>
      </c>
      <c r="I190" s="14" t="n">
        <f aca="false">I189*(1+D190)</f>
        <v>7452.48019718125</v>
      </c>
      <c r="J190" s="14" t="n">
        <f aca="false">J189*(1+E190)</f>
        <v>6928.98024270488</v>
      </c>
      <c r="K190" s="14" t="n">
        <f aca="false">K189*(1+F190)</f>
        <v>5286.97120127005</v>
      </c>
      <c r="L190" s="14" t="n">
        <f aca="false">L189*(1+G190)</f>
        <v>7489.05188567442</v>
      </c>
      <c r="M190" s="14" t="n">
        <f aca="false">H190-H189</f>
        <v>27.938634270643</v>
      </c>
      <c r="N190" s="14" t="n">
        <f aca="false">I190-I189</f>
        <v>-41.4799419120727</v>
      </c>
      <c r="O190" s="14" t="n">
        <f aca="false">J190-J189</f>
        <v>40.3724258309521</v>
      </c>
      <c r="P190" s="14" t="n">
        <f aca="false">K190-K189</f>
        <v>8.10978207217704</v>
      </c>
      <c r="Q190" s="14" t="n">
        <f aca="false">L190-L189</f>
        <v>-45.533623853973</v>
      </c>
    </row>
    <row r="191" customFormat="false" ht="15" hidden="false" customHeight="false" outlineLevel="0" collapsed="false">
      <c r="A191" s="11" t="n">
        <v>46212</v>
      </c>
      <c r="B191" s="12" t="s">
        <v>47</v>
      </c>
      <c r="C191" s="13" t="n">
        <v>-0.0394299807788914</v>
      </c>
      <c r="D191" s="13" t="n">
        <v>-0.0337776553001937</v>
      </c>
      <c r="E191" s="13" t="n">
        <v>-0.0348945081419582</v>
      </c>
      <c r="F191" s="13" t="n">
        <v>-0.0137891737140157</v>
      </c>
      <c r="G191" s="13" t="n">
        <v>-0.0367039542720618</v>
      </c>
      <c r="H191" s="14" t="n">
        <f aca="false">H190*(1+C191)</f>
        <v>5979.99694060338</v>
      </c>
      <c r="I191" s="14" t="n">
        <f aca="false">I190*(1+D191)</f>
        <v>7200.75288994934</v>
      </c>
      <c r="J191" s="14" t="n">
        <f aca="false">J190*(1+E191)</f>
        <v>6687.19688521035</v>
      </c>
      <c r="K191" s="14" t="n">
        <f aca="false">K190*(1+F191)</f>
        <v>5214.06823695474</v>
      </c>
      <c r="L191" s="14" t="n">
        <f aca="false">L190*(1+G191)</f>
        <v>7214.17406772153</v>
      </c>
      <c r="M191" s="14" t="n">
        <f aca="false">H191-H190</f>
        <v>-245.470043523756</v>
      </c>
      <c r="N191" s="14" t="n">
        <f aca="false">I191-I190</f>
        <v>-251.727307231907</v>
      </c>
      <c r="O191" s="14" t="n">
        <f aca="false">J191-J190</f>
        <v>-241.783357494533</v>
      </c>
      <c r="P191" s="14" t="n">
        <f aca="false">K191-K190</f>
        <v>-72.9029643153108</v>
      </c>
      <c r="Q191" s="14" t="n">
        <f aca="false">L191-L190</f>
        <v>-274.877817952892</v>
      </c>
    </row>
    <row r="192" customFormat="false" ht="15" hidden="false" customHeight="false" outlineLevel="0" collapsed="false">
      <c r="A192" s="11" t="n">
        <v>46213</v>
      </c>
      <c r="B192" s="12" t="s">
        <v>48</v>
      </c>
      <c r="C192" s="13" t="n">
        <v>-0.00149802078786199</v>
      </c>
      <c r="D192" s="13" t="n">
        <v>-0.0016695587096899</v>
      </c>
      <c r="E192" s="13" t="n">
        <v>-0.00100613449665754</v>
      </c>
      <c r="F192" s="13" t="n">
        <v>-0.016612448955725</v>
      </c>
      <c r="G192" s="13" t="n">
        <v>-0.00231681598433736</v>
      </c>
      <c r="H192" s="14" t="n">
        <f aca="false">H191*(1+C192)</f>
        <v>5971.03878087501</v>
      </c>
      <c r="I192" s="14" t="n">
        <f aca="false">I191*(1+D192)</f>
        <v>7188.7308102456</v>
      </c>
      <c r="J192" s="14" t="n">
        <f aca="false">J191*(1+E192)</f>
        <v>6680.46866573819</v>
      </c>
      <c r="K192" s="14" t="n">
        <f aca="false">K191*(1+F192)</f>
        <v>5127.44979451666</v>
      </c>
      <c r="L192" s="14" t="n">
        <f aca="false">L191*(1+G192)</f>
        <v>7197.46015392764</v>
      </c>
      <c r="M192" s="14" t="n">
        <f aca="false">H192-H191</f>
        <v>-8.95815972837499</v>
      </c>
      <c r="N192" s="14" t="n">
        <f aca="false">I192-I191</f>
        <v>-12.0220797037391</v>
      </c>
      <c r="O192" s="14" t="n">
        <f aca="false">J192-J191</f>
        <v>-6.72821947215107</v>
      </c>
      <c r="P192" s="14" t="n">
        <f aca="false">K192-K191</f>
        <v>-86.6184424380781</v>
      </c>
      <c r="Q192" s="14" t="n">
        <f aca="false">L192-L191</f>
        <v>-16.7139137938893</v>
      </c>
    </row>
    <row r="193" customFormat="false" ht="15" hidden="false" customHeight="false" outlineLevel="0" collapsed="false">
      <c r="A193" s="11" t="n">
        <v>46214</v>
      </c>
      <c r="B193" s="12" t="s">
        <v>49</v>
      </c>
      <c r="C193" s="13" t="n">
        <v>0.0140062864295867</v>
      </c>
      <c r="D193" s="13" t="n">
        <v>0.00725010514222287</v>
      </c>
      <c r="E193" s="13" t="n">
        <v>0.00656962126574413</v>
      </c>
      <c r="F193" s="13" t="n">
        <v>0.00548792992860292</v>
      </c>
      <c r="G193" s="13" t="n">
        <v>0.00889411187283451</v>
      </c>
      <c r="H193" s="14" t="n">
        <f aca="false">H192*(1+C193)</f>
        <v>6054.67086032211</v>
      </c>
      <c r="I193" s="14" t="n">
        <f aca="false">I192*(1+D193)</f>
        <v>7240.84986445902</v>
      </c>
      <c r="J193" s="14" t="n">
        <f aca="false">J192*(1+E193)</f>
        <v>6724.35681474977</v>
      </c>
      <c r="K193" s="14" t="n">
        <f aca="false">K192*(1+F193)</f>
        <v>5155.5888797014</v>
      </c>
      <c r="L193" s="14" t="n">
        <f aca="false">L192*(1+G193)</f>
        <v>7261.47516973694</v>
      </c>
      <c r="M193" s="14" t="n">
        <f aca="false">H193-H192</f>
        <v>83.6320794471058</v>
      </c>
      <c r="N193" s="14" t="n">
        <f aca="false">I193-I192</f>
        <v>52.1190542134182</v>
      </c>
      <c r="O193" s="14" t="n">
        <f aca="false">J193-J192</f>
        <v>43.8881490115718</v>
      </c>
      <c r="P193" s="14" t="n">
        <f aca="false">K193-K192</f>
        <v>28.1390851847373</v>
      </c>
      <c r="Q193" s="14" t="n">
        <f aca="false">L193-L192</f>
        <v>64.0150158093011</v>
      </c>
    </row>
    <row r="194" customFormat="false" ht="15" hidden="false" customHeight="false" outlineLevel="0" collapsed="false">
      <c r="A194" s="11" t="n">
        <v>46215</v>
      </c>
      <c r="B194" s="12" t="s">
        <v>50</v>
      </c>
      <c r="C194" s="13" t="n">
        <v>0.021078673184206</v>
      </c>
      <c r="D194" s="13" t="n">
        <v>0.0150161160783031</v>
      </c>
      <c r="E194" s="13" t="n">
        <v>0.0149822987303812</v>
      </c>
      <c r="F194" s="13" t="n">
        <v>0.0202449324790022</v>
      </c>
      <c r="G194" s="13" t="n">
        <v>0.0169400033892493</v>
      </c>
      <c r="H194" s="14" t="n">
        <f aca="false">H193*(1+C194)</f>
        <v>6182.29528862478</v>
      </c>
      <c r="I194" s="14" t="n">
        <f aca="false">I193*(1+D194)</f>
        <v>7349.5793065293</v>
      </c>
      <c r="J194" s="14" t="n">
        <f aca="false">J193*(1+E194)</f>
        <v>6825.10313731802</v>
      </c>
      <c r="K194" s="14" t="n">
        <f aca="false">K193*(1+F194)</f>
        <v>5259.96342846045</v>
      </c>
      <c r="L194" s="14" t="n">
        <f aca="false">L193*(1+G194)</f>
        <v>7384.48458372324</v>
      </c>
      <c r="M194" s="14" t="n">
        <f aca="false">H194-H193</f>
        <v>127.624428302665</v>
      </c>
      <c r="N194" s="14" t="n">
        <f aca="false">I194-I193</f>
        <v>108.729442070282</v>
      </c>
      <c r="O194" s="14" t="n">
        <f aca="false">J194-J193</f>
        <v>100.746322568255</v>
      </c>
      <c r="P194" s="14" t="n">
        <f aca="false">K194-K193</f>
        <v>104.37454875905</v>
      </c>
      <c r="Q194" s="14" t="n">
        <f aca="false">L194-L193</f>
        <v>123.009413986293</v>
      </c>
    </row>
    <row r="195" customFormat="false" ht="15" hidden="false" customHeight="false" outlineLevel="0" collapsed="false">
      <c r="A195" s="11" t="n">
        <v>46216</v>
      </c>
      <c r="B195" s="12" t="s">
        <v>51</v>
      </c>
      <c r="C195" s="13" t="n">
        <v>-0.00644002722182852</v>
      </c>
      <c r="D195" s="13" t="n">
        <v>0.00285750239705055</v>
      </c>
      <c r="E195" s="13" t="n">
        <v>0.00285746465811607</v>
      </c>
      <c r="F195" s="13" t="n">
        <v>-0.00810964362917588</v>
      </c>
      <c r="G195" s="13" t="n">
        <v>0.0040672165464668</v>
      </c>
      <c r="H195" s="14" t="n">
        <f aca="false">H194*(1+C195)</f>
        <v>6142.48113867265</v>
      </c>
      <c r="I195" s="14" t="n">
        <f aca="false">I194*(1+D195)</f>
        <v>7370.58074701502</v>
      </c>
      <c r="J195" s="14" t="n">
        <f aca="false">J194*(1+E195)</f>
        <v>6844.6056283209</v>
      </c>
      <c r="K195" s="14" t="n">
        <f aca="false">K194*(1+F195)</f>
        <v>5217.30699955314</v>
      </c>
      <c r="L195" s="14" t="n">
        <f aca="false">L194*(1+G195)</f>
        <v>7414.51888160929</v>
      </c>
      <c r="M195" s="14" t="n">
        <f aca="false">H195-H194</f>
        <v>-39.8141499521262</v>
      </c>
      <c r="N195" s="14" t="n">
        <f aca="false">I195-I194</f>
        <v>21.0014404857202</v>
      </c>
      <c r="O195" s="14" t="n">
        <f aca="false">J195-J194</f>
        <v>19.5024910028833</v>
      </c>
      <c r="P195" s="14" t="n">
        <f aca="false">K195-K194</f>
        <v>-42.6564289073122</v>
      </c>
      <c r="Q195" s="14" t="n">
        <f aca="false">L195-L194</f>
        <v>30.0342978860481</v>
      </c>
    </row>
    <row r="196" customFormat="false" ht="15" hidden="false" customHeight="false" outlineLevel="0" collapsed="false">
      <c r="A196" s="11" t="n">
        <v>46217</v>
      </c>
      <c r="B196" s="12" t="s">
        <v>52</v>
      </c>
      <c r="C196" s="13" t="n">
        <v>0.0341337678113963</v>
      </c>
      <c r="D196" s="13" t="n">
        <v>0.0191469498603903</v>
      </c>
      <c r="E196" s="13" t="n">
        <v>0.0191469522938179</v>
      </c>
      <c r="F196" s="13" t="n">
        <v>0.0209473117340302</v>
      </c>
      <c r="G196" s="13" t="n">
        <v>0.0209172107392399</v>
      </c>
      <c r="H196" s="14" t="n">
        <f aca="false">H195*(1+C196)</f>
        <v>6352.14716364598</v>
      </c>
      <c r="I196" s="14" t="n">
        <f aca="false">I195*(1+D196)</f>
        <v>7511.70488702008</v>
      </c>
      <c r="J196" s="14" t="n">
        <f aca="false">J195*(1+E196)</f>
        <v>6975.65896575636</v>
      </c>
      <c r="K196" s="14" t="n">
        <f aca="false">K195*(1+F196)</f>
        <v>5326.59555568492</v>
      </c>
      <c r="L196" s="14" t="n">
        <f aca="false">L195*(1+G196)</f>
        <v>7569.60993558598</v>
      </c>
      <c r="M196" s="14" t="n">
        <f aca="false">H196-H195</f>
        <v>209.666024973334</v>
      </c>
      <c r="N196" s="14" t="n">
        <f aca="false">I196-I195</f>
        <v>141.124140005054</v>
      </c>
      <c r="O196" s="14" t="n">
        <f aca="false">J196-J195</f>
        <v>131.053337435458</v>
      </c>
      <c r="P196" s="14" t="n">
        <f aca="false">K196-K195</f>
        <v>109.288556131777</v>
      </c>
      <c r="Q196" s="14" t="n">
        <f aca="false">L196-L195</f>
        <v>155.091053976695</v>
      </c>
    </row>
    <row r="197" customFormat="false" ht="15" hidden="false" customHeight="false" outlineLevel="0" collapsed="false">
      <c r="A197" s="11" t="n">
        <v>46218</v>
      </c>
      <c r="B197" s="12" t="s">
        <v>53</v>
      </c>
      <c r="C197" s="13" t="n">
        <v>0.0175213275756061</v>
      </c>
      <c r="D197" s="13" t="n">
        <v>0.00971166354310805</v>
      </c>
      <c r="E197" s="13" t="n">
        <v>0.00971166369978688</v>
      </c>
      <c r="F197" s="13" t="n">
        <v>0.012526636123132</v>
      </c>
      <c r="G197" s="13" t="n">
        <v>0.0108198223103853</v>
      </c>
      <c r="H197" s="14" t="n">
        <f aca="false">H196*(1+C197)</f>
        <v>6463.44521490868</v>
      </c>
      <c r="I197" s="14" t="n">
        <f aca="false">I196*(1+D197)</f>
        <v>7584.65603751793</v>
      </c>
      <c r="J197" s="14" t="n">
        <f aca="false">J196*(1+E197)</f>
        <v>7043.40421971619</v>
      </c>
      <c r="K197" s="14" t="n">
        <f aca="false">K196*(1+F197)</f>
        <v>5393.31987998607</v>
      </c>
      <c r="L197" s="14" t="n">
        <f aca="false">L196*(1+G197)</f>
        <v>7651.51177004795</v>
      </c>
      <c r="M197" s="14" t="n">
        <f aca="false">H197-H196</f>
        <v>111.298051262698</v>
      </c>
      <c r="N197" s="14" t="n">
        <f aca="false">I197-I196</f>
        <v>72.9511504978591</v>
      </c>
      <c r="O197" s="14" t="n">
        <f aca="false">J197-J196</f>
        <v>67.7452539598289</v>
      </c>
      <c r="P197" s="14" t="n">
        <f aca="false">K197-K196</f>
        <v>66.7243243011571</v>
      </c>
      <c r="Q197" s="14" t="n">
        <f aca="false">L197-L196</f>
        <v>81.9018344619672</v>
      </c>
    </row>
    <row r="198" customFormat="false" ht="15" hidden="false" customHeight="false" outlineLevel="0" collapsed="false">
      <c r="A198" s="11" t="n">
        <v>46219</v>
      </c>
      <c r="B198" s="12" t="s">
        <v>47</v>
      </c>
      <c r="C198" s="13" t="n">
        <v>-0.0182034863221083</v>
      </c>
      <c r="D198" s="13" t="n">
        <v>-0.0183262694954192</v>
      </c>
      <c r="E198" s="13" t="n">
        <v>-0.0183628031080238</v>
      </c>
      <c r="F198" s="13" t="n">
        <v>-0.0221192848698334</v>
      </c>
      <c r="G198" s="13" t="n">
        <v>-0.020008843949665</v>
      </c>
      <c r="H198" s="14" t="n">
        <f aca="false">H197*(1+C198)</f>
        <v>6345.7879783454</v>
      </c>
      <c r="I198" s="14" t="n">
        <f aca="false">I197*(1+D198)</f>
        <v>7445.65758694432</v>
      </c>
      <c r="J198" s="14" t="n">
        <f aca="false">J197*(1+E198)</f>
        <v>6914.06757481932</v>
      </c>
      <c r="K198" s="14" t="n">
        <f aca="false">K197*(1+F198)</f>
        <v>5274.02350116652</v>
      </c>
      <c r="L198" s="14" t="n">
        <f aca="false">L197*(1+G198)</f>
        <v>7498.41386506203</v>
      </c>
      <c r="M198" s="14" t="n">
        <f aca="false">H198-H197</f>
        <v>-117.657236563286</v>
      </c>
      <c r="N198" s="14" t="n">
        <f aca="false">I198-I197</f>
        <v>-138.998450573612</v>
      </c>
      <c r="O198" s="14" t="n">
        <f aca="false">J198-J197</f>
        <v>-129.336644896873</v>
      </c>
      <c r="P198" s="14" t="n">
        <f aca="false">K198-K197</f>
        <v>-119.296378819548</v>
      </c>
      <c r="Q198" s="14" t="n">
        <f aca="false">L198-L197</f>
        <v>-153.097904985914</v>
      </c>
    </row>
    <row r="199" customFormat="false" ht="15" hidden="false" customHeight="false" outlineLevel="0" collapsed="false">
      <c r="A199" s="11" t="n">
        <v>46220</v>
      </c>
      <c r="B199" s="12" t="s">
        <v>48</v>
      </c>
      <c r="C199" s="13" t="n">
        <v>0.029914020495402</v>
      </c>
      <c r="D199" s="13" t="n">
        <v>0.0257329961288788</v>
      </c>
      <c r="E199" s="13" t="n">
        <v>0.0272795569366731</v>
      </c>
      <c r="F199" s="13" t="n">
        <v>0.0242800069550633</v>
      </c>
      <c r="G199" s="13" t="n">
        <v>0.029406047582222</v>
      </c>
      <c r="H199" s="14" t="n">
        <f aca="false">H198*(1+C199)</f>
        <v>6535.6160099891</v>
      </c>
      <c r="I199" s="14" t="n">
        <f aca="false">I198*(1+D199)</f>
        <v>7637.25666480612</v>
      </c>
      <c r="J199" s="14" t="n">
        <f aca="false">J198*(1+E199)</f>
        <v>7102.68027489061</v>
      </c>
      <c r="K199" s="14" t="n">
        <f aca="false">K198*(1+F199)</f>
        <v>5402.07682845601</v>
      </c>
      <c r="L199" s="14" t="n">
        <f aca="false">L198*(1+G199)</f>
        <v>7718.91257996924</v>
      </c>
      <c r="M199" s="14" t="n">
        <f aca="false">H199-H198</f>
        <v>189.8280316437</v>
      </c>
      <c r="N199" s="14" t="n">
        <f aca="false">I199-I198</f>
        <v>191.599077861795</v>
      </c>
      <c r="O199" s="14" t="n">
        <f aca="false">J199-J198</f>
        <v>188.612700071289</v>
      </c>
      <c r="P199" s="14" t="n">
        <f aca="false">K199-K198</f>
        <v>128.05332728949</v>
      </c>
      <c r="Q199" s="14" t="n">
        <f aca="false">L199-L198</f>
        <v>220.498714907208</v>
      </c>
    </row>
    <row r="200" customFormat="false" ht="15" hidden="false" customHeight="false" outlineLevel="0" collapsed="false">
      <c r="A200" s="11" t="n">
        <v>46221</v>
      </c>
      <c r="B200" s="12" t="s">
        <v>49</v>
      </c>
      <c r="C200" s="13" t="n">
        <v>-0.00535325058323805</v>
      </c>
      <c r="D200" s="13" t="n">
        <v>-0.0107465329065931</v>
      </c>
      <c r="E200" s="13" t="n">
        <v>-0.00974281074399518</v>
      </c>
      <c r="F200" s="13" t="n">
        <v>-0.00479932135415351</v>
      </c>
      <c r="G200" s="13" t="n">
        <v>-0.0122642414594312</v>
      </c>
      <c r="H200" s="14" t="n">
        <f aca="false">H199*(1+C200)</f>
        <v>6500.6292197718</v>
      </c>
      <c r="I200" s="14" t="n">
        <f aca="false">I199*(1+D200)</f>
        <v>7555.18263474168</v>
      </c>
      <c r="J200" s="14" t="n">
        <f aca="false">J199*(1+E200)</f>
        <v>7033.48020519724</v>
      </c>
      <c r="K200" s="14" t="n">
        <f aca="false">K199*(1+F200)</f>
        <v>5376.15052577643</v>
      </c>
      <c r="L200" s="14" t="n">
        <f aca="false">L199*(1+G200)</f>
        <v>7624.24597228426</v>
      </c>
      <c r="M200" s="14" t="n">
        <f aca="false">H200-H199</f>
        <v>-34.9867902172946</v>
      </c>
      <c r="N200" s="14" t="n">
        <f aca="false">I200-I199</f>
        <v>-82.0740300644366</v>
      </c>
      <c r="O200" s="14" t="n">
        <f aca="false">J200-J199</f>
        <v>-69.2000696933674</v>
      </c>
      <c r="P200" s="14" t="n">
        <f aca="false">K200-K199</f>
        <v>-25.926302679587</v>
      </c>
      <c r="Q200" s="14" t="n">
        <f aca="false">L200-L199</f>
        <v>-94.6666076849833</v>
      </c>
    </row>
    <row r="201" customFormat="false" ht="15" hidden="false" customHeight="false" outlineLevel="0" collapsed="false">
      <c r="A201" s="11" t="n">
        <v>46222</v>
      </c>
      <c r="B201" s="12" t="s">
        <v>50</v>
      </c>
      <c r="C201" s="13" t="n">
        <v>0.0169733227953518</v>
      </c>
      <c r="D201" s="13" t="n">
        <v>0.020880957606139</v>
      </c>
      <c r="E201" s="13" t="n">
        <v>0.0200992209674669</v>
      </c>
      <c r="F201" s="13" t="n">
        <v>0.00523031433427035</v>
      </c>
      <c r="G201" s="13" t="n">
        <v>0.0285681631409535</v>
      </c>
      <c r="H201" s="14" t="n">
        <f aca="false">H200*(1+C201)</f>
        <v>6610.96649789188</v>
      </c>
      <c r="I201" s="14" t="n">
        <f aca="false">I200*(1+D201)</f>
        <v>7712.94208304436</v>
      </c>
      <c r="J201" s="14" t="n">
        <f aca="false">J200*(1+E201)</f>
        <v>7174.8476780118</v>
      </c>
      <c r="K201" s="14" t="n">
        <f aca="false">K200*(1+F201)</f>
        <v>5404.26948293459</v>
      </c>
      <c r="L201" s="14" t="n">
        <f aca="false">L200*(1+G201)</f>
        <v>7842.05667504723</v>
      </c>
      <c r="M201" s="14" t="n">
        <f aca="false">H201-H200</f>
        <v>110.337278120083</v>
      </c>
      <c r="N201" s="14" t="n">
        <f aca="false">I201-I200</f>
        <v>157.759448302679</v>
      </c>
      <c r="O201" s="14" t="n">
        <f aca="false">J201-J200</f>
        <v>141.367472814563</v>
      </c>
      <c r="P201" s="14" t="n">
        <f aca="false">K201-K200</f>
        <v>28.1189571581626</v>
      </c>
      <c r="Q201" s="14" t="n">
        <f aca="false">L201-L200</f>
        <v>217.810702762975</v>
      </c>
    </row>
    <row r="202" customFormat="false" ht="15" hidden="false" customHeight="false" outlineLevel="0" collapsed="false">
      <c r="A202" s="11" t="n">
        <v>46223</v>
      </c>
      <c r="B202" s="12" t="s">
        <v>51</v>
      </c>
      <c r="C202" s="13" t="n">
        <v>-0.000660444442800168</v>
      </c>
      <c r="D202" s="13" t="n">
        <v>0.00730565087125988</v>
      </c>
      <c r="E202" s="13" t="n">
        <v>0.00829102525556975</v>
      </c>
      <c r="F202" s="13" t="n">
        <v>-0.00795705119643725</v>
      </c>
      <c r="G202" s="13" t="n">
        <v>0.00859217776529675</v>
      </c>
      <c r="H202" s="14" t="n">
        <f aca="false">H201*(1+C202)</f>
        <v>6606.60032180681</v>
      </c>
      <c r="I202" s="14" t="n">
        <f aca="false">I201*(1+D202)</f>
        <v>7769.29014509333</v>
      </c>
      <c r="J202" s="14" t="n">
        <f aca="false">J201*(1+E202)</f>
        <v>7234.33452131507</v>
      </c>
      <c r="K202" s="14" t="n">
        <f aca="false">K201*(1+F202)</f>
        <v>5361.26743397954</v>
      </c>
      <c r="L202" s="14" t="n">
        <f aca="false">L201*(1+G202)</f>
        <v>7909.43702004477</v>
      </c>
      <c r="M202" s="14" t="n">
        <f aca="false">H202-H201</f>
        <v>-4.36617608507095</v>
      </c>
      <c r="N202" s="14" t="n">
        <f aca="false">I202-I201</f>
        <v>56.34806204897</v>
      </c>
      <c r="O202" s="14" t="n">
        <f aca="false">J202-J201</f>
        <v>59.4868433032616</v>
      </c>
      <c r="P202" s="14" t="n">
        <f aca="false">K202-K201</f>
        <v>-43.0020489550543</v>
      </c>
      <c r="Q202" s="14" t="n">
        <f aca="false">L202-L201</f>
        <v>67.3803449975385</v>
      </c>
    </row>
    <row r="203" customFormat="false" ht="15" hidden="false" customHeight="false" outlineLevel="0" collapsed="false">
      <c r="A203" s="11" t="n">
        <v>46224</v>
      </c>
      <c r="B203" s="12" t="s">
        <v>52</v>
      </c>
      <c r="C203" s="13" t="n">
        <v>-0.0156232581753316</v>
      </c>
      <c r="D203" s="13" t="n">
        <v>-0.0196411091729237</v>
      </c>
      <c r="E203" s="13" t="n">
        <v>-0.0105403849372698</v>
      </c>
      <c r="F203" s="13" t="n">
        <v>-0.0210175308882851</v>
      </c>
      <c r="G203" s="13" t="n">
        <v>-0.0230711218230389</v>
      </c>
      <c r="H203" s="14" t="n">
        <f aca="false">H202*(1+C203)</f>
        <v>6503.383699318</v>
      </c>
      <c r="I203" s="14" t="n">
        <f aca="false">I202*(1+D203)</f>
        <v>7616.69266915743</v>
      </c>
      <c r="J203" s="14" t="n">
        <f aca="false">J202*(1+E203)</f>
        <v>7158.08185069543</v>
      </c>
      <c r="K203" s="14" t="n">
        <f aca="false">K202*(1+F203)</f>
        <v>5248.58683008551</v>
      </c>
      <c r="L203" s="14" t="n">
        <f aca="false">L202*(1+G203)</f>
        <v>7726.95743500366</v>
      </c>
      <c r="M203" s="14" t="n">
        <f aca="false">H203-H202</f>
        <v>-103.216622488817</v>
      </c>
      <c r="N203" s="14" t="n">
        <f aca="false">I203-I202</f>
        <v>-152.597475935899</v>
      </c>
      <c r="O203" s="14" t="n">
        <f aca="false">J203-J202</f>
        <v>-76.2526706196404</v>
      </c>
      <c r="P203" s="14" t="n">
        <f aca="false">K203-K202</f>
        <v>-112.680603894022</v>
      </c>
      <c r="Q203" s="14" t="n">
        <f aca="false">L203-L202</f>
        <v>-182.479585041107</v>
      </c>
    </row>
    <row r="204" customFormat="false" ht="15" hidden="false" customHeight="false" outlineLevel="0" collapsed="false">
      <c r="A204" s="11" t="n">
        <v>46225</v>
      </c>
      <c r="B204" s="12" t="s">
        <v>53</v>
      </c>
      <c r="C204" s="13" t="n">
        <v>0.00118318403431944</v>
      </c>
      <c r="D204" s="13" t="n">
        <v>0.0018155732106775</v>
      </c>
      <c r="E204" s="13" t="n">
        <v>-6.08624380049577E-005</v>
      </c>
      <c r="F204" s="13" t="n">
        <v>0.00153646896895621</v>
      </c>
      <c r="G204" s="13" t="n">
        <v>0.00254304387011417</v>
      </c>
      <c r="H204" s="14" t="n">
        <f aca="false">H203*(1+C204)</f>
        <v>6511.07839908008</v>
      </c>
      <c r="I204" s="14" t="n">
        <f aca="false">I203*(1+D204)</f>
        <v>7630.52133232152</v>
      </c>
      <c r="J204" s="14" t="n">
        <f aca="false">J203*(1+E204)</f>
        <v>7157.64619238255</v>
      </c>
      <c r="K204" s="14" t="n">
        <f aca="false">K203*(1+F204)</f>
        <v>5256.65112088081</v>
      </c>
      <c r="L204" s="14" t="n">
        <f aca="false">L203*(1+G204)</f>
        <v>7746.60742674338</v>
      </c>
      <c r="M204" s="14" t="n">
        <f aca="false">H204-H203</f>
        <v>7.69469976208711</v>
      </c>
      <c r="N204" s="14" t="n">
        <f aca="false">I204-I203</f>
        <v>13.8286631640858</v>
      </c>
      <c r="O204" s="14" t="n">
        <f aca="false">J204-J203</f>
        <v>-0.435658312871965</v>
      </c>
      <c r="P204" s="14" t="n">
        <f aca="false">K204-K203</f>
        <v>8.0642907952988</v>
      </c>
      <c r="Q204" s="14" t="n">
        <f aca="false">L204-L203</f>
        <v>19.6499917397196</v>
      </c>
    </row>
    <row r="205" customFormat="false" ht="15" hidden="false" customHeight="false" outlineLevel="0" collapsed="false">
      <c r="A205" s="11" t="n">
        <v>46226</v>
      </c>
      <c r="B205" s="12" t="s">
        <v>47</v>
      </c>
      <c r="C205" s="13" t="n">
        <v>0.0167210730798771</v>
      </c>
      <c r="D205" s="13" t="n">
        <v>0.00740432291782407</v>
      </c>
      <c r="E205" s="13" t="n">
        <v>0.0189605960325717</v>
      </c>
      <c r="F205" s="13" t="n">
        <v>0.0204754361652312</v>
      </c>
      <c r="G205" s="13" t="n">
        <v>0.00878835870375461</v>
      </c>
      <c r="H205" s="14" t="n">
        <f aca="false">H204*(1+C205)</f>
        <v>6619.95061681991</v>
      </c>
      <c r="I205" s="14" t="n">
        <f aca="false">I204*(1+D205)</f>
        <v>7687.02017629737</v>
      </c>
      <c r="J205" s="14" t="n">
        <f aca="false">J204*(1+E205)</f>
        <v>7293.35943038039</v>
      </c>
      <c r="K205" s="14" t="n">
        <f aca="false">K204*(1+F205)</f>
        <v>5364.2833453493</v>
      </c>
      <c r="L205" s="14" t="n">
        <f aca="false">L204*(1+G205)</f>
        <v>7814.68739154677</v>
      </c>
      <c r="M205" s="14" t="n">
        <f aca="false">H205-H204</f>
        <v>108.872217739829</v>
      </c>
      <c r="N205" s="14" t="n">
        <f aca="false">I205-I204</f>
        <v>56.4988439758536</v>
      </c>
      <c r="O205" s="14" t="n">
        <f aca="false">J205-J204</f>
        <v>135.71323799784</v>
      </c>
      <c r="P205" s="14" t="n">
        <f aca="false">K205-K204</f>
        <v>107.632224468486</v>
      </c>
      <c r="Q205" s="14" t="n">
        <f aca="false">L205-L204</f>
        <v>68.0799648033908</v>
      </c>
    </row>
    <row r="206" customFormat="false" ht="15" hidden="false" customHeight="false" outlineLevel="0" collapsed="false">
      <c r="A206" s="11" t="n">
        <v>46227</v>
      </c>
      <c r="B206" s="12" t="s">
        <v>48</v>
      </c>
      <c r="C206" s="13" t="n">
        <v>0.000596857645506654</v>
      </c>
      <c r="D206" s="13" t="n">
        <v>0.0102088332450647</v>
      </c>
      <c r="E206" s="13" t="n">
        <v>-0.00405222463568552</v>
      </c>
      <c r="F206" s="13" t="n">
        <v>0.00155738757104051</v>
      </c>
      <c r="G206" s="13" t="n">
        <v>0.0109717364953832</v>
      </c>
      <c r="H206" s="14" t="n">
        <f aca="false">H205*(1+C206)</f>
        <v>6623.90178495844</v>
      </c>
      <c r="I206" s="14" t="n">
        <f aca="false">I205*(1+D206)</f>
        <v>7765.49568342864</v>
      </c>
      <c r="J206" s="14" t="n">
        <f aca="false">J205*(1+E206)</f>
        <v>7263.8050996197</v>
      </c>
      <c r="K206" s="14" t="n">
        <f aca="false">K205*(1+F206)</f>
        <v>5372.63761355889</v>
      </c>
      <c r="L206" s="14" t="n">
        <f aca="false">L205*(1+G206)</f>
        <v>7900.42808240062</v>
      </c>
      <c r="M206" s="14" t="n">
        <f aca="false">H206-H205</f>
        <v>3.95116813852565</v>
      </c>
      <c r="N206" s="14" t="n">
        <f aca="false">I206-I205</f>
        <v>78.4755071312675</v>
      </c>
      <c r="O206" s="14" t="n">
        <f aca="false">J206-J205</f>
        <v>-29.5543307606968</v>
      </c>
      <c r="P206" s="14" t="n">
        <f aca="false">K206-K205</f>
        <v>8.35426820958764</v>
      </c>
      <c r="Q206" s="14" t="n">
        <f aca="false">L206-L205</f>
        <v>85.7406908538442</v>
      </c>
    </row>
    <row r="207" customFormat="false" ht="15" hidden="false" customHeight="false" outlineLevel="0" collapsed="false">
      <c r="A207" s="11" t="n">
        <v>46228</v>
      </c>
      <c r="B207" s="12" t="s">
        <v>49</v>
      </c>
      <c r="C207" s="13" t="n">
        <v>-0.00370819894566993</v>
      </c>
      <c r="D207" s="13" t="n">
        <v>0.0025314096485619</v>
      </c>
      <c r="E207" s="13" t="n">
        <v>-0.0014472013977726</v>
      </c>
      <c r="F207" s="13" t="n">
        <v>-0.00712664533756269</v>
      </c>
      <c r="G207" s="13" t="n">
        <v>0.002221675826235</v>
      </c>
      <c r="H207" s="14" t="n">
        <f aca="false">H206*(1+C207)</f>
        <v>6599.33903934323</v>
      </c>
      <c r="I207" s="14" t="n">
        <f aca="false">I206*(1+D207)</f>
        <v>7785.15333412753</v>
      </c>
      <c r="J207" s="14" t="n">
        <f aca="false">J206*(1+E207)</f>
        <v>7253.29291072638</v>
      </c>
      <c r="K207" s="14" t="n">
        <f aca="false">K206*(1+F207)</f>
        <v>5334.3487307598</v>
      </c>
      <c r="L207" s="14" t="n">
        <f aca="false">L206*(1+G207)</f>
        <v>7917.9802724882</v>
      </c>
      <c r="M207" s="14" t="n">
        <f aca="false">H207-H206</f>
        <v>-24.5627456152042</v>
      </c>
      <c r="N207" s="14" t="n">
        <f aca="false">I207-I206</f>
        <v>19.6576506988959</v>
      </c>
      <c r="O207" s="14" t="n">
        <f aca="false">J207-J206</f>
        <v>-10.5121888933181</v>
      </c>
      <c r="P207" s="14" t="n">
        <f aca="false">K207-K206</f>
        <v>-38.2888827990837</v>
      </c>
      <c r="Q207" s="14" t="n">
        <f aca="false">L207-L206</f>
        <v>17.5521900875774</v>
      </c>
    </row>
    <row r="208" customFormat="false" ht="15" hidden="false" customHeight="false" outlineLevel="0" collapsed="false">
      <c r="A208" s="11" t="n">
        <v>46229</v>
      </c>
      <c r="B208" s="12" t="s">
        <v>50</v>
      </c>
      <c r="C208" s="13" t="n">
        <v>-0.00262115753282549</v>
      </c>
      <c r="D208" s="13" t="n">
        <v>-0.00772558059892421</v>
      </c>
      <c r="E208" s="13" t="n">
        <v>-0.00347391330007444</v>
      </c>
      <c r="F208" s="13" t="n">
        <v>-0.000133355685843883</v>
      </c>
      <c r="G208" s="13" t="n">
        <v>-0.0111829444753088</v>
      </c>
      <c r="H208" s="14" t="n">
        <f aca="false">H207*(1+C208)</f>
        <v>6582.04113210859</v>
      </c>
      <c r="I208" s="14" t="n">
        <f aca="false">I207*(1+D208)</f>
        <v>7725.00850456975</v>
      </c>
      <c r="J208" s="14" t="n">
        <f aca="false">J207*(1+E208)</f>
        <v>7228.09560001447</v>
      </c>
      <c r="K208" s="14" t="n">
        <f aca="false">K207*(1+F208)</f>
        <v>5333.63736502628</v>
      </c>
      <c r="L208" s="14" t="n">
        <f aca="false">L207*(1+G208)</f>
        <v>7829.43393874437</v>
      </c>
      <c r="M208" s="14" t="n">
        <f aca="false">H208-H207</f>
        <v>-17.2979072346434</v>
      </c>
      <c r="N208" s="14" t="n">
        <f aca="false">I208-I207</f>
        <v>-60.1448295577866</v>
      </c>
      <c r="O208" s="14" t="n">
        <f aca="false">J208-J207</f>
        <v>-25.1973107119075</v>
      </c>
      <c r="P208" s="14" t="n">
        <f aca="false">K208-K207</f>
        <v>-0.711365733521234</v>
      </c>
      <c r="Q208" s="14" t="n">
        <f aca="false">L208-L207</f>
        <v>-88.5463337438259</v>
      </c>
    </row>
    <row r="209" customFormat="false" ht="15" hidden="false" customHeight="false" outlineLevel="0" collapsed="false">
      <c r="A209" s="11" t="n">
        <v>46230</v>
      </c>
      <c r="B209" s="12" t="s">
        <v>51</v>
      </c>
      <c r="C209" s="13" t="n">
        <v>0.0256396953260424</v>
      </c>
      <c r="D209" s="13" t="n">
        <v>0.0225593026733293</v>
      </c>
      <c r="E209" s="13" t="n">
        <v>0.0255817184973563</v>
      </c>
      <c r="F209" s="13" t="n">
        <v>0.0304508999222884</v>
      </c>
      <c r="G209" s="13" t="n">
        <v>0.0229946871964688</v>
      </c>
      <c r="H209" s="14" t="n">
        <f aca="false">H208*(1+C209)</f>
        <v>6750.80266135934</v>
      </c>
      <c r="I209" s="14" t="n">
        <f aca="false">I208*(1+D209)</f>
        <v>7899.27930957838</v>
      </c>
      <c r="J209" s="14" t="n">
        <f aca="false">J208*(1+E209)</f>
        <v>7413.00270692602</v>
      </c>
      <c r="K209" s="14" t="n">
        <f aca="false">K208*(1+F209)</f>
        <v>5496.05142265047</v>
      </c>
      <c r="L209" s="14" t="n">
        <f aca="false">L208*(1+G209)</f>
        <v>8009.46932309121</v>
      </c>
      <c r="M209" s="14" t="n">
        <f aca="false">H209-H208</f>
        <v>168.761529250744</v>
      </c>
      <c r="N209" s="14" t="n">
        <f aca="false">I209-I208</f>
        <v>174.270805008632</v>
      </c>
      <c r="O209" s="14" t="n">
        <f aca="false">J209-J208</f>
        <v>184.90710691155</v>
      </c>
      <c r="P209" s="14" t="n">
        <f aca="false">K209-K208</f>
        <v>162.414057624193</v>
      </c>
      <c r="Q209" s="14" t="n">
        <f aca="false">L209-L208</f>
        <v>180.035384346844</v>
      </c>
    </row>
    <row r="210" customFormat="false" ht="15" hidden="false" customHeight="false" outlineLevel="0" collapsed="false">
      <c r="A210" s="11" t="n">
        <v>46231</v>
      </c>
      <c r="B210" s="12" t="s">
        <v>52</v>
      </c>
      <c r="C210" s="13" t="n">
        <v>0.00976344919599836</v>
      </c>
      <c r="D210" s="13" t="n">
        <v>0.0103126883954723</v>
      </c>
      <c r="E210" s="13" t="n">
        <v>0.0102497201338202</v>
      </c>
      <c r="F210" s="13" t="n">
        <v>0.00833012126515853</v>
      </c>
      <c r="G210" s="13" t="n">
        <v>0.00992755711483806</v>
      </c>
      <c r="H210" s="14" t="n">
        <f aca="false">H209*(1+C210)</f>
        <v>6816.71378017573</v>
      </c>
      <c r="I210" s="14" t="n">
        <f aca="false">I209*(1+D210)</f>
        <v>7980.74211564686</v>
      </c>
      <c r="J210" s="14" t="n">
        <f aca="false">J209*(1+E210)</f>
        <v>7488.98391002327</v>
      </c>
      <c r="K210" s="14" t="n">
        <f aca="false">K209*(1+F210)</f>
        <v>5541.8341974807</v>
      </c>
      <c r="L210" s="14" t="n">
        <f aca="false">L209*(1+G210)</f>
        <v>8088.98378725574</v>
      </c>
      <c r="M210" s="14" t="n">
        <f aca="false">H210-H209</f>
        <v>65.9111188163925</v>
      </c>
      <c r="N210" s="14" t="n">
        <f aca="false">I210-I209</f>
        <v>81.4628060684836</v>
      </c>
      <c r="O210" s="14" t="n">
        <f aca="false">J210-J209</f>
        <v>75.9812030972444</v>
      </c>
      <c r="P210" s="14" t="n">
        <f aca="false">K210-K209</f>
        <v>45.7827748302252</v>
      </c>
      <c r="Q210" s="14" t="n">
        <f aca="false">L210-L209</f>
        <v>79.5144641645311</v>
      </c>
    </row>
    <row r="211" customFormat="false" ht="15" hidden="false" customHeight="false" outlineLevel="0" collapsed="false">
      <c r="A211" s="11" t="n">
        <v>46232</v>
      </c>
      <c r="B211" s="12" t="s">
        <v>53</v>
      </c>
      <c r="C211" s="13" t="n">
        <v>0.00368636606502903</v>
      </c>
      <c r="D211" s="13" t="n">
        <v>0.00278114025243824</v>
      </c>
      <c r="E211" s="13" t="n">
        <v>0.0029245745891213</v>
      </c>
      <c r="F211" s="13" t="n">
        <v>0.00616350178143688</v>
      </c>
      <c r="G211" s="13" t="n">
        <v>0.00308831719986435</v>
      </c>
      <c r="H211" s="14" t="n">
        <f aca="false">H210*(1+C211)</f>
        <v>6841.84268252998</v>
      </c>
      <c r="I211" s="14" t="n">
        <f aca="false">I210*(1+D211)</f>
        <v>8002.93767878902</v>
      </c>
      <c r="J211" s="14" t="n">
        <f aca="false">J210*(1+E211)</f>
        <v>7510.88600206486</v>
      </c>
      <c r="K211" s="14" t="n">
        <f aca="false">K210*(1+F211)</f>
        <v>5575.9913024293</v>
      </c>
      <c r="L211" s="14" t="n">
        <f aca="false">L210*(1+G211)</f>
        <v>8113.96513501535</v>
      </c>
      <c r="M211" s="14" t="n">
        <f aca="false">H211-H210</f>
        <v>25.1289023542558</v>
      </c>
      <c r="N211" s="14" t="n">
        <f aca="false">I211-I210</f>
        <v>22.1955631421552</v>
      </c>
      <c r="O211" s="14" t="n">
        <f aca="false">J211-J210</f>
        <v>21.9020920415924</v>
      </c>
      <c r="P211" s="14" t="n">
        <f aca="false">K211-K210</f>
        <v>34.1571049485992</v>
      </c>
      <c r="Q211" s="14" t="n">
        <f aca="false">L211-L210</f>
        <v>24.9813477596063</v>
      </c>
    </row>
    <row r="212" customFormat="false" ht="15" hidden="false" customHeight="false" outlineLevel="0" collapsed="false">
      <c r="A212" s="11" t="n">
        <v>46233</v>
      </c>
      <c r="B212" s="12" t="s">
        <v>47</v>
      </c>
      <c r="C212" s="13" t="n">
        <v>-0.0176669762888989</v>
      </c>
      <c r="D212" s="13" t="n">
        <v>-0.0288172863785534</v>
      </c>
      <c r="E212" s="13" t="n">
        <v>-0.0192590961328067</v>
      </c>
      <c r="F212" s="13" t="n">
        <v>-0.0161365214176064</v>
      </c>
      <c r="G212" s="13" t="n">
        <v>-0.028620467073064</v>
      </c>
      <c r="H212" s="14" t="n">
        <f aca="false">H211*(1+C212)</f>
        <v>6720.96801008535</v>
      </c>
      <c r="I212" s="14" t="n">
        <f aca="false">I211*(1+D212)</f>
        <v>7772.31473182964</v>
      </c>
      <c r="J212" s="14" t="n">
        <f aca="false">J211*(1+E212)</f>
        <v>7366.23312650854</v>
      </c>
      <c r="K212" s="14" t="n">
        <f aca="false">K211*(1+F212)</f>
        <v>5486.01419935326</v>
      </c>
      <c r="L212" s="14" t="n">
        <f aca="false">L211*(1+G212)</f>
        <v>7881.73966303665</v>
      </c>
      <c r="M212" s="14" t="n">
        <f aca="false">H212-H211</f>
        <v>-120.874672444633</v>
      </c>
      <c r="N212" s="14" t="n">
        <f aca="false">I212-I211</f>
        <v>-230.622946959378</v>
      </c>
      <c r="O212" s="14" t="n">
        <f aca="false">J212-J211</f>
        <v>-144.652875556319</v>
      </c>
      <c r="P212" s="14" t="n">
        <f aca="false">K212-K211</f>
        <v>-89.9771030760376</v>
      </c>
      <c r="Q212" s="14" t="n">
        <f aca="false">L212-L211</f>
        <v>-232.225471978697</v>
      </c>
    </row>
    <row r="213" customFormat="false" ht="15" hidden="false" customHeight="false" outlineLevel="0" collapsed="false">
      <c r="A213" s="11" t="n">
        <v>46234</v>
      </c>
      <c r="B213" s="12" t="s">
        <v>48</v>
      </c>
      <c r="C213" s="13" t="n">
        <v>-0.00116408850139249</v>
      </c>
      <c r="D213" s="13" t="n">
        <v>-0.000696514987133615</v>
      </c>
      <c r="E213" s="13" t="n">
        <v>-0.000649528767118812</v>
      </c>
      <c r="F213" s="13" t="n">
        <v>0.000458441005437293</v>
      </c>
      <c r="G213" s="13" t="n">
        <v>0.000347514556869211</v>
      </c>
      <c r="H213" s="14" t="n">
        <f aca="false">H212*(1+C213)</f>
        <v>6713.14420850658</v>
      </c>
      <c r="I213" s="14" t="n">
        <f aca="false">I212*(1+D213)</f>
        <v>7766.9011981342</v>
      </c>
      <c r="J213" s="14" t="n">
        <f aca="false">J212*(1+E213)</f>
        <v>7361.44854618757</v>
      </c>
      <c r="K213" s="14" t="n">
        <f aca="false">K212*(1+F213)</f>
        <v>5488.52921321866</v>
      </c>
      <c r="L213" s="14" t="n">
        <f aca="false">L212*(1+G213)</f>
        <v>7884.47868230301</v>
      </c>
      <c r="M213" s="14" t="n">
        <f aca="false">H213-H212</f>
        <v>-7.82380157876742</v>
      </c>
      <c r="N213" s="14" t="n">
        <f aca="false">I213-I212</f>
        <v>-5.41353369543867</v>
      </c>
      <c r="O213" s="14" t="n">
        <f aca="false">J213-J212</f>
        <v>-4.78458032097024</v>
      </c>
      <c r="P213" s="14" t="n">
        <f aca="false">K213-K212</f>
        <v>2.5150138653953</v>
      </c>
      <c r="Q213" s="14" t="n">
        <f aca="false">L213-L212</f>
        <v>2.73901926635881</v>
      </c>
    </row>
    <row r="214" customFormat="false" ht="15" hidden="false" customHeight="false" outlineLevel="0" collapsed="false">
      <c r="A214" s="11" t="n">
        <v>46235</v>
      </c>
      <c r="B214" s="12" t="s">
        <v>49</v>
      </c>
      <c r="C214" s="13" t="n">
        <v>0.0256303375554161</v>
      </c>
      <c r="D214" s="13" t="n">
        <v>0.0271826023994944</v>
      </c>
      <c r="E214" s="13" t="n">
        <v>0.027220323271698</v>
      </c>
      <c r="F214" s="13" t="n">
        <v>0.0291726118914549</v>
      </c>
      <c r="G214" s="13" t="n">
        <v>0.0252045857058012</v>
      </c>
      <c r="H214" s="14" t="n">
        <f aca="false">H213*(1+C214)</f>
        <v>6885.20436062879</v>
      </c>
      <c r="I214" s="14" t="n">
        <f aca="false">I213*(1+D214)</f>
        <v>7978.02578527924</v>
      </c>
      <c r="J214" s="14" t="n">
        <f aca="false">J213*(1+E214)</f>
        <v>7561.82955536277</v>
      </c>
      <c r="K214" s="14" t="n">
        <f aca="false">K213*(1+F214)</f>
        <v>5648.6439458108</v>
      </c>
      <c r="L214" s="14" t="n">
        <f aca="false">L213*(1+G214)</f>
        <v>8083.20370099668</v>
      </c>
      <c r="M214" s="14" t="n">
        <f aca="false">H214-H213</f>
        <v>172.060152122211</v>
      </c>
      <c r="N214" s="14" t="n">
        <f aca="false">I214-I213</f>
        <v>211.124587145038</v>
      </c>
      <c r="O214" s="14" t="n">
        <f aca="false">J214-J213</f>
        <v>200.381009175198</v>
      </c>
      <c r="P214" s="14" t="n">
        <f aca="false">K214-K213</f>
        <v>160.114732592139</v>
      </c>
      <c r="Q214" s="14" t="n">
        <f aca="false">L214-L213</f>
        <v>198.725018693669</v>
      </c>
    </row>
    <row r="215" customFormat="false" ht="15" hidden="false" customHeight="false" outlineLevel="0" collapsed="false">
      <c r="A215" s="11" t="n">
        <v>46236</v>
      </c>
      <c r="B215" s="12" t="s">
        <v>50</v>
      </c>
      <c r="C215" s="13" t="n">
        <v>-0.0183938977706653</v>
      </c>
      <c r="D215" s="13" t="n">
        <v>-0.0176049200808621</v>
      </c>
      <c r="E215" s="13" t="n">
        <v>-0.0172030690353441</v>
      </c>
      <c r="F215" s="13" t="n">
        <v>-0.0264135479484097</v>
      </c>
      <c r="G215" s="13" t="n">
        <v>-0.0211142802585639</v>
      </c>
      <c r="H215" s="14" t="n">
        <f aca="false">H214*(1+C215)</f>
        <v>6758.55861548925</v>
      </c>
      <c r="I215" s="14" t="n">
        <f aca="false">I214*(1+D215)</f>
        <v>7837.57327892634</v>
      </c>
      <c r="J215" s="14" t="n">
        <f aca="false">J214*(1+E215)</f>
        <v>7431.74287948836</v>
      </c>
      <c r="K215" s="14" t="n">
        <f aca="false">K214*(1+F215)</f>
        <v>5499.44321810463</v>
      </c>
      <c r="L215" s="14" t="n">
        <f aca="false">L214*(1+G215)</f>
        <v>7912.53267266678</v>
      </c>
      <c r="M215" s="14" t="n">
        <f aca="false">H215-H214</f>
        <v>-126.645745139544</v>
      </c>
      <c r="N215" s="14" t="n">
        <f aca="false">I215-I214</f>
        <v>-140.452506352898</v>
      </c>
      <c r="O215" s="14" t="n">
        <f aca="false">J215-J214</f>
        <v>-130.086675874411</v>
      </c>
      <c r="P215" s="14" t="n">
        <f aca="false">K215-K214</f>
        <v>-149.200727706168</v>
      </c>
      <c r="Q215" s="14" t="n">
        <f aca="false">L215-L214</f>
        <v>-170.671028329904</v>
      </c>
    </row>
    <row r="216" customFormat="false" ht="15" hidden="false" customHeight="false" outlineLevel="0" collapsed="false">
      <c r="A216" s="11" t="n">
        <v>46237</v>
      </c>
      <c r="B216" s="12" t="s">
        <v>51</v>
      </c>
      <c r="C216" s="13" t="n">
        <v>-0.00582924590790607</v>
      </c>
      <c r="D216" s="13" t="n">
        <v>-0.00973981443707146</v>
      </c>
      <c r="E216" s="13" t="n">
        <v>-0.00940952331254948</v>
      </c>
      <c r="F216" s="13" t="n">
        <v>-0.0047782806103322</v>
      </c>
      <c r="G216" s="13" t="n">
        <v>-0.0101002935862135</v>
      </c>
      <c r="H216" s="14" t="n">
        <f aca="false">H215*(1+C216)</f>
        <v>6719.16131533656</v>
      </c>
      <c r="I216" s="14" t="n">
        <f aca="false">I215*(1+D216)</f>
        <v>7761.23676955265</v>
      </c>
      <c r="J216" s="14" t="n">
        <f aca="false">J215*(1+E216)</f>
        <v>7361.81372161094</v>
      </c>
      <c r="K216" s="14" t="n">
        <f aca="false">K215*(1+F216)</f>
        <v>5473.16533520793</v>
      </c>
      <c r="L216" s="14" t="n">
        <f aca="false">L215*(1+G216)</f>
        <v>7832.61376966234</v>
      </c>
      <c r="M216" s="14" t="n">
        <f aca="false">H216-H215</f>
        <v>-39.3973001526847</v>
      </c>
      <c r="N216" s="14" t="n">
        <f aca="false">I216-I215</f>
        <v>-76.3365093736929</v>
      </c>
      <c r="O216" s="14" t="n">
        <f aca="false">J216-J215</f>
        <v>-69.9291578774191</v>
      </c>
      <c r="P216" s="14" t="n">
        <f aca="false">K216-K215</f>
        <v>-26.277882896693</v>
      </c>
      <c r="Q216" s="14" t="n">
        <f aca="false">L216-L215</f>
        <v>-79.9189030044408</v>
      </c>
    </row>
    <row r="217" customFormat="false" ht="15" hidden="false" customHeight="false" outlineLevel="0" collapsed="false">
      <c r="A217" s="11" t="n">
        <v>46238</v>
      </c>
      <c r="B217" s="12" t="s">
        <v>52</v>
      </c>
      <c r="C217" s="13" t="n">
        <v>0.0272055323165942</v>
      </c>
      <c r="D217" s="13" t="n">
        <v>0.0224002325689322</v>
      </c>
      <c r="E217" s="13" t="n">
        <v>0.022559077137068</v>
      </c>
      <c r="F217" s="13" t="n">
        <v>0.0211801898869417</v>
      </c>
      <c r="G217" s="13" t="n">
        <v>0.0212455661631285</v>
      </c>
      <c r="H217" s="14" t="n">
        <f aca="false">H216*(1+C217)</f>
        <v>6901.95967564136</v>
      </c>
      <c r="I217" s="14" t="n">
        <f aca="false">I216*(1+D217)</f>
        <v>7935.09027821317</v>
      </c>
      <c r="J217" s="14" t="n">
        <f aca="false">J216*(1+E217)</f>
        <v>7527.88944522548</v>
      </c>
      <c r="K217" s="14" t="n">
        <f aca="false">K216*(1+F217)</f>
        <v>5589.08801629027</v>
      </c>
      <c r="L217" s="14" t="n">
        <f aca="false">L216*(1+G217)</f>
        <v>7999.02208373593</v>
      </c>
      <c r="M217" s="14" t="n">
        <f aca="false">H217-H216</f>
        <v>182.798360304798</v>
      </c>
      <c r="N217" s="14" t="n">
        <f aca="false">I217-I216</f>
        <v>173.853508660526</v>
      </c>
      <c r="O217" s="14" t="n">
        <f aca="false">J217-J216</f>
        <v>166.075723614547</v>
      </c>
      <c r="P217" s="14" t="n">
        <f aca="false">K217-K216</f>
        <v>115.922681082331</v>
      </c>
      <c r="Q217" s="14" t="n">
        <f aca="false">L217-L216</f>
        <v>166.408314073591</v>
      </c>
    </row>
    <row r="218" customFormat="false" ht="15" hidden="false" customHeight="false" outlineLevel="0" collapsed="false">
      <c r="A218" s="11" t="n">
        <v>46239</v>
      </c>
      <c r="B218" s="12" t="s">
        <v>53</v>
      </c>
      <c r="C218" s="13" t="n">
        <v>-0.0324893861280434</v>
      </c>
      <c r="D218" s="13" t="n">
        <v>-0.0384160029154256</v>
      </c>
      <c r="E218" s="13" t="n">
        <v>-0.0384213734515901</v>
      </c>
      <c r="F218" s="13" t="n">
        <v>-0.0110056657905018</v>
      </c>
      <c r="G218" s="13" t="n">
        <v>-0.0418664380172616</v>
      </c>
      <c r="H218" s="14" t="n">
        <f aca="false">H217*(1+C218)</f>
        <v>6677.71924269927</v>
      </c>
      <c r="I218" s="14" t="n">
        <f aca="false">I217*(1+D218)</f>
        <v>7630.25582695117</v>
      </c>
      <c r="J218" s="14" t="n">
        <f aca="false">J217*(1+E218)</f>
        <v>7238.65759354819</v>
      </c>
      <c r="K218" s="14" t="n">
        <f aca="false">K217*(1+F218)</f>
        <v>5527.57638150928</v>
      </c>
      <c r="L218" s="14" t="n">
        <f aca="false">L217*(1+G218)</f>
        <v>7664.13152146849</v>
      </c>
      <c r="M218" s="14" t="n">
        <f aca="false">H218-H217</f>
        <v>-224.240432942097</v>
      </c>
      <c r="N218" s="14" t="n">
        <f aca="false">I218-I217</f>
        <v>-304.834451262002</v>
      </c>
      <c r="O218" s="14" t="n">
        <f aca="false">J218-J217</f>
        <v>-289.231851677292</v>
      </c>
      <c r="P218" s="14" t="n">
        <f aca="false">K218-K217</f>
        <v>-61.5116347809899</v>
      </c>
      <c r="Q218" s="14" t="n">
        <f aca="false">L218-L217</f>
        <v>-334.890562267437</v>
      </c>
    </row>
    <row r="219" customFormat="false" ht="15" hidden="false" customHeight="false" outlineLevel="0" collapsed="false">
      <c r="A219" s="11" t="n">
        <v>46240</v>
      </c>
      <c r="B219" s="12" t="s">
        <v>47</v>
      </c>
      <c r="C219" s="13" t="n">
        <v>0.000959908520451469</v>
      </c>
      <c r="D219" s="13" t="n">
        <v>-0.00387643142863685</v>
      </c>
      <c r="E219" s="13" t="n">
        <v>-0.00387572903808412</v>
      </c>
      <c r="F219" s="13" t="n">
        <v>-0.00919829253041926</v>
      </c>
      <c r="G219" s="13" t="n">
        <v>-0.0128968941849526</v>
      </c>
      <c r="H219" s="14" t="n">
        <f aca="false">H218*(1+C219)</f>
        <v>6684.12924229752</v>
      </c>
      <c r="I219" s="14" t="n">
        <f aca="false">I218*(1+D219)</f>
        <v>7600.67766345504</v>
      </c>
      <c r="J219" s="14" t="n">
        <f aca="false">J218*(1+E219)</f>
        <v>7210.60251811613</v>
      </c>
      <c r="K219" s="14" t="n">
        <f aca="false">K218*(1+F219)</f>
        <v>5476.73211696792</v>
      </c>
      <c r="L219" s="14" t="n">
        <f aca="false">L218*(1+G219)</f>
        <v>7565.28802821655</v>
      </c>
      <c r="M219" s="14" t="n">
        <f aca="false">H219-H218</f>
        <v>6.40999959824967</v>
      </c>
      <c r="N219" s="14" t="n">
        <f aca="false">I219-I218</f>
        <v>-29.5781634961322</v>
      </c>
      <c r="O219" s="14" t="n">
        <f aca="false">J219-J218</f>
        <v>-28.055075432063</v>
      </c>
      <c r="P219" s="14" t="n">
        <f aca="false">K219-K218</f>
        <v>-50.8442645413588</v>
      </c>
      <c r="Q219" s="14" t="n">
        <f aca="false">L219-L218</f>
        <v>-98.8434932519385</v>
      </c>
    </row>
    <row r="220" customFormat="false" ht="15" hidden="false" customHeight="false" outlineLevel="0" collapsed="false">
      <c r="A220" s="11" t="n">
        <v>46241</v>
      </c>
      <c r="B220" s="12" t="s">
        <v>48</v>
      </c>
      <c r="C220" s="13" t="n">
        <v>-0.011395329404025</v>
      </c>
      <c r="D220" s="13" t="n">
        <v>-0.0196224343324226</v>
      </c>
      <c r="E220" s="13" t="n">
        <v>-0.0225390069556054</v>
      </c>
      <c r="F220" s="13" t="n">
        <v>-0.00986934114164806</v>
      </c>
      <c r="G220" s="13" t="n">
        <v>-0.0235365997102747</v>
      </c>
      <c r="H220" s="14" t="n">
        <f aca="false">H219*(1+C220)</f>
        <v>6607.96138780246</v>
      </c>
      <c r="I220" s="14" t="n">
        <f aca="false">I219*(1+D220)</f>
        <v>7451.53386512198</v>
      </c>
      <c r="J220" s="14" t="n">
        <f aca="false">J219*(1+E220)</f>
        <v>7048.0826978062</v>
      </c>
      <c r="K220" s="14" t="n">
        <f aca="false">K219*(1+F220)</f>
        <v>5422.68037936414</v>
      </c>
      <c r="L220" s="14" t="n">
        <f aca="false">L219*(1+G220)</f>
        <v>7387.22687220348</v>
      </c>
      <c r="M220" s="14" t="n">
        <f aca="false">H220-H219</f>
        <v>-76.1678544950564</v>
      </c>
      <c r="N220" s="14" t="n">
        <f aca="false">I220-I219</f>
        <v>-149.143798333058</v>
      </c>
      <c r="O220" s="14" t="n">
        <f aca="false">J220-J219</f>
        <v>-162.519820309925</v>
      </c>
      <c r="P220" s="14" t="n">
        <f aca="false">K220-K219</f>
        <v>-54.0517376037769</v>
      </c>
      <c r="Q220" s="14" t="n">
        <f aca="false">L220-L219</f>
        <v>-178.061156013066</v>
      </c>
    </row>
    <row r="221" customFormat="false" ht="15" hidden="false" customHeight="false" outlineLevel="0" collapsed="false">
      <c r="A221" s="11" t="n">
        <v>46242</v>
      </c>
      <c r="B221" s="12" t="s">
        <v>49</v>
      </c>
      <c r="C221" s="13" t="n">
        <v>0.0387768468385844</v>
      </c>
      <c r="D221" s="13" t="n">
        <v>0.0492702009602186</v>
      </c>
      <c r="E221" s="13" t="n">
        <v>0.0516923573954877</v>
      </c>
      <c r="F221" s="13" t="n">
        <v>0.0380877981351158</v>
      </c>
      <c r="G221" s="13" t="n">
        <v>0.0603286925839922</v>
      </c>
      <c r="H221" s="14" t="n">
        <f aca="false">H220*(1+C221)</f>
        <v>6864.19729445256</v>
      </c>
      <c r="I221" s="14" t="n">
        <f aca="false">I220*(1+D221)</f>
        <v>7818.67243611842</v>
      </c>
      <c r="J221" s="14" t="n">
        <f aca="false">J220*(1+E221)</f>
        <v>7412.41470757416</v>
      </c>
      <c r="K221" s="14" t="n">
        <f aca="false">K220*(1+F221)</f>
        <v>5629.21833500461</v>
      </c>
      <c r="L221" s="14" t="n">
        <f aca="false">L220*(1+G221)</f>
        <v>7832.88861122486</v>
      </c>
      <c r="M221" s="14" t="n">
        <f aca="false">H221-H220</f>
        <v>256.235906650097</v>
      </c>
      <c r="N221" s="14" t="n">
        <f aca="false">I221-I220</f>
        <v>367.138570996434</v>
      </c>
      <c r="O221" s="14" t="n">
        <f aca="false">J221-J220</f>
        <v>364.332009767952</v>
      </c>
      <c r="P221" s="14" t="n">
        <f aca="false">K221-K220</f>
        <v>206.537955640474</v>
      </c>
      <c r="Q221" s="14" t="n">
        <f aca="false">L221-L220</f>
        <v>445.661739021371</v>
      </c>
    </row>
    <row r="222" customFormat="false" ht="15" hidden="false" customHeight="false" outlineLevel="0" collapsed="false">
      <c r="A222" s="11" t="n">
        <v>46243</v>
      </c>
      <c r="B222" s="12" t="s">
        <v>50</v>
      </c>
      <c r="C222" s="13" t="n">
        <v>0.0560491902122302</v>
      </c>
      <c r="D222" s="13" t="n">
        <v>0.0498776688563989</v>
      </c>
      <c r="E222" s="13" t="n">
        <v>0.0524433058202499</v>
      </c>
      <c r="F222" s="13" t="n">
        <v>0.0441758286290722</v>
      </c>
      <c r="G222" s="13" t="n">
        <v>0.0533329099321351</v>
      </c>
      <c r="H222" s="14" t="n">
        <f aca="false">H221*(1+C222)</f>
        <v>7248.9299942636</v>
      </c>
      <c r="I222" s="14" t="n">
        <f aca="false">I221*(1+D222)</f>
        <v>8208.64959078378</v>
      </c>
      <c r="J222" s="14" t="n">
        <f aca="false">J221*(1+E222)</f>
        <v>7801.14623894999</v>
      </c>
      <c r="K222" s="14" t="n">
        <f aca="false">K221*(1+F222)</f>
        <v>5877.89371948741</v>
      </c>
      <c r="L222" s="14" t="n">
        <f aca="false">L221*(1+G222)</f>
        <v>8250.63935403576</v>
      </c>
      <c r="M222" s="14" t="n">
        <f aca="false">H222-H221</f>
        <v>384.732699811048</v>
      </c>
      <c r="N222" s="14" t="n">
        <f aca="false">I222-I221</f>
        <v>389.977154665367</v>
      </c>
      <c r="O222" s="14" t="n">
        <f aca="false">J222-J221</f>
        <v>388.731531375831</v>
      </c>
      <c r="P222" s="14" t="n">
        <f aca="false">K222-K221</f>
        <v>248.675384482794</v>
      </c>
      <c r="Q222" s="14" t="n">
        <f aca="false">L222-L221</f>
        <v>417.750742810903</v>
      </c>
    </row>
    <row r="223" customFormat="false" ht="15" hidden="false" customHeight="false" outlineLevel="0" collapsed="false">
      <c r="A223" s="11" t="n">
        <v>46244</v>
      </c>
      <c r="B223" s="12" t="s">
        <v>51</v>
      </c>
      <c r="C223" s="13" t="n">
        <v>0.0120122219343303</v>
      </c>
      <c r="D223" s="13" t="n">
        <v>0.0177184449129791</v>
      </c>
      <c r="E223" s="13" t="n">
        <v>0.0182000954549439</v>
      </c>
      <c r="F223" s="13" t="n">
        <v>0.00977232408248696</v>
      </c>
      <c r="G223" s="13" t="n">
        <v>0.0163744436088422</v>
      </c>
      <c r="H223" s="14" t="n">
        <f aca="false">H222*(1+C223)</f>
        <v>7336.00575014112</v>
      </c>
      <c r="I223" s="14" t="n">
        <f aca="false">I222*(1+D223)</f>
        <v>8354.09409636803</v>
      </c>
      <c r="J223" s="14" t="n">
        <f aca="false">J222*(1+E223)</f>
        <v>7943.12784515685</v>
      </c>
      <c r="K223" s="14" t="n">
        <f aca="false">K222*(1+F223)</f>
        <v>5935.33440183665</v>
      </c>
      <c r="L223" s="14" t="n">
        <f aca="false">L222*(1+G223)</f>
        <v>8385.73898287531</v>
      </c>
      <c r="M223" s="14" t="n">
        <f aca="false">H223-H222</f>
        <v>87.0757558775185</v>
      </c>
      <c r="N223" s="14" t="n">
        <f aca="false">I223-I222</f>
        <v>145.44450558425</v>
      </c>
      <c r="O223" s="14" t="n">
        <f aca="false">J223-J222</f>
        <v>141.981606206867</v>
      </c>
      <c r="P223" s="14" t="n">
        <f aca="false">K223-K222</f>
        <v>57.4406823492454</v>
      </c>
      <c r="Q223" s="14" t="n">
        <f aca="false">L223-L222</f>
        <v>135.099628839553</v>
      </c>
    </row>
    <row r="224" customFormat="false" ht="15" hidden="false" customHeight="false" outlineLevel="0" collapsed="false">
      <c r="A224" s="11" t="n">
        <v>46245</v>
      </c>
      <c r="B224" s="12" t="s">
        <v>52</v>
      </c>
      <c r="C224" s="13" t="n">
        <v>0.0107283738085194</v>
      </c>
      <c r="D224" s="13" t="n">
        <v>0.00553182307939259</v>
      </c>
      <c r="E224" s="13" t="n">
        <v>0.00911422596026324</v>
      </c>
      <c r="F224" s="13" t="n">
        <v>0.00327093306712911</v>
      </c>
      <c r="G224" s="13" t="n">
        <v>0.00399636438823958</v>
      </c>
      <c r="H224" s="14" t="n">
        <f aca="false">H223*(1+C224)</f>
        <v>7414.70916209008</v>
      </c>
      <c r="I224" s="14" t="n">
        <f aca="false">I223*(1+D224)</f>
        <v>8400.30746689774</v>
      </c>
      <c r="J224" s="14" t="n">
        <f aca="false">J223*(1+E224)</f>
        <v>8015.52330716887</v>
      </c>
      <c r="K224" s="14" t="n">
        <f aca="false">K223*(1+F224)</f>
        <v>5954.74848339609</v>
      </c>
      <c r="L224" s="14" t="n">
        <f aca="false">L223*(1+G224)</f>
        <v>8419.25145151555</v>
      </c>
      <c r="M224" s="14" t="n">
        <f aca="false">H224-H223</f>
        <v>78.7034119489608</v>
      </c>
      <c r="N224" s="14" t="n">
        <f aca="false">I224-I223</f>
        <v>46.2133705297056</v>
      </c>
      <c r="O224" s="14" t="n">
        <f aca="false">J224-J223</f>
        <v>72.3954620120185</v>
      </c>
      <c r="P224" s="14" t="n">
        <f aca="false">K224-K223</f>
        <v>19.4140815594355</v>
      </c>
      <c r="Q224" s="14" t="n">
        <f aca="false">L224-L223</f>
        <v>33.5124686402342</v>
      </c>
    </row>
    <row r="225" customFormat="false" ht="15" hidden="false" customHeight="false" outlineLevel="0" collapsed="false">
      <c r="A225" s="11" t="n">
        <v>46246</v>
      </c>
      <c r="B225" s="12" t="s">
        <v>53</v>
      </c>
      <c r="C225" s="13" t="n">
        <v>-0.0227975050259009</v>
      </c>
      <c r="D225" s="13" t="n">
        <v>-0.028860660397135</v>
      </c>
      <c r="E225" s="13" t="n">
        <v>-0.0258240495601357</v>
      </c>
      <c r="F225" s="13" t="n">
        <v>-0.0325036470101571</v>
      </c>
      <c r="G225" s="13" t="n">
        <v>-0.0283761151870191</v>
      </c>
      <c r="H225" s="14" t="n">
        <f aca="false">H224*(1+C225)</f>
        <v>7245.67229270174</v>
      </c>
      <c r="I225" s="14" t="n">
        <f aca="false">I224*(1+D225)</f>
        <v>8157.86904586409</v>
      </c>
      <c r="J225" s="14" t="n">
        <f aca="false">J224*(1+E225)</f>
        <v>7808.53003603412</v>
      </c>
      <c r="K225" s="14" t="n">
        <f aca="false">K224*(1+F225)</f>
        <v>5761.19744065752</v>
      </c>
      <c r="L225" s="14" t="n">
        <f aca="false">L224*(1+G225)</f>
        <v>8180.34580253886</v>
      </c>
      <c r="M225" s="14" t="n">
        <f aca="false">H225-H224</f>
        <v>-169.036869388342</v>
      </c>
      <c r="N225" s="14" t="n">
        <f aca="false">I225-I224</f>
        <v>-242.438421033653</v>
      </c>
      <c r="O225" s="14" t="n">
        <f aca="false">J225-J224</f>
        <v>-206.993271134752</v>
      </c>
      <c r="P225" s="14" t="n">
        <f aca="false">K225-K224</f>
        <v>-193.551042738574</v>
      </c>
      <c r="Q225" s="14" t="n">
        <f aca="false">L225-L224</f>
        <v>-238.905648976683</v>
      </c>
    </row>
    <row r="226" customFormat="false" ht="15" hidden="false" customHeight="false" outlineLevel="0" collapsed="false">
      <c r="A226" s="11" t="n">
        <v>46247</v>
      </c>
      <c r="B226" s="12" t="s">
        <v>47</v>
      </c>
      <c r="C226" s="13" t="n">
        <v>-0.00792694659309928</v>
      </c>
      <c r="D226" s="13" t="n">
        <v>-0.0118620610017854</v>
      </c>
      <c r="E226" s="13" t="n">
        <v>-0.00762790094125397</v>
      </c>
      <c r="F226" s="13" t="n">
        <v>-0.0202730018203776</v>
      </c>
      <c r="G226" s="13" t="n">
        <v>-0.0127506094587957</v>
      </c>
      <c r="H226" s="14" t="n">
        <f aca="false">H225*(1+C226)</f>
        <v>7188.23623540639</v>
      </c>
      <c r="I226" s="14" t="n">
        <f aca="false">I225*(1+D226)</f>
        <v>8061.09990559747</v>
      </c>
      <c r="J226" s="14" t="n">
        <f aca="false">J225*(1+E226)</f>
        <v>7748.96734242244</v>
      </c>
      <c r="K226" s="14" t="n">
        <f aca="false">K225*(1+F226)</f>
        <v>5644.40067445551</v>
      </c>
      <c r="L226" s="14" t="n">
        <f aca="false">L225*(1+G226)</f>
        <v>8076.04140797279</v>
      </c>
      <c r="M226" s="14" t="n">
        <f aca="false">H226-H225</f>
        <v>-57.4360572953465</v>
      </c>
      <c r="N226" s="14" t="n">
        <f aca="false">I226-I225</f>
        <v>-96.7691402666169</v>
      </c>
      <c r="O226" s="14" t="n">
        <f aca="false">J226-J225</f>
        <v>-59.5626936116751</v>
      </c>
      <c r="P226" s="14" t="n">
        <f aca="false">K226-K225</f>
        <v>-116.796766202005</v>
      </c>
      <c r="Q226" s="14" t="n">
        <f aca="false">L226-L225</f>
        <v>-104.304394566072</v>
      </c>
    </row>
    <row r="227" customFormat="false" ht="15" hidden="false" customHeight="false" outlineLevel="0" collapsed="false">
      <c r="A227" s="11" t="n">
        <v>46248</v>
      </c>
      <c r="B227" s="12" t="s">
        <v>48</v>
      </c>
      <c r="C227" s="13" t="n">
        <v>-0.0137588819464726</v>
      </c>
      <c r="D227" s="13" t="n">
        <v>-0.0174458868610757</v>
      </c>
      <c r="E227" s="13" t="n">
        <v>-0.0168667036323967</v>
      </c>
      <c r="F227" s="13" t="n">
        <v>-0.012996545219325</v>
      </c>
      <c r="G227" s="13" t="n">
        <v>-0.0180395956727049</v>
      </c>
      <c r="H227" s="14" t="n">
        <f aca="false">H226*(1+C227)</f>
        <v>7089.33414164008</v>
      </c>
      <c r="I227" s="14" t="n">
        <f aca="false">I226*(1+D227)</f>
        <v>7920.46686866859</v>
      </c>
      <c r="J227" s="14" t="n">
        <f aca="false">J226*(1+E227)</f>
        <v>7618.26780680068</v>
      </c>
      <c r="K227" s="14" t="n">
        <f aca="false">K226*(1+F227)</f>
        <v>5571.04296585396</v>
      </c>
      <c r="L227" s="14" t="n">
        <f aca="false">L226*(1+G227)</f>
        <v>7930.35288633694</v>
      </c>
      <c r="M227" s="14" t="n">
        <f aca="false">H227-H226</f>
        <v>-98.9020937663127</v>
      </c>
      <c r="N227" s="14" t="n">
        <f aca="false">I227-I226</f>
        <v>-140.633036928881</v>
      </c>
      <c r="O227" s="14" t="n">
        <f aca="false">J227-J226</f>
        <v>-130.69953562176</v>
      </c>
      <c r="P227" s="14" t="n">
        <f aca="false">K227-K226</f>
        <v>-73.3577086015494</v>
      </c>
      <c r="Q227" s="14" t="n">
        <f aca="false">L227-L226</f>
        <v>-145.688521635851</v>
      </c>
    </row>
    <row r="228" customFormat="false" ht="15" hidden="false" customHeight="false" outlineLevel="0" collapsed="false">
      <c r="A228" s="11" t="n">
        <v>46249</v>
      </c>
      <c r="B228" s="12" t="s">
        <v>49</v>
      </c>
      <c r="C228" s="13" t="n">
        <v>-0.0200840910011055</v>
      </c>
      <c r="D228" s="13" t="n">
        <v>-0.0210376320998415</v>
      </c>
      <c r="E228" s="13" t="n">
        <v>-0.0210936096635592</v>
      </c>
      <c r="F228" s="13" t="n">
        <v>-0.0262613932857431</v>
      </c>
      <c r="G228" s="13" t="n">
        <v>-0.0204990182491124</v>
      </c>
      <c r="H228" s="14" t="n">
        <f aca="false">H227*(1+C228)</f>
        <v>6946.95130960214</v>
      </c>
      <c r="I228" s="14" t="n">
        <f aca="false">I227*(1+D228)</f>
        <v>7753.83900062656</v>
      </c>
      <c r="J228" s="14" t="n">
        <f aca="false">J227*(1+E228)</f>
        <v>7457.57103937157</v>
      </c>
      <c r="K228" s="14" t="n">
        <f aca="false">K227*(1+F228)</f>
        <v>5424.7396155159</v>
      </c>
      <c r="L228" s="14" t="n">
        <f aca="false">L227*(1+G228)</f>
        <v>7767.78843779802</v>
      </c>
      <c r="M228" s="14" t="n">
        <f aca="false">H228-H227</f>
        <v>-142.382832037943</v>
      </c>
      <c r="N228" s="14" t="n">
        <f aca="false">I228-I227</f>
        <v>-166.627868042033</v>
      </c>
      <c r="O228" s="14" t="n">
        <f aca="false">J228-J227</f>
        <v>-160.696767429113</v>
      </c>
      <c r="P228" s="14" t="n">
        <f aca="false">K228-K227</f>
        <v>-146.303350338064</v>
      </c>
      <c r="Q228" s="14" t="n">
        <f aca="false">L228-L227</f>
        <v>-162.564448538922</v>
      </c>
    </row>
    <row r="229" customFormat="false" ht="15" hidden="false" customHeight="false" outlineLevel="0" collapsed="false">
      <c r="A229" s="11" t="n">
        <v>46250</v>
      </c>
      <c r="B229" s="12" t="s">
        <v>50</v>
      </c>
      <c r="C229" s="13" t="n">
        <v>-0.0322689352791851</v>
      </c>
      <c r="D229" s="13" t="n">
        <v>-0.0413954743019025</v>
      </c>
      <c r="E229" s="13" t="n">
        <v>-0.0417447077170485</v>
      </c>
      <c r="F229" s="13" t="n">
        <v>-0.031027463950942</v>
      </c>
      <c r="G229" s="13" t="n">
        <v>-0.04989645598927</v>
      </c>
      <c r="H229" s="14" t="n">
        <f aca="false">H228*(1+C229)</f>
        <v>6722.78058740494</v>
      </c>
      <c r="I229" s="14" t="n">
        <f aca="false">I228*(1+D229)</f>
        <v>7432.86515753503</v>
      </c>
      <c r="J229" s="14" t="n">
        <f aca="false">J228*(1+E229)</f>
        <v>7146.25691605388</v>
      </c>
      <c r="K229" s="14" t="n">
        <f aca="false">K228*(1+F229)</f>
        <v>5256.42370265223</v>
      </c>
      <c r="L229" s="14" t="n">
        <f aca="false">L228*(1+G229)</f>
        <v>7380.20332387747</v>
      </c>
      <c r="M229" s="14" t="n">
        <f aca="false">H229-H228</f>
        <v>-224.170722197201</v>
      </c>
      <c r="N229" s="14" t="n">
        <f aca="false">I229-I228</f>
        <v>-320.973843091526</v>
      </c>
      <c r="O229" s="14" t="n">
        <f aca="false">J229-J228</f>
        <v>-311.314123317692</v>
      </c>
      <c r="P229" s="14" t="n">
        <f aca="false">K229-K228</f>
        <v>-168.315912863666</v>
      </c>
      <c r="Q229" s="14" t="n">
        <f aca="false">L229-L228</f>
        <v>-387.585113920549</v>
      </c>
    </row>
    <row r="230" customFormat="false" ht="15" hidden="false" customHeight="false" outlineLevel="0" collapsed="false">
      <c r="A230" s="11" t="n">
        <v>46251</v>
      </c>
      <c r="B230" s="12" t="s">
        <v>51</v>
      </c>
      <c r="C230" s="13" t="n">
        <v>0.0116177111230627</v>
      </c>
      <c r="D230" s="13" t="n">
        <v>0.0211655245654858</v>
      </c>
      <c r="E230" s="13" t="n">
        <v>0.0172199792857791</v>
      </c>
      <c r="F230" s="13" t="n">
        <v>0.00197059239866948</v>
      </c>
      <c r="G230" s="13" t="n">
        <v>0.0257725824242456</v>
      </c>
      <c r="H230" s="14" t="n">
        <f aca="false">H229*(1+C230)</f>
        <v>6800.88391021314</v>
      </c>
      <c r="I230" s="14" t="n">
        <f aca="false">I229*(1+D230)</f>
        <v>7590.18564761878</v>
      </c>
      <c r="J230" s="14" t="n">
        <f aca="false">J229*(1+E230)</f>
        <v>7269.31531211918</v>
      </c>
      <c r="K230" s="14" t="n">
        <f aca="false">K229*(1+F230)</f>
        <v>5266.78197124486</v>
      </c>
      <c r="L230" s="14" t="n">
        <f aca="false">L229*(1+G230)</f>
        <v>7570.41022234979</v>
      </c>
      <c r="M230" s="14" t="n">
        <f aca="false">H230-H229</f>
        <v>78.1033228082042</v>
      </c>
      <c r="N230" s="14" t="n">
        <f aca="false">I230-I229</f>
        <v>157.320490083751</v>
      </c>
      <c r="O230" s="14" t="n">
        <f aca="false">J230-J229</f>
        <v>123.058396065303</v>
      </c>
      <c r="P230" s="14" t="n">
        <f aca="false">K230-K229</f>
        <v>10.3582685926322</v>
      </c>
      <c r="Q230" s="14" t="n">
        <f aca="false">L230-L229</f>
        <v>190.206898472324</v>
      </c>
    </row>
    <row r="231" customFormat="false" ht="15" hidden="false" customHeight="false" outlineLevel="0" collapsed="false">
      <c r="A231" s="11" t="n">
        <v>46252</v>
      </c>
      <c r="B231" s="12" t="s">
        <v>52</v>
      </c>
      <c r="C231" s="13" t="n">
        <v>-0.0135011232690214</v>
      </c>
      <c r="D231" s="13" t="n">
        <v>-0.000242664571576318</v>
      </c>
      <c r="E231" s="13" t="n">
        <v>-0.0125186198694252</v>
      </c>
      <c r="F231" s="13" t="n">
        <v>-0.00734811661689172</v>
      </c>
      <c r="G231" s="13" t="n">
        <v>-0.00656243049468253</v>
      </c>
      <c r="H231" s="14" t="n">
        <f aca="false">H230*(1+C231)</f>
        <v>6709.06433820305</v>
      </c>
      <c r="I231" s="14" t="n">
        <f aca="false">I230*(1+D231)</f>
        <v>7588.34377847042</v>
      </c>
      <c r="J231" s="14" t="n">
        <f aca="false">J230*(1+E231)</f>
        <v>7178.31351701577</v>
      </c>
      <c r="K231" s="14" t="n">
        <f aca="false">K230*(1+F231)</f>
        <v>5228.08104312441</v>
      </c>
      <c r="L231" s="14" t="n">
        <f aca="false">L230*(1+G231)</f>
        <v>7520.72993144939</v>
      </c>
      <c r="M231" s="14" t="n">
        <f aca="false">H231-H230</f>
        <v>-91.8195720100921</v>
      </c>
      <c r="N231" s="14" t="n">
        <f aca="false">I231-I230</f>
        <v>-1.84186914836391</v>
      </c>
      <c r="O231" s="14" t="n">
        <f aca="false">J231-J230</f>
        <v>-91.0017951034124</v>
      </c>
      <c r="P231" s="14" t="n">
        <f aca="false">K231-K230</f>
        <v>-38.70092812045</v>
      </c>
      <c r="Q231" s="14" t="n">
        <f aca="false">L231-L230</f>
        <v>-49.6802909004045</v>
      </c>
    </row>
    <row r="232" customFormat="false" ht="15" hidden="false" customHeight="false" outlineLevel="0" collapsed="false">
      <c r="A232" s="11" t="n">
        <v>46253</v>
      </c>
      <c r="B232" s="12" t="s">
        <v>53</v>
      </c>
      <c r="C232" s="13" t="n">
        <v>-0.0468579886523653</v>
      </c>
      <c r="D232" s="13" t="n">
        <v>-0.0511089683931009</v>
      </c>
      <c r="E232" s="13" t="n">
        <v>-0.0494886572507098</v>
      </c>
      <c r="F232" s="13" t="n">
        <v>-0.0282099279778185</v>
      </c>
      <c r="G232" s="13" t="n">
        <v>-0.0354127409447754</v>
      </c>
      <c r="H232" s="14" t="n">
        <f aca="false">H231*(1+C232)</f>
        <v>6394.69107757554</v>
      </c>
      <c r="I232" s="14" t="n">
        <f aca="false">I231*(1+D232)</f>
        <v>7200.51135614059</v>
      </c>
      <c r="J232" s="14" t="n">
        <f aca="false">J231*(1+E232)</f>
        <v>6823.06841973404</v>
      </c>
      <c r="K232" s="14" t="n">
        <f aca="false">K231*(1+F232)</f>
        <v>5080.59725343567</v>
      </c>
      <c r="L232" s="14" t="n">
        <f aca="false">L231*(1+G232)</f>
        <v>7254.40027067135</v>
      </c>
      <c r="M232" s="14" t="n">
        <f aca="false">H232-H231</f>
        <v>-314.373260627507</v>
      </c>
      <c r="N232" s="14" t="n">
        <f aca="false">I232-I231</f>
        <v>-387.832422329828</v>
      </c>
      <c r="O232" s="14" t="n">
        <f aca="false">J232-J231</f>
        <v>-355.24509728173</v>
      </c>
      <c r="P232" s="14" t="n">
        <f aca="false">K232-K231</f>
        <v>-147.483789688738</v>
      </c>
      <c r="Q232" s="14" t="n">
        <f aca="false">L232-L231</f>
        <v>-266.329660778035</v>
      </c>
    </row>
    <row r="233" customFormat="false" ht="15" hidden="false" customHeight="false" outlineLevel="0" collapsed="false">
      <c r="A233" s="11" t="n">
        <v>46254</v>
      </c>
      <c r="B233" s="12" t="s">
        <v>47</v>
      </c>
      <c r="C233" s="13" t="n">
        <v>0.0423401328921278</v>
      </c>
      <c r="D233" s="13" t="n">
        <v>0.0537693834424024</v>
      </c>
      <c r="E233" s="13" t="n">
        <v>0.0434258156154199</v>
      </c>
      <c r="F233" s="13" t="n">
        <v>0.0675921414882909</v>
      </c>
      <c r="G233" s="13" t="n">
        <v>0.0463071244243641</v>
      </c>
      <c r="H233" s="14" t="n">
        <f aca="false">H232*(1+C233)</f>
        <v>6665.44314760419</v>
      </c>
      <c r="I233" s="14" t="n">
        <f aca="false">I232*(1+D233)</f>
        <v>7587.67841223029</v>
      </c>
      <c r="J233" s="14" t="n">
        <f aca="false">J232*(1+E233)</f>
        <v>7119.3657308608</v>
      </c>
      <c r="K233" s="14" t="n">
        <f aca="false">K232*(1+F233)</f>
        <v>5424.00570183492</v>
      </c>
      <c r="L233" s="14" t="n">
        <f aca="false">L232*(1+G233)</f>
        <v>7590.33068662947</v>
      </c>
      <c r="M233" s="14" t="n">
        <f aca="false">H233-H232</f>
        <v>270.752070028652</v>
      </c>
      <c r="N233" s="14" t="n">
        <f aca="false">I233-I232</f>
        <v>387.167056089696</v>
      </c>
      <c r="O233" s="14" t="n">
        <f aca="false">J233-J232</f>
        <v>296.297311126765</v>
      </c>
      <c r="P233" s="14" t="n">
        <f aca="false">K233-K232</f>
        <v>343.408448399246</v>
      </c>
      <c r="Q233" s="14" t="n">
        <f aca="false">L233-L232</f>
        <v>335.93041595812</v>
      </c>
    </row>
    <row r="234" customFormat="false" ht="15" hidden="false" customHeight="false" outlineLevel="0" collapsed="false">
      <c r="A234" s="11" t="n">
        <v>46255</v>
      </c>
      <c r="B234" s="12" t="s">
        <v>48</v>
      </c>
      <c r="C234" s="13" t="n">
        <v>-0.0195888537784785</v>
      </c>
      <c r="D234" s="13" t="n">
        <v>-0.016217300239011</v>
      </c>
      <c r="E234" s="13" t="n">
        <v>-0.018183509408248</v>
      </c>
      <c r="F234" s="13" t="n">
        <v>-0.0142222126838306</v>
      </c>
      <c r="G234" s="13" t="n">
        <v>-0.0216460241943992</v>
      </c>
      <c r="H234" s="14" t="n">
        <f aca="false">H233*(1+C234)</f>
        <v>6534.87475641701</v>
      </c>
      <c r="I234" s="14" t="n">
        <f aca="false">I233*(1+D234)</f>
        <v>7464.62675330209</v>
      </c>
      <c r="J234" s="14" t="n">
        <f aca="false">J233*(1+E234)</f>
        <v>6989.91067711294</v>
      </c>
      <c r="K234" s="14" t="n">
        <f aca="false">K233*(1+F234)</f>
        <v>5346.86433914511</v>
      </c>
      <c r="L234" s="14" t="n">
        <f aca="false">L233*(1+G234)</f>
        <v>7426.0302049432</v>
      </c>
      <c r="M234" s="14" t="n">
        <f aca="false">H234-H233</f>
        <v>-130.56839118718</v>
      </c>
      <c r="N234" s="14" t="n">
        <f aca="false">I234-I233</f>
        <v>-123.051658928201</v>
      </c>
      <c r="O234" s="14" t="n">
        <f aca="false">J234-J233</f>
        <v>-129.455053747865</v>
      </c>
      <c r="P234" s="14" t="n">
        <f aca="false">K234-K233</f>
        <v>-77.1413626898057</v>
      </c>
      <c r="Q234" s="14" t="n">
        <f aca="false">L234-L233</f>
        <v>-164.300481686272</v>
      </c>
    </row>
    <row r="235" customFormat="false" ht="15" hidden="false" customHeight="false" outlineLevel="0" collapsed="false">
      <c r="A235" s="11" t="n">
        <v>46256</v>
      </c>
      <c r="B235" s="12" t="s">
        <v>49</v>
      </c>
      <c r="C235" s="13" t="n">
        <v>0.0242540863863997</v>
      </c>
      <c r="D235" s="13" t="n">
        <v>0.0300945873265128</v>
      </c>
      <c r="E235" s="13" t="n">
        <v>0.032766874451742</v>
      </c>
      <c r="F235" s="13" t="n">
        <v>0.0229039449063793</v>
      </c>
      <c r="G235" s="13" t="n">
        <v>0.0386047568914936</v>
      </c>
      <c r="H235" s="14" t="n">
        <f aca="false">H234*(1+C235)</f>
        <v>6693.37217328346</v>
      </c>
      <c r="I235" s="14" t="n">
        <f aca="false">I234*(1+D235)</f>
        <v>7689.27161498916</v>
      </c>
      <c r="J235" s="14" t="n">
        <f aca="false">J234*(1+E235)</f>
        <v>7218.94820269879</v>
      </c>
      <c r="K235" s="14" t="n">
        <f aca="false">K234*(1+F235)</f>
        <v>5469.32862539078</v>
      </c>
      <c r="L235" s="14" t="n">
        <f aca="false">L234*(1+G235)</f>
        <v>7712.71029567392</v>
      </c>
      <c r="M235" s="14" t="n">
        <f aca="false">H235-H234</f>
        <v>158.497416866442</v>
      </c>
      <c r="N235" s="14" t="n">
        <f aca="false">I235-I234</f>
        <v>224.644861687074</v>
      </c>
      <c r="O235" s="14" t="n">
        <f aca="false">J235-J234</f>
        <v>229.037525585851</v>
      </c>
      <c r="P235" s="14" t="n">
        <f aca="false">K235-K234</f>
        <v>122.464286245664</v>
      </c>
      <c r="Q235" s="14" t="n">
        <f aca="false">L235-L234</f>
        <v>286.680090730721</v>
      </c>
    </row>
    <row r="236" customFormat="false" ht="15" hidden="false" customHeight="false" outlineLevel="0" collapsed="false">
      <c r="A236" s="11" t="n">
        <v>46257</v>
      </c>
      <c r="B236" s="12" t="s">
        <v>50</v>
      </c>
      <c r="C236" s="13" t="n">
        <v>0.00663134036491586</v>
      </c>
      <c r="D236" s="13" t="n">
        <v>0.0147776925051056</v>
      </c>
      <c r="E236" s="13" t="n">
        <v>0.0146285003027917</v>
      </c>
      <c r="F236" s="13" t="n">
        <v>0.0030803494451499</v>
      </c>
      <c r="G236" s="13" t="n">
        <v>0.0182473054019827</v>
      </c>
      <c r="H236" s="14" t="n">
        <f aca="false">H235*(1+C236)</f>
        <v>6737.75820235356</v>
      </c>
      <c r="I236" s="14" t="n">
        <f aca="false">I235*(1+D236)</f>
        <v>7802.9013065037</v>
      </c>
      <c r="J236" s="14" t="n">
        <f aca="false">J235*(1+E236)</f>
        <v>7324.55058866781</v>
      </c>
      <c r="K236" s="14" t="n">
        <f aca="false">K235*(1+F236)</f>
        <v>5486.17606878734</v>
      </c>
      <c r="L236" s="14" t="n">
        <f aca="false">L235*(1+G236)</f>
        <v>7853.4464759161</v>
      </c>
      <c r="M236" s="14" t="n">
        <f aca="false">H236-H235</f>
        <v>44.3860290700995</v>
      </c>
      <c r="N236" s="14" t="n">
        <f aca="false">I236-I235</f>
        <v>113.629691514546</v>
      </c>
      <c r="O236" s="14" t="n">
        <f aca="false">J236-J235</f>
        <v>105.602385969017</v>
      </c>
      <c r="P236" s="14" t="n">
        <f aca="false">K236-K235</f>
        <v>16.8474433965648</v>
      </c>
      <c r="Q236" s="14" t="n">
        <f aca="false">L236-L235</f>
        <v>140.736180242178</v>
      </c>
    </row>
    <row r="237" customFormat="false" ht="15" hidden="false" customHeight="false" outlineLevel="0" collapsed="false">
      <c r="A237" s="11" t="n">
        <v>46258</v>
      </c>
      <c r="B237" s="12" t="s">
        <v>51</v>
      </c>
      <c r="C237" s="13" t="n">
        <v>-0.00123304688767734</v>
      </c>
      <c r="D237" s="13" t="n">
        <v>0.00501867175379175</v>
      </c>
      <c r="E237" s="13" t="n">
        <v>0.0041252109985531</v>
      </c>
      <c r="F237" s="13" t="n">
        <v>0.00503930624894478</v>
      </c>
      <c r="G237" s="13" t="n">
        <v>0.00587984316758117</v>
      </c>
      <c r="H237" s="14" t="n">
        <f aca="false">H236*(1+C237)</f>
        <v>6729.45023057222</v>
      </c>
      <c r="I237" s="14" t="n">
        <f aca="false">I236*(1+D237)</f>
        <v>7842.06150688828</v>
      </c>
      <c r="J237" s="14" t="n">
        <f aca="false">J236*(1+E237)</f>
        <v>7354.76590531564</v>
      </c>
      <c r="K237" s="14" t="n">
        <f aca="false">K236*(1+F237)</f>
        <v>5513.82259013359</v>
      </c>
      <c r="L237" s="14" t="n">
        <f aca="false">L236*(1+G237)</f>
        <v>7899.62350951948</v>
      </c>
      <c r="M237" s="14" t="n">
        <f aca="false">H237-H236</f>
        <v>-8.30797178133435</v>
      </c>
      <c r="N237" s="14" t="n">
        <f aca="false">I237-I236</f>
        <v>39.1602003845746</v>
      </c>
      <c r="O237" s="14" t="n">
        <f aca="false">J237-J236</f>
        <v>30.2153166478302</v>
      </c>
      <c r="P237" s="14" t="n">
        <f aca="false">K237-K236</f>
        <v>27.6465213462516</v>
      </c>
      <c r="Q237" s="14" t="n">
        <f aca="false">L237-L236</f>
        <v>46.1770336033806</v>
      </c>
    </row>
    <row r="238" customFormat="false" ht="15" hidden="false" customHeight="false" outlineLevel="0" collapsed="false">
      <c r="A238" s="11" t="n">
        <v>46259</v>
      </c>
      <c r="B238" s="12" t="s">
        <v>52</v>
      </c>
      <c r="C238" s="13" t="n">
        <v>0.0146845906292862</v>
      </c>
      <c r="D238" s="13" t="n">
        <v>0.0225805603683913</v>
      </c>
      <c r="E238" s="13" t="n">
        <v>0.022615025037012</v>
      </c>
      <c r="F238" s="13" t="n">
        <v>0.0181238533621571</v>
      </c>
      <c r="G238" s="13" t="n">
        <v>0.0276448350717761</v>
      </c>
      <c r="H238" s="14" t="n">
        <f aca="false">H237*(1+C238)</f>
        <v>6828.26945236833</v>
      </c>
      <c r="I238" s="14" t="n">
        <f aca="false">I237*(1+D238)</f>
        <v>8019.13965015721</v>
      </c>
      <c r="J238" s="14" t="n">
        <f aca="false">J237*(1+E238)</f>
        <v>7521.09412040571</v>
      </c>
      <c r="K238" s="14" t="n">
        <f aca="false">K237*(1+F238)</f>
        <v>5613.75430222212</v>
      </c>
      <c r="L238" s="14" t="n">
        <f aca="false">L237*(1+G238)</f>
        <v>8118.00729856927</v>
      </c>
      <c r="M238" s="14" t="n">
        <f aca="false">H238-H237</f>
        <v>98.8192217961096</v>
      </c>
      <c r="N238" s="14" t="n">
        <f aca="false">I238-I237</f>
        <v>177.078143268928</v>
      </c>
      <c r="O238" s="14" t="n">
        <f aca="false">J238-J237</f>
        <v>166.328215090074</v>
      </c>
      <c r="P238" s="14" t="n">
        <f aca="false">K238-K237</f>
        <v>99.9317120885298</v>
      </c>
      <c r="Q238" s="14" t="n">
        <f aca="false">L238-L237</f>
        <v>218.38378904979</v>
      </c>
    </row>
    <row r="239" customFormat="false" ht="15" hidden="false" customHeight="false" outlineLevel="0" collapsed="false">
      <c r="A239" s="11" t="n">
        <v>46260</v>
      </c>
      <c r="B239" s="12" t="s">
        <v>53</v>
      </c>
      <c r="C239" s="13" t="n">
        <v>0.0260289654488038</v>
      </c>
      <c r="D239" s="13" t="n">
        <v>0.025285614835049</v>
      </c>
      <c r="E239" s="13" t="n">
        <v>0.0245735359531439</v>
      </c>
      <c r="F239" s="13" t="n">
        <v>0.0262781928675965</v>
      </c>
      <c r="G239" s="13" t="n">
        <v>0.0290945741730631</v>
      </c>
      <c r="H239" s="14" t="n">
        <f aca="false">H238*(1+C239)</f>
        <v>7006.00224201915</v>
      </c>
      <c r="I239" s="14" t="n">
        <f aca="false">I238*(1+D239)</f>
        <v>8221.90852665955</v>
      </c>
      <c r="J239" s="14" t="n">
        <f aca="false">J238*(1+E239)</f>
        <v>7705.91399718048</v>
      </c>
      <c r="K239" s="14" t="n">
        <f aca="false">K238*(1+F239)</f>
        <v>5761.27362048722</v>
      </c>
      <c r="L239" s="14" t="n">
        <f aca="false">L238*(1+G239)</f>
        <v>8354.19726405496</v>
      </c>
      <c r="M239" s="14" t="n">
        <f aca="false">H239-H238</f>
        <v>177.732789650817</v>
      </c>
      <c r="N239" s="14" t="n">
        <f aca="false">I239-I238</f>
        <v>202.768876502343</v>
      </c>
      <c r="O239" s="14" t="n">
        <f aca="false">J239-J238</f>
        <v>184.819876774768</v>
      </c>
      <c r="P239" s="14" t="n">
        <f aca="false">K239-K238</f>
        <v>147.519318265092</v>
      </c>
      <c r="Q239" s="14" t="n">
        <f aca="false">L239-L238</f>
        <v>236.189965485692</v>
      </c>
    </row>
    <row r="240" customFormat="false" ht="15" hidden="false" customHeight="false" outlineLevel="0" collapsed="false">
      <c r="A240" s="11" t="n">
        <v>46261</v>
      </c>
      <c r="B240" s="12" t="s">
        <v>47</v>
      </c>
      <c r="C240" s="13" t="n">
        <v>-0.000425751507892813</v>
      </c>
      <c r="D240" s="13" t="n">
        <v>0.00202284337092263</v>
      </c>
      <c r="E240" s="13" t="n">
        <v>0.00224870406772434</v>
      </c>
      <c r="F240" s="13" t="n">
        <v>0.000715580416636608</v>
      </c>
      <c r="G240" s="13" t="n">
        <v>0.00272461361719323</v>
      </c>
      <c r="H240" s="14" t="n">
        <f aca="false">H239*(1+C240)</f>
        <v>7003.01942600031</v>
      </c>
      <c r="I240" s="14" t="n">
        <f aca="false">I239*(1+D240)</f>
        <v>8238.54015981904</v>
      </c>
      <c r="J240" s="14" t="n">
        <f aca="false">J239*(1+E240)</f>
        <v>7723.24231733147</v>
      </c>
      <c r="K240" s="14" t="n">
        <f aca="false">K239*(1+F240)</f>
        <v>5765.39627506492</v>
      </c>
      <c r="L240" s="14" t="n">
        <f aca="false">L239*(1+G240)</f>
        <v>8376.95922368132</v>
      </c>
      <c r="M240" s="14" t="n">
        <f aca="false">H240-H239</f>
        <v>-2.98281601883991</v>
      </c>
      <c r="N240" s="14" t="n">
        <f aca="false">I240-I239</f>
        <v>16.6316331594862</v>
      </c>
      <c r="O240" s="14" t="n">
        <f aca="false">J240-J239</f>
        <v>17.3283201509939</v>
      </c>
      <c r="P240" s="14" t="n">
        <f aca="false">K240-K239</f>
        <v>4.12265457770536</v>
      </c>
      <c r="Q240" s="14" t="n">
        <f aca="false">L240-L239</f>
        <v>22.761959626363</v>
      </c>
    </row>
    <row r="241" customFormat="false" ht="15" hidden="false" customHeight="false" outlineLevel="0" collapsed="false">
      <c r="A241" s="11" t="n">
        <v>46262</v>
      </c>
      <c r="B241" s="12" t="s">
        <v>48</v>
      </c>
      <c r="C241" s="13" t="n">
        <v>0.00901280458068421</v>
      </c>
      <c r="D241" s="13" t="n">
        <v>0.0104091516911646</v>
      </c>
      <c r="E241" s="13" t="n">
        <v>0.0116969305218443</v>
      </c>
      <c r="F241" s="13" t="n">
        <v>0.00568328640030957</v>
      </c>
      <c r="G241" s="13" t="n">
        <v>0.0136221720161356</v>
      </c>
      <c r="H241" s="14" t="n">
        <f aca="false">H240*(1+C241)</f>
        <v>7066.13627156158</v>
      </c>
      <c r="I241" s="14" t="n">
        <f aca="false">I240*(1+D241)</f>
        <v>8324.29637405635</v>
      </c>
      <c r="J241" s="14" t="n">
        <f aca="false">J240*(1+E241)</f>
        <v>7813.58054612067</v>
      </c>
      <c r="K241" s="14" t="n">
        <f aca="false">K240*(1+F241)</f>
        <v>5798.16267330739</v>
      </c>
      <c r="L241" s="14" t="n">
        <f aca="false">L240*(1+G241)</f>
        <v>8491.07160319847</v>
      </c>
      <c r="M241" s="14" t="n">
        <f aca="false">H241-H240</f>
        <v>63.1168455612751</v>
      </c>
      <c r="N241" s="14" t="n">
        <f aca="false">I241-I240</f>
        <v>85.7562142373081</v>
      </c>
      <c r="O241" s="14" t="n">
        <f aca="false">J241-J240</f>
        <v>90.3382287891927</v>
      </c>
      <c r="P241" s="14" t="n">
        <f aca="false">K241-K240</f>
        <v>32.766398242472</v>
      </c>
      <c r="Q241" s="14" t="n">
        <f aca="false">L241-L240</f>
        <v>114.112379517141</v>
      </c>
    </row>
    <row r="242" customFormat="false" ht="15" hidden="false" customHeight="false" outlineLevel="0" collapsed="false">
      <c r="A242" s="11" t="n">
        <v>46263</v>
      </c>
      <c r="B242" s="12" t="s">
        <v>49</v>
      </c>
      <c r="C242" s="13" t="n">
        <v>0.0354580630400332</v>
      </c>
      <c r="D242" s="13" t="n">
        <v>0.0278765732561007</v>
      </c>
      <c r="E242" s="13" t="n">
        <v>0.028160863852509</v>
      </c>
      <c r="F242" s="13" t="n">
        <v>0.035495807462422</v>
      </c>
      <c r="G242" s="13" t="n">
        <v>0.0344344516119177</v>
      </c>
      <c r="H242" s="14" t="n">
        <f aca="false">H241*(1+C242)</f>
        <v>7316.68777692808</v>
      </c>
      <c r="I242" s="14" t="n">
        <f aca="false">I241*(1+D242)</f>
        <v>8556.34923173322</v>
      </c>
      <c r="J242" s="14" t="n">
        <f aca="false">J241*(1+E242)</f>
        <v>8033.61772408058</v>
      </c>
      <c r="K242" s="14" t="n">
        <f aca="false">K241*(1+F242)</f>
        <v>6003.97313919491</v>
      </c>
      <c r="L242" s="14" t="n">
        <f aca="false">L241*(1+G242)</f>
        <v>8783.45699745213</v>
      </c>
      <c r="M242" s="14" t="n">
        <f aca="false">H242-H241</f>
        <v>250.551505366496</v>
      </c>
      <c r="N242" s="14" t="n">
        <f aca="false">I242-I241</f>
        <v>232.052857676874</v>
      </c>
      <c r="O242" s="14" t="n">
        <f aca="false">J242-J241</f>
        <v>220.037177959917</v>
      </c>
      <c r="P242" s="14" t="n">
        <f aca="false">K242-K241</f>
        <v>205.810465887521</v>
      </c>
      <c r="Q242" s="14" t="n">
        <f aca="false">L242-L241</f>
        <v>292.385394253666</v>
      </c>
    </row>
    <row r="243" customFormat="false" ht="15" hidden="false" customHeight="false" outlineLevel="0" collapsed="false">
      <c r="A243" s="11" t="n">
        <v>46264</v>
      </c>
      <c r="B243" s="12" t="s">
        <v>50</v>
      </c>
      <c r="C243" s="13" t="n">
        <v>0.00987981624492851</v>
      </c>
      <c r="D243" s="13" t="n">
        <v>0.00729834933529332</v>
      </c>
      <c r="E243" s="13" t="n">
        <v>0.00732754876894577</v>
      </c>
      <c r="F243" s="13" t="n">
        <v>0.00536612904476741</v>
      </c>
      <c r="G243" s="13" t="n">
        <v>0.00947921321448819</v>
      </c>
      <c r="H243" s="14" t="n">
        <f aca="false">H242*(1+C243)</f>
        <v>7388.97530768564</v>
      </c>
      <c r="I243" s="14" t="n">
        <f aca="false">I242*(1+D243)</f>
        <v>8618.79645746118</v>
      </c>
      <c r="J243" s="14" t="n">
        <f aca="false">J242*(1+E243)</f>
        <v>8092.48444974485</v>
      </c>
      <c r="K243" s="14" t="n">
        <f aca="false">K242*(1+F243)</f>
        <v>6036.19123384115</v>
      </c>
      <c r="L243" s="14" t="n">
        <f aca="false">L242*(1+G243)</f>
        <v>8866.71725909127</v>
      </c>
      <c r="M243" s="14" t="n">
        <f aca="false">H243-H242</f>
        <v>72.2875307575641</v>
      </c>
      <c r="N243" s="14" t="n">
        <f aca="false">I243-I242</f>
        <v>62.4472257279576</v>
      </c>
      <c r="O243" s="14" t="n">
        <f aca="false">J243-J242</f>
        <v>58.8667256642666</v>
      </c>
      <c r="P243" s="14" t="n">
        <f aca="false">K243-K242</f>
        <v>32.2180946462368</v>
      </c>
      <c r="Q243" s="14" t="n">
        <f aca="false">L243-L242</f>
        <v>83.2602616391359</v>
      </c>
    </row>
    <row r="244" customFormat="false" ht="15" hidden="false" customHeight="false" outlineLevel="0" collapsed="false">
      <c r="A244" s="11" t="n">
        <v>46265</v>
      </c>
      <c r="B244" s="12" t="s">
        <v>51</v>
      </c>
      <c r="C244" s="13" t="n">
        <v>-0.00599517108184106</v>
      </c>
      <c r="D244" s="13" t="n">
        <v>-0.0062577163311222</v>
      </c>
      <c r="E244" s="13" t="n">
        <v>-0.0062593924095284</v>
      </c>
      <c r="F244" s="13" t="n">
        <v>-0.00897805277793595</v>
      </c>
      <c r="G244" s="13" t="n">
        <v>-0.00788642205008194</v>
      </c>
      <c r="H244" s="14" t="n">
        <f aca="false">H243*(1+C244)</f>
        <v>7344.67713659657</v>
      </c>
      <c r="I244" s="14" t="n">
        <f aca="false">I243*(1+D244)</f>
        <v>8564.8624741147</v>
      </c>
      <c r="J244" s="14" t="n">
        <f aca="false">J243*(1+E244)</f>
        <v>8041.83041400589</v>
      </c>
      <c r="K244" s="14" t="n">
        <f aca="false">K243*(1+F244)</f>
        <v>5981.99799036601</v>
      </c>
      <c r="L244" s="14" t="n">
        <f aca="false">L243*(1+G244)</f>
        <v>8796.79058458733</v>
      </c>
      <c r="M244" s="14" t="n">
        <f aca="false">H244-H243</f>
        <v>-44.2981710890754</v>
      </c>
      <c r="N244" s="14" t="n">
        <f aca="false">I244-I243</f>
        <v>-53.9339833464728</v>
      </c>
      <c r="O244" s="14" t="n">
        <f aca="false">J244-J243</f>
        <v>-50.6540357389595</v>
      </c>
      <c r="P244" s="14" t="n">
        <f aca="false">K244-K243</f>
        <v>-54.1932434751398</v>
      </c>
      <c r="Q244" s="14" t="n">
        <f aca="false">L244-L243</f>
        <v>-69.9266745039404</v>
      </c>
    </row>
    <row r="245" customFormat="false" ht="15" hidden="false" customHeight="false" outlineLevel="0" collapsed="false">
      <c r="A245" s="11" t="n">
        <v>46266</v>
      </c>
      <c r="B245" s="12" t="s">
        <v>52</v>
      </c>
      <c r="C245" s="13" t="n">
        <v>-0.0129964804152368</v>
      </c>
      <c r="D245" s="13" t="n">
        <v>-0.00957916113757414</v>
      </c>
      <c r="E245" s="13" t="n">
        <v>-0.00957910568846825</v>
      </c>
      <c r="F245" s="13" t="n">
        <v>-0.00882501722223927</v>
      </c>
      <c r="G245" s="13" t="n">
        <v>-0.0115329326128056</v>
      </c>
      <c r="H245" s="14" t="n">
        <f aca="false">H244*(1+C245)</f>
        <v>7249.22218403455</v>
      </c>
      <c r="I245" s="14" t="n">
        <f aca="false">I244*(1+D245)</f>
        <v>8482.818276354</v>
      </c>
      <c r="J245" s="14" t="n">
        <f aca="false">J244*(1+E245)</f>
        <v>7964.79687054139</v>
      </c>
      <c r="K245" s="14" t="n">
        <f aca="false">K244*(1+F245)</f>
        <v>5929.20675507763</v>
      </c>
      <c r="L245" s="14" t="n">
        <f aca="false">L244*(1+G245)</f>
        <v>8695.33779156632</v>
      </c>
      <c r="M245" s="14" t="n">
        <f aca="false">H245-H244</f>
        <v>-95.454952562015</v>
      </c>
      <c r="N245" s="14" t="n">
        <f aca="false">I245-I244</f>
        <v>-82.0441977607061</v>
      </c>
      <c r="O245" s="14" t="n">
        <f aca="false">J245-J244</f>
        <v>-77.0335434645003</v>
      </c>
      <c r="P245" s="14" t="n">
        <f aca="false">K245-K244</f>
        <v>-52.7912352883805</v>
      </c>
      <c r="Q245" s="14" t="n">
        <f aca="false">L245-L244</f>
        <v>-101.452793021008</v>
      </c>
    </row>
    <row r="246" customFormat="false" ht="15" hidden="false" customHeight="false" outlineLevel="0" collapsed="false">
      <c r="A246" s="11" t="n">
        <v>46267</v>
      </c>
      <c r="B246" s="12" t="s">
        <v>53</v>
      </c>
      <c r="C246" s="13" t="n">
        <v>-0.013854924788567</v>
      </c>
      <c r="D246" s="13" t="n">
        <v>-0.0105664762184853</v>
      </c>
      <c r="E246" s="13" t="n">
        <v>-0.0105664547898932</v>
      </c>
      <c r="F246" s="13" t="n">
        <v>-0.00874628059435512</v>
      </c>
      <c r="G246" s="13" t="n">
        <v>-0.0130710922539142</v>
      </c>
      <c r="H246" s="14" t="n">
        <f aca="false">H245*(1+C246)</f>
        <v>7148.78475589914</v>
      </c>
      <c r="I246" s="14" t="n">
        <f aca="false">I245*(1+D246)</f>
        <v>8393.18477877117</v>
      </c>
      <c r="J246" s="14" t="n">
        <f aca="false">J245*(1+E246)</f>
        <v>7880.63720449813</v>
      </c>
      <c r="K246" s="14" t="n">
        <f aca="false">K245*(1+F246)</f>
        <v>5877.34824909578</v>
      </c>
      <c r="L246" s="14" t="n">
        <f aca="false">L245*(1+G246)</f>
        <v>8581.68022911381</v>
      </c>
      <c r="M246" s="14" t="n">
        <f aca="false">H246-H245</f>
        <v>-100.43742813541</v>
      </c>
      <c r="N246" s="14" t="n">
        <f aca="false">I246-I245</f>
        <v>-89.6334975828268</v>
      </c>
      <c r="O246" s="14" t="n">
        <f aca="false">J246-J245</f>
        <v>-84.1596660432588</v>
      </c>
      <c r="P246" s="14" t="n">
        <f aca="false">K246-K245</f>
        <v>-51.8585059818552</v>
      </c>
      <c r="Q246" s="14" t="n">
        <f aca="false">L246-L245</f>
        <v>-113.657562452509</v>
      </c>
    </row>
    <row r="247" customFormat="false" ht="15" hidden="false" customHeight="false" outlineLevel="0" collapsed="false">
      <c r="A247" s="11" t="n">
        <v>46268</v>
      </c>
      <c r="B247" s="12" t="s">
        <v>47</v>
      </c>
      <c r="C247" s="13" t="n">
        <v>0.0105247468346656</v>
      </c>
      <c r="D247" s="13" t="n">
        <v>0.00635798003595473</v>
      </c>
      <c r="E247" s="13" t="n">
        <v>0.00635797549513367</v>
      </c>
      <c r="F247" s="13" t="n">
        <v>0.0063026172284022</v>
      </c>
      <c r="G247" s="13" t="n">
        <v>0.00557189602205721</v>
      </c>
      <c r="H247" s="14" t="n">
        <f aca="false">H246*(1+C247)</f>
        <v>7224.0239056305</v>
      </c>
      <c r="I247" s="14" t="n">
        <f aca="false">I246*(1+D247)</f>
        <v>8446.54848003268</v>
      </c>
      <c r="J247" s="14" t="n">
        <f aca="false">J246*(1+E247)</f>
        <v>7930.74210273037</v>
      </c>
      <c r="K247" s="14" t="n">
        <f aca="false">K246*(1+F247)</f>
        <v>5914.39092542785</v>
      </c>
      <c r="L247" s="14" t="n">
        <f aca="false">L246*(1+G247)</f>
        <v>8629.49645904498</v>
      </c>
      <c r="M247" s="14" t="n">
        <f aca="false">H247-H246</f>
        <v>75.2391497313556</v>
      </c>
      <c r="N247" s="14" t="n">
        <f aca="false">I247-I246</f>
        <v>53.3637012615072</v>
      </c>
      <c r="O247" s="14" t="n">
        <f aca="false">J247-J246</f>
        <v>50.1048982322382</v>
      </c>
      <c r="P247" s="14" t="n">
        <f aca="false">K247-K246</f>
        <v>37.0426763320702</v>
      </c>
      <c r="Q247" s="14" t="n">
        <f aca="false">L247-L246</f>
        <v>47.8162299311662</v>
      </c>
    </row>
    <row r="248" customFormat="false" ht="15" hidden="false" customHeight="false" outlineLevel="0" collapsed="false">
      <c r="A248" s="11" t="n">
        <v>46269</v>
      </c>
      <c r="B248" s="12" t="s">
        <v>48</v>
      </c>
      <c r="C248" s="13" t="n">
        <v>0.0174921695659331</v>
      </c>
      <c r="D248" s="13" t="n">
        <v>0.0108943709544624</v>
      </c>
      <c r="E248" s="13" t="n">
        <v>0.0108943641454861</v>
      </c>
      <c r="F248" s="13" t="n">
        <v>0.0118715318393707</v>
      </c>
      <c r="G248" s="13" t="n">
        <v>0.0146713831044596</v>
      </c>
      <c r="H248" s="14" t="n">
        <f aca="false">H247*(1+C248)</f>
        <v>7350.38775673614</v>
      </c>
      <c r="I248" s="14" t="n">
        <f aca="false">I247*(1+D248)</f>
        <v>8538.56831245901</v>
      </c>
      <c r="J248" s="14" t="n">
        <f aca="false">J247*(1+E248)</f>
        <v>8017.14249514145</v>
      </c>
      <c r="K248" s="14" t="n">
        <f aca="false">K247*(1+F248)</f>
        <v>5984.60380560955</v>
      </c>
      <c r="L248" s="14" t="n">
        <f aca="false">L247*(1+G248)</f>
        <v>8756.1031075942</v>
      </c>
      <c r="M248" s="14" t="n">
        <f aca="false">H248-H247</f>
        <v>126.363851105643</v>
      </c>
      <c r="N248" s="14" t="n">
        <f aca="false">I248-I247</f>
        <v>92.0198324263274</v>
      </c>
      <c r="O248" s="14" t="n">
        <f aca="false">J248-J247</f>
        <v>86.400392411083</v>
      </c>
      <c r="P248" s="14" t="n">
        <f aca="false">K248-K247</f>
        <v>70.2128801817016</v>
      </c>
      <c r="Q248" s="14" t="n">
        <f aca="false">L248-L247</f>
        <v>126.606648549227</v>
      </c>
    </row>
    <row r="249" customFormat="false" ht="15" hidden="false" customHeight="false" outlineLevel="0" collapsed="false">
      <c r="A249" s="11" t="n">
        <v>46270</v>
      </c>
      <c r="B249" s="12" t="s">
        <v>49</v>
      </c>
      <c r="C249" s="13" t="n">
        <v>-0.00346590454937573</v>
      </c>
      <c r="D249" s="13" t="n">
        <v>-0.00420143234961536</v>
      </c>
      <c r="E249" s="13" t="n">
        <v>-0.0042014323450454</v>
      </c>
      <c r="F249" s="13" t="n">
        <v>-0.0145053959142062</v>
      </c>
      <c r="G249" s="13" t="n">
        <v>-0.00670816552704245</v>
      </c>
      <c r="H249" s="14" t="n">
        <f aca="false">H248*(1+C249)</f>
        <v>7324.91201437039</v>
      </c>
      <c r="I249" s="14" t="n">
        <f aca="false">I248*(1+D249)</f>
        <v>8502.69409533164</v>
      </c>
      <c r="J249" s="14" t="n">
        <f aca="false">J248*(1+E249)</f>
        <v>7983.45901334753</v>
      </c>
      <c r="K249" s="14" t="n">
        <f aca="false">K248*(1+F249)</f>
        <v>5897.79475801952</v>
      </c>
      <c r="L249" s="14" t="n">
        <f aca="false">L248*(1+G249)</f>
        <v>8697.36571857661</v>
      </c>
      <c r="M249" s="14" t="n">
        <f aca="false">H249-H248</f>
        <v>-25.4757423657475</v>
      </c>
      <c r="N249" s="14" t="n">
        <f aca="false">I249-I248</f>
        <v>-35.8742171273661</v>
      </c>
      <c r="O249" s="14" t="n">
        <f aca="false">J249-J248</f>
        <v>-33.6834817939252</v>
      </c>
      <c r="P249" s="14" t="n">
        <f aca="false">K249-K248</f>
        <v>-86.8090475900317</v>
      </c>
      <c r="Q249" s="14" t="n">
        <f aca="false">L249-L248</f>
        <v>-58.7373890175932</v>
      </c>
    </row>
    <row r="250" customFormat="false" ht="15" hidden="false" customHeight="false" outlineLevel="0" collapsed="false">
      <c r="A250" s="11" t="n">
        <v>46271</v>
      </c>
      <c r="B250" s="12" t="s">
        <v>50</v>
      </c>
      <c r="C250" s="13" t="n">
        <v>0.0129919892555788</v>
      </c>
      <c r="D250" s="13" t="n">
        <v>0.00880010554126375</v>
      </c>
      <c r="E250" s="13" t="n">
        <v>0.00880010554311518</v>
      </c>
      <c r="F250" s="13" t="n">
        <v>0.0123581441219679</v>
      </c>
      <c r="G250" s="13" t="n">
        <v>0.0107905265933836</v>
      </c>
      <c r="H250" s="14" t="n">
        <f aca="false">H249*(1+C250)</f>
        <v>7420.07719255915</v>
      </c>
      <c r="I250" s="14" t="n">
        <f aca="false">I249*(1+D250)</f>
        <v>8577.51870075564</v>
      </c>
      <c r="J250" s="14" t="n">
        <f aca="false">J249*(1+E250)</f>
        <v>8053.71429526412</v>
      </c>
      <c r="K250" s="14" t="n">
        <f aca="false">K249*(1+F250)</f>
        <v>5970.68055564091</v>
      </c>
      <c r="L250" s="14" t="n">
        <f aca="false">L249*(1+G250)</f>
        <v>8791.21487465529</v>
      </c>
      <c r="M250" s="14" t="n">
        <f aca="false">H250-H249</f>
        <v>95.1651781887604</v>
      </c>
      <c r="N250" s="14" t="n">
        <f aca="false">I250-I249</f>
        <v>74.8246054239971</v>
      </c>
      <c r="O250" s="14" t="n">
        <f aca="false">J250-J249</f>
        <v>70.2552819165931</v>
      </c>
      <c r="P250" s="14" t="n">
        <f aca="false">K250-K249</f>
        <v>72.8857976213922</v>
      </c>
      <c r="Q250" s="14" t="n">
        <f aca="false">L250-L249</f>
        <v>93.8491560786843</v>
      </c>
    </row>
    <row r="251" customFormat="false" ht="15" hidden="false" customHeight="false" outlineLevel="0" collapsed="false">
      <c r="A251" s="11" t="n">
        <v>46272</v>
      </c>
      <c r="B251" s="12" t="s">
        <v>51</v>
      </c>
      <c r="C251" s="13" t="n">
        <v>0.0116382454143866</v>
      </c>
      <c r="D251" s="13" t="n">
        <v>0.0071326304092216</v>
      </c>
      <c r="E251" s="13" t="n">
        <v>0.00713263041063943</v>
      </c>
      <c r="F251" s="13" t="n">
        <v>0.0102033089518562</v>
      </c>
      <c r="G251" s="13" t="n">
        <v>0.00886720854204892</v>
      </c>
      <c r="H251" s="14" t="n">
        <f aca="false">H250*(1+C251)</f>
        <v>7506.43387191985</v>
      </c>
      <c r="I251" s="14" t="n">
        <f aca="false">I250*(1+D251)</f>
        <v>8638.69897147631</v>
      </c>
      <c r="J251" s="14" t="n">
        <f aca="false">J250*(1+E251)</f>
        <v>8111.15846276512</v>
      </c>
      <c r="K251" s="14" t="n">
        <f aca="false">K250*(1+F251)</f>
        <v>6031.60125400295</v>
      </c>
      <c r="L251" s="14" t="n">
        <f aca="false">L250*(1+G251)</f>
        <v>8869.16841028683</v>
      </c>
      <c r="M251" s="14" t="n">
        <f aca="false">H251-H250</f>
        <v>86.356679360696</v>
      </c>
      <c r="N251" s="14" t="n">
        <f aca="false">I251-I250</f>
        <v>61.1802707206771</v>
      </c>
      <c r="O251" s="14" t="n">
        <f aca="false">J251-J250</f>
        <v>57.4441675010021</v>
      </c>
      <c r="P251" s="14" t="n">
        <f aca="false">K251-K250</f>
        <v>60.9206983620434</v>
      </c>
      <c r="Q251" s="14" t="n">
        <f aca="false">L251-L250</f>
        <v>77.9535356315319</v>
      </c>
    </row>
    <row r="252" customFormat="false" ht="15" hidden="false" customHeight="false" outlineLevel="0" collapsed="false">
      <c r="A252" s="11" t="n">
        <v>46273</v>
      </c>
      <c r="B252" s="12" t="s">
        <v>52</v>
      </c>
      <c r="C252" s="13" t="n">
        <v>-0.00713823443385847</v>
      </c>
      <c r="D252" s="13" t="n">
        <v>-0.00108185607710091</v>
      </c>
      <c r="E252" s="13" t="n">
        <v>-0.00108185607792161</v>
      </c>
      <c r="F252" s="13" t="n">
        <v>0.00198638049276911</v>
      </c>
      <c r="G252" s="13" t="n">
        <v>-0.0013570462491343</v>
      </c>
      <c r="H252" s="14" t="n">
        <f aca="false">H251*(1+C252)</f>
        <v>7452.85118717983</v>
      </c>
      <c r="I252" s="14" t="n">
        <f aca="false">I251*(1+D252)</f>
        <v>8629.35314249578</v>
      </c>
      <c r="J252" s="14" t="n">
        <f aca="false">J251*(1+E252)</f>
        <v>8102.38335668319</v>
      </c>
      <c r="K252" s="14" t="n">
        <f aca="false">K251*(1+F252)</f>
        <v>6043.58230907407</v>
      </c>
      <c r="L252" s="14" t="n">
        <f aca="false">L251*(1+G252)</f>
        <v>8857.13253856271</v>
      </c>
      <c r="M252" s="14" t="n">
        <f aca="false">H252-H251</f>
        <v>-53.5826847400194</v>
      </c>
      <c r="N252" s="14" t="n">
        <f aca="false">I252-I251</f>
        <v>-9.34582898053668</v>
      </c>
      <c r="O252" s="14" t="n">
        <f aca="false">J252-J251</f>
        <v>-8.77510608192824</v>
      </c>
      <c r="P252" s="14" t="n">
        <f aca="false">K252-K251</f>
        <v>11.9810550711136</v>
      </c>
      <c r="Q252" s="14" t="n">
        <f aca="false">L252-L251</f>
        <v>-12.0358717241197</v>
      </c>
    </row>
    <row r="253" customFormat="false" ht="15" hidden="false" customHeight="false" outlineLevel="0" collapsed="false">
      <c r="A253" s="11" t="n">
        <v>46274</v>
      </c>
      <c r="B253" s="12" t="s">
        <v>53</v>
      </c>
      <c r="C253" s="13" t="n">
        <v>0.0223898733039414</v>
      </c>
      <c r="D253" s="13" t="n">
        <v>0.0192573954118703</v>
      </c>
      <c r="E253" s="13" t="n">
        <v>0.0203070829758442</v>
      </c>
      <c r="F253" s="13" t="n">
        <v>0.0156646382107842</v>
      </c>
      <c r="G253" s="13" t="n">
        <v>0.0239518905771109</v>
      </c>
      <c r="H253" s="14" t="n">
        <f aca="false">H252*(1+C253)</f>
        <v>7619.71958101392</v>
      </c>
      <c r="I253" s="14" t="n">
        <f aca="false">I252*(1+D253)</f>
        <v>8795.53200810948</v>
      </c>
      <c r="J253" s="14" t="n">
        <f aca="false">J252*(1+E253)</f>
        <v>8266.91912780946</v>
      </c>
      <c r="K253" s="14" t="n">
        <f aca="false">K252*(1+F253)</f>
        <v>6138.25283944281</v>
      </c>
      <c r="L253" s="14" t="n">
        <f aca="false">L252*(1+G253)</f>
        <v>9069.27760795333</v>
      </c>
      <c r="M253" s="14" t="n">
        <f aca="false">H253-H252</f>
        <v>166.868393834086</v>
      </c>
      <c r="N253" s="14" t="n">
        <f aca="false">I253-I252</f>
        <v>166.178865613707</v>
      </c>
      <c r="O253" s="14" t="n">
        <f aca="false">J253-J252</f>
        <v>164.535771126265</v>
      </c>
      <c r="P253" s="14" t="n">
        <f aca="false">K253-K252</f>
        <v>94.6705303687404</v>
      </c>
      <c r="Q253" s="14" t="n">
        <f aca="false">L253-L252</f>
        <v>212.145069390623</v>
      </c>
    </row>
    <row r="254" customFormat="false" ht="15" hidden="false" customHeight="false" outlineLevel="0" collapsed="false">
      <c r="A254" s="11" t="n">
        <v>46275</v>
      </c>
      <c r="B254" s="12" t="s">
        <v>47</v>
      </c>
      <c r="C254" s="13" t="n">
        <v>-0.0197173010037902</v>
      </c>
      <c r="D254" s="13" t="n">
        <v>-0.0146333309072258</v>
      </c>
      <c r="E254" s="13" t="n">
        <v>-0.0147679948106977</v>
      </c>
      <c r="F254" s="13" t="n">
        <v>-0.0137353323968601</v>
      </c>
      <c r="G254" s="13" t="n">
        <v>-0.0181151955737221</v>
      </c>
      <c r="H254" s="14" t="n">
        <f aca="false">H253*(1+C254)</f>
        <v>7469.47927647059</v>
      </c>
      <c r="I254" s="14" t="n">
        <f aca="false">I253*(1+D254)</f>
        <v>8666.82407772972</v>
      </c>
      <c r="J254" s="14" t="n">
        <f aca="false">J253*(1+E254)</f>
        <v>8144.83330902951</v>
      </c>
      <c r="K254" s="14" t="n">
        <f aca="false">K253*(1+F254)</f>
        <v>6053.94189635709</v>
      </c>
      <c r="L254" s="14" t="n">
        <f aca="false">L253*(1+G254)</f>
        <v>8904.98587037288</v>
      </c>
      <c r="M254" s="14" t="n">
        <f aca="false">H254-H253</f>
        <v>-150.240304543326</v>
      </c>
      <c r="N254" s="14" t="n">
        <f aca="false">I254-I253</f>
        <v>-128.707930379762</v>
      </c>
      <c r="O254" s="14" t="n">
        <f aca="false">J254-J253</f>
        <v>-122.085818779949</v>
      </c>
      <c r="P254" s="14" t="n">
        <f aca="false">K254-K253</f>
        <v>-84.3109430857176</v>
      </c>
      <c r="Q254" s="14" t="n">
        <f aca="false">L254-L253</f>
        <v>-164.291737580454</v>
      </c>
    </row>
    <row r="255" customFormat="false" ht="15" hidden="false" customHeight="false" outlineLevel="0" collapsed="false">
      <c r="A255" s="11" t="n">
        <v>46276</v>
      </c>
      <c r="B255" s="12" t="s">
        <v>48</v>
      </c>
      <c r="C255" s="13" t="n">
        <v>0.00758630900334989</v>
      </c>
      <c r="D255" s="13" t="n">
        <v>0.00749232437437082</v>
      </c>
      <c r="E255" s="13" t="n">
        <v>0.00784388731578778</v>
      </c>
      <c r="F255" s="13" t="n">
        <v>0.00902060652773018</v>
      </c>
      <c r="G255" s="13" t="n">
        <v>0.0101724650252294</v>
      </c>
      <c r="H255" s="14" t="n">
        <f aca="false">H254*(1+C255)</f>
        <v>7526.14505435601</v>
      </c>
      <c r="I255" s="14" t="n">
        <f aca="false">I254*(1+D255)</f>
        <v>8731.75873501568</v>
      </c>
      <c r="J255" s="14" t="n">
        <f aca="false">J254*(1+E255)</f>
        <v>8208.72046371141</v>
      </c>
      <c r="K255" s="14" t="n">
        <f aca="false">K254*(1+F255)</f>
        <v>6108.55212414587</v>
      </c>
      <c r="L255" s="14" t="n">
        <f aca="false">L254*(1+G255)</f>
        <v>8995.5715276894</v>
      </c>
      <c r="M255" s="14" t="n">
        <f aca="false">H255-H254</f>
        <v>56.6657778854242</v>
      </c>
      <c r="N255" s="14" t="n">
        <f aca="false">I255-I254</f>
        <v>64.9346572859577</v>
      </c>
      <c r="O255" s="14" t="n">
        <f aca="false">J255-J254</f>
        <v>63.8871546819019</v>
      </c>
      <c r="P255" s="14" t="n">
        <f aca="false">K255-K254</f>
        <v>54.6102277887785</v>
      </c>
      <c r="Q255" s="14" t="n">
        <f aca="false">L255-L254</f>
        <v>90.5856573165293</v>
      </c>
    </row>
    <row r="256" customFormat="false" ht="15" hidden="false" customHeight="false" outlineLevel="0" collapsed="false">
      <c r="A256" s="11" t="n">
        <v>46277</v>
      </c>
      <c r="B256" s="12" t="s">
        <v>49</v>
      </c>
      <c r="C256" s="13" t="n">
        <v>0.025291199905005</v>
      </c>
      <c r="D256" s="13" t="n">
        <v>0.0209303160529393</v>
      </c>
      <c r="E256" s="13" t="n">
        <v>0.0206551684329512</v>
      </c>
      <c r="F256" s="13" t="n">
        <v>0.0247707939144167</v>
      </c>
      <c r="G256" s="13" t="n">
        <v>0.026262478702986</v>
      </c>
      <c r="H256" s="14" t="n">
        <f aca="false">H255*(1+C256)</f>
        <v>7716.4902934398</v>
      </c>
      <c r="I256" s="14" t="n">
        <f aca="false">I255*(1+D256)</f>
        <v>8914.51720503757</v>
      </c>
      <c r="J256" s="14" t="n">
        <f aca="false">J255*(1+E256)</f>
        <v>8378.27296750839</v>
      </c>
      <c r="K256" s="14" t="n">
        <f aca="false">K255*(1+F256)</f>
        <v>6259.86580992856</v>
      </c>
      <c r="L256" s="14" t="n">
        <f aca="false">L255*(1+G256)</f>
        <v>9231.81753335654</v>
      </c>
      <c r="M256" s="14" t="n">
        <f aca="false">H256-H255</f>
        <v>190.345239083782</v>
      </c>
      <c r="N256" s="14" t="n">
        <f aca="false">I256-I255</f>
        <v>182.758470021892</v>
      </c>
      <c r="O256" s="14" t="n">
        <f aca="false">J256-J255</f>
        <v>169.552503796973</v>
      </c>
      <c r="P256" s="14" t="n">
        <f aca="false">K256-K255</f>
        <v>151.313685782689</v>
      </c>
      <c r="Q256" s="14" t="n">
        <f aca="false">L256-L255</f>
        <v>236.246005667132</v>
      </c>
    </row>
    <row r="257" customFormat="false" ht="15" hidden="false" customHeight="false" outlineLevel="0" collapsed="false">
      <c r="A257" s="11" t="n">
        <v>46278</v>
      </c>
      <c r="B257" s="12" t="s">
        <v>50</v>
      </c>
      <c r="C257" s="13" t="n">
        <v>0.0409283256847594</v>
      </c>
      <c r="D257" s="13" t="n">
        <v>0.0341300778926496</v>
      </c>
      <c r="E257" s="13" t="n">
        <v>0.0345694938915648</v>
      </c>
      <c r="F257" s="13" t="n">
        <v>0.0193434723816175</v>
      </c>
      <c r="G257" s="13" t="n">
        <v>0.0422411171910017</v>
      </c>
      <c r="H257" s="14" t="n">
        <f aca="false">H256*(1+C257)</f>
        <v>8032.31332131298</v>
      </c>
      <c r="I257" s="14" t="n">
        <f aca="false">I256*(1+D257)</f>
        <v>9218.77037162087</v>
      </c>
      <c r="J257" s="14" t="n">
        <f aca="false">J256*(1+E257)</f>
        <v>8667.90562368053</v>
      </c>
      <c r="K257" s="14" t="n">
        <f aca="false">K256*(1+F257)</f>
        <v>6380.95335133554</v>
      </c>
      <c r="L257" s="14" t="n">
        <f aca="false">L256*(1+G257)</f>
        <v>9621.77981966899</v>
      </c>
      <c r="M257" s="14" t="n">
        <f aca="false">H257-H256</f>
        <v>315.823027873187</v>
      </c>
      <c r="N257" s="14" t="n">
        <f aca="false">I257-I256</f>
        <v>304.253166583298</v>
      </c>
      <c r="O257" s="14" t="n">
        <f aca="false">J257-J256</f>
        <v>289.632656172143</v>
      </c>
      <c r="P257" s="14" t="n">
        <f aca="false">K257-K256</f>
        <v>121.087541406984</v>
      </c>
      <c r="Q257" s="14" t="n">
        <f aca="false">L257-L256</f>
        <v>389.962286312457</v>
      </c>
    </row>
    <row r="258" customFormat="false" ht="15" hidden="false" customHeight="false" outlineLevel="0" collapsed="false">
      <c r="A258" s="11" t="n">
        <v>46279</v>
      </c>
      <c r="B258" s="12" t="s">
        <v>51</v>
      </c>
      <c r="C258" s="13" t="n">
        <v>0.0063242411077018</v>
      </c>
      <c r="D258" s="13" t="n">
        <v>0.00231659065958254</v>
      </c>
      <c r="E258" s="13" t="n">
        <v>0.00561873490754418</v>
      </c>
      <c r="F258" s="13" t="n">
        <v>-0.00477658646928159</v>
      </c>
      <c r="G258" s="13" t="n">
        <v>0.00295343407320931</v>
      </c>
      <c r="H258" s="14" t="n">
        <f aca="false">H257*(1+C258)</f>
        <v>8083.11160740957</v>
      </c>
      <c r="I258" s="14" t="n">
        <f aca="false">I257*(1+D258)</f>
        <v>9240.1264889566</v>
      </c>
      <c r="J258" s="14" t="n">
        <f aca="false">J257*(1+E258)</f>
        <v>8716.6082875836</v>
      </c>
      <c r="K258" s="14" t="n">
        <f aca="false">K257*(1+F258)</f>
        <v>6350.47417589643</v>
      </c>
      <c r="L258" s="14" t="n">
        <f aca="false">L257*(1+G258)</f>
        <v>9650.19711203332</v>
      </c>
      <c r="M258" s="14" t="n">
        <f aca="false">H258-H257</f>
        <v>50.7982860965885</v>
      </c>
      <c r="N258" s="14" t="n">
        <f aca="false">I258-I257</f>
        <v>21.3561173357339</v>
      </c>
      <c r="O258" s="14" t="n">
        <f aca="false">J258-J257</f>
        <v>48.7026639030737</v>
      </c>
      <c r="P258" s="14" t="n">
        <f aca="false">K258-K257</f>
        <v>-30.4791754391063</v>
      </c>
      <c r="Q258" s="14" t="n">
        <f aca="false">L258-L257</f>
        <v>28.4172923643291</v>
      </c>
    </row>
    <row r="259" customFormat="false" ht="15" hidden="false" customHeight="false" outlineLevel="0" collapsed="false">
      <c r="A259" s="11" t="n">
        <v>46280</v>
      </c>
      <c r="B259" s="12" t="s">
        <v>52</v>
      </c>
      <c r="C259" s="13" t="n">
        <v>0.00502278479669782</v>
      </c>
      <c r="D259" s="13" t="n">
        <v>0.00277276207040821</v>
      </c>
      <c r="E259" s="13" t="n">
        <v>0.00333153481864204</v>
      </c>
      <c r="F259" s="13" t="n">
        <v>0.00605402464161575</v>
      </c>
      <c r="G259" s="13" t="n">
        <v>0.00465130116183732</v>
      </c>
      <c r="H259" s="14" t="n">
        <f aca="false">H258*(1+C259)</f>
        <v>8123.71133750128</v>
      </c>
      <c r="I259" s="14" t="n">
        <f aca="false">I258*(1+D259)</f>
        <v>9265.74716121096</v>
      </c>
      <c r="J259" s="14" t="n">
        <f aca="false">J258*(1+E259)</f>
        <v>8745.64797159415</v>
      </c>
      <c r="K259" s="14" t="n">
        <f aca="false">K258*(1+F259)</f>
        <v>6388.92010304325</v>
      </c>
      <c r="L259" s="14" t="n">
        <f aca="false">L258*(1+G259)</f>
        <v>9695.08308507248</v>
      </c>
      <c r="M259" s="14" t="n">
        <f aca="false">H259-H258</f>
        <v>40.5997300917079</v>
      </c>
      <c r="N259" s="14" t="n">
        <f aca="false">I259-I258</f>
        <v>25.620672254352</v>
      </c>
      <c r="O259" s="14" t="n">
        <f aca="false">J259-J258</f>
        <v>29.0396840105477</v>
      </c>
      <c r="P259" s="14" t="n">
        <f aca="false">K259-K258</f>
        <v>38.4459271468204</v>
      </c>
      <c r="Q259" s="14" t="n">
        <f aca="false">L259-L258</f>
        <v>44.8859730391578</v>
      </c>
    </row>
    <row r="260" customFormat="false" ht="15" hidden="false" customHeight="false" outlineLevel="0" collapsed="false">
      <c r="A260" s="11" t="n">
        <v>46281</v>
      </c>
      <c r="B260" s="12" t="s">
        <v>53</v>
      </c>
      <c r="C260" s="13" t="n">
        <v>0.026354927205771</v>
      </c>
      <c r="D260" s="13" t="n">
        <v>0.026675572254579</v>
      </c>
      <c r="E260" s="13" t="n">
        <v>0.0213978831396105</v>
      </c>
      <c r="F260" s="13" t="n">
        <v>0.024063703552647</v>
      </c>
      <c r="G260" s="13" t="n">
        <v>0.0327875496741926</v>
      </c>
      <c r="H260" s="14" t="n">
        <f aca="false">H259*(1+C260)</f>
        <v>8337.81115844182</v>
      </c>
      <c r="I260" s="14" t="n">
        <f aca="false">I259*(1+D260)</f>
        <v>9512.9162691025</v>
      </c>
      <c r="J260" s="14" t="n">
        <f aca="false">J259*(1+E260)</f>
        <v>8932.78632487049</v>
      </c>
      <c r="K260" s="14" t="n">
        <f aca="false">K259*(1+F260)</f>
        <v>6542.66118242443</v>
      </c>
      <c r="L260" s="14" t="n">
        <f aca="false">L259*(1+G260)</f>
        <v>10012.9611033197</v>
      </c>
      <c r="M260" s="14" t="n">
        <f aca="false">H260-H259</f>
        <v>214.099820940543</v>
      </c>
      <c r="N260" s="14" t="n">
        <f aca="false">I260-I259</f>
        <v>247.169107891543</v>
      </c>
      <c r="O260" s="14" t="n">
        <f aca="false">J260-J259</f>
        <v>187.138353276343</v>
      </c>
      <c r="P260" s="14" t="n">
        <f aca="false">K260-K259</f>
        <v>153.74107938118</v>
      </c>
      <c r="Q260" s="14" t="n">
        <f aca="false">L260-L259</f>
        <v>317.87801824724</v>
      </c>
    </row>
    <row r="261" customFormat="false" ht="15" hidden="false" customHeight="false" outlineLevel="0" collapsed="false">
      <c r="A261" s="11" t="n">
        <v>46282</v>
      </c>
      <c r="B261" s="12" t="s">
        <v>47</v>
      </c>
      <c r="C261" s="13" t="n">
        <v>0.0024554824620292</v>
      </c>
      <c r="D261" s="13" t="n">
        <v>0.00759736854834759</v>
      </c>
      <c r="E261" s="13" t="n">
        <v>0.00768541261083678</v>
      </c>
      <c r="F261" s="13" t="n">
        <v>0.00293085507308433</v>
      </c>
      <c r="G261" s="13" t="n">
        <v>0.00949775141945064</v>
      </c>
      <c r="H261" s="14" t="n">
        <f aca="false">H260*(1+C261)</f>
        <v>8358.28450751309</v>
      </c>
      <c r="I261" s="14" t="n">
        <f aca="false">I260*(1+D261)</f>
        <v>9585.18939996844</v>
      </c>
      <c r="J261" s="14" t="n">
        <f aca="false">J260*(1+E261)</f>
        <v>9001.43847354156</v>
      </c>
      <c r="K261" s="14" t="n">
        <f aca="false">K260*(1+F261)</f>
        <v>6561.83677414241</v>
      </c>
      <c r="L261" s="14" t="n">
        <f aca="false">L260*(1+G261)</f>
        <v>10108.0617188517</v>
      </c>
      <c r="M261" s="14" t="n">
        <f aca="false">H261-H260</f>
        <v>20.4733490712661</v>
      </c>
      <c r="N261" s="14" t="n">
        <f aca="false">I261-I260</f>
        <v>72.273130865944</v>
      </c>
      <c r="O261" s="14" t="n">
        <f aca="false">J261-J260</f>
        <v>68.6521486710699</v>
      </c>
      <c r="P261" s="14" t="n">
        <f aca="false">K261-K260</f>
        <v>19.1755917179798</v>
      </c>
      <c r="Q261" s="14" t="n">
        <f aca="false">L261-L260</f>
        <v>95.1006155319592</v>
      </c>
    </row>
    <row r="262" customFormat="false" ht="15" hidden="false" customHeight="false" outlineLevel="0" collapsed="false">
      <c r="A262" s="11" t="n">
        <v>46283</v>
      </c>
      <c r="B262" s="12" t="s">
        <v>48</v>
      </c>
      <c r="C262" s="13" t="n">
        <v>0.0112014244075062</v>
      </c>
      <c r="D262" s="13" t="n">
        <v>0.00831083387972677</v>
      </c>
      <c r="E262" s="13" t="n">
        <v>0.00691420969963221</v>
      </c>
      <c r="F262" s="13" t="n">
        <v>0.00580084861915908</v>
      </c>
      <c r="G262" s="13" t="n">
        <v>0.00969647392917794</v>
      </c>
      <c r="H262" s="14" t="n">
        <f aca="false">H261*(1+C262)</f>
        <v>8451.90919960043</v>
      </c>
      <c r="I262" s="14" t="n">
        <f aca="false">I261*(1+D262)</f>
        <v>9664.8503167773</v>
      </c>
      <c r="J262" s="14" t="n">
        <f aca="false">J261*(1+E262)</f>
        <v>9063.67630674597</v>
      </c>
      <c r="K262" s="14" t="n">
        <f aca="false">K261*(1+F262)</f>
        <v>6599.90099593284</v>
      </c>
      <c r="L262" s="14" t="n">
        <f aca="false">L261*(1+G262)</f>
        <v>10206.074275783</v>
      </c>
      <c r="M262" s="14" t="n">
        <f aca="false">H262-H261</f>
        <v>93.6246920873382</v>
      </c>
      <c r="N262" s="14" t="n">
        <f aca="false">I262-I261</f>
        <v>79.6609168088562</v>
      </c>
      <c r="O262" s="14" t="n">
        <f aca="false">J262-J261</f>
        <v>62.2378332044027</v>
      </c>
      <c r="P262" s="14" t="n">
        <f aca="false">K262-K261</f>
        <v>38.0642217904306</v>
      </c>
      <c r="Q262" s="14" t="n">
        <f aca="false">L262-L261</f>
        <v>98.0125569313677</v>
      </c>
    </row>
    <row r="263" customFormat="false" ht="15" hidden="false" customHeight="false" outlineLevel="0" collapsed="false">
      <c r="A263" s="11" t="n">
        <v>46284</v>
      </c>
      <c r="B263" s="12" t="s">
        <v>49</v>
      </c>
      <c r="C263" s="13" t="n">
        <v>-0.00524758819215548</v>
      </c>
      <c r="D263" s="13" t="n">
        <v>-0.00302913497235356</v>
      </c>
      <c r="E263" s="13" t="n">
        <v>-0.00304069017154248</v>
      </c>
      <c r="F263" s="13" t="n">
        <v>0.00338904232801096</v>
      </c>
      <c r="G263" s="13" t="n">
        <v>-0.00373231312006478</v>
      </c>
      <c r="H263" s="14" t="n">
        <f aca="false">H262*(1+C263)</f>
        <v>8407.55706068343</v>
      </c>
      <c r="I263" s="14" t="n">
        <f aca="false">I262*(1+D263)</f>
        <v>9635.57418068019</v>
      </c>
      <c r="J263" s="14" t="n">
        <f aca="false">J262*(1+E263)</f>
        <v>9036.116475282</v>
      </c>
      <c r="K263" s="14" t="n">
        <f aca="false">K262*(1+F263)</f>
        <v>6622.26833976874</v>
      </c>
      <c r="L263" s="14" t="n">
        <f aca="false">L262*(1+G263)</f>
        <v>10167.9820108592</v>
      </c>
      <c r="M263" s="14" t="n">
        <f aca="false">H263-H262</f>
        <v>-44.3521389169928</v>
      </c>
      <c r="N263" s="14" t="n">
        <f aca="false">I263-I262</f>
        <v>-29.2761360971126</v>
      </c>
      <c r="O263" s="14" t="n">
        <f aca="false">J263-J262</f>
        <v>-27.5598314639647</v>
      </c>
      <c r="P263" s="14" t="n">
        <f aca="false">K263-K262</f>
        <v>22.3673438358983</v>
      </c>
      <c r="Q263" s="14" t="n">
        <f aca="false">L263-L262</f>
        <v>-38.0922649238619</v>
      </c>
    </row>
    <row r="264" customFormat="false" ht="15" hidden="false" customHeight="false" outlineLevel="0" collapsed="false">
      <c r="A264" s="11" t="n">
        <v>46285</v>
      </c>
      <c r="B264" s="12" t="s">
        <v>50</v>
      </c>
      <c r="C264" s="13" t="n">
        <v>-0.00944326166183851</v>
      </c>
      <c r="D264" s="13" t="n">
        <v>0.00335244752831978</v>
      </c>
      <c r="E264" s="13" t="n">
        <v>0.00335381686138</v>
      </c>
      <c r="F264" s="13" t="n">
        <v>-0.0193730905727583</v>
      </c>
      <c r="G264" s="13" t="n">
        <v>0.00415805785164436</v>
      </c>
      <c r="H264" s="14" t="n">
        <f aca="false">H263*(1+C264)</f>
        <v>8328.16229942256</v>
      </c>
      <c r="I264" s="14" t="n">
        <f aca="false">I263*(1+D264)</f>
        <v>9667.87693752615</v>
      </c>
      <c r="J264" s="14" t="n">
        <f aca="false">J263*(1+E264)</f>
        <v>9066.4219550782</v>
      </c>
      <c r="K264" s="14" t="n">
        <f aca="false">K263*(1+F264)</f>
        <v>6493.97453542529</v>
      </c>
      <c r="L264" s="14" t="n">
        <f aca="false">L263*(1+G264)</f>
        <v>10210.2610682948</v>
      </c>
      <c r="M264" s="14" t="n">
        <f aca="false">H264-H263</f>
        <v>-79.3947612608718</v>
      </c>
      <c r="N264" s="14" t="n">
        <f aca="false">I264-I263</f>
        <v>32.3027568459638</v>
      </c>
      <c r="O264" s="14" t="n">
        <f aca="false">J264-J263</f>
        <v>30.3054797961941</v>
      </c>
      <c r="P264" s="14" t="n">
        <f aca="false">K264-K263</f>
        <v>-128.29380434345</v>
      </c>
      <c r="Q264" s="14" t="n">
        <f aca="false">L264-L263</f>
        <v>42.2790574356313</v>
      </c>
    </row>
    <row r="265" customFormat="false" ht="15" hidden="false" customHeight="false" outlineLevel="0" collapsed="false">
      <c r="A265" s="11" t="n">
        <v>46286</v>
      </c>
      <c r="B265" s="12" t="s">
        <v>51</v>
      </c>
      <c r="C265" s="13" t="n">
        <v>-0.0402295469012942</v>
      </c>
      <c r="D265" s="13" t="n">
        <v>-0.0110922702439182</v>
      </c>
      <c r="E265" s="13" t="n">
        <v>-0.0181737508500557</v>
      </c>
      <c r="F265" s="13" t="n">
        <v>-0.0235814638065895</v>
      </c>
      <c r="G265" s="13" t="n">
        <v>-0.0134039715500935</v>
      </c>
      <c r="H265" s="14" t="n">
        <f aca="false">H264*(1+C265)</f>
        <v>7993.12410359635</v>
      </c>
      <c r="I265" s="14" t="n">
        <f aca="false">I264*(1+D265)</f>
        <v>9560.63823385016</v>
      </c>
      <c r="J265" s="14" t="n">
        <f aca="false">J264*(1+E265)</f>
        <v>8901.65106136513</v>
      </c>
      <c r="K265" s="14" t="n">
        <f aca="false">K264*(1+F265)</f>
        <v>6340.83710995725</v>
      </c>
      <c r="L265" s="14" t="n">
        <f aca="false">L264*(1+G265)</f>
        <v>10073.4030194164</v>
      </c>
      <c r="M265" s="14" t="n">
        <f aca="false">H265-H264</f>
        <v>-335.038195826211</v>
      </c>
      <c r="N265" s="14" t="n">
        <f aca="false">I265-I264</f>
        <v>-107.238703675985</v>
      </c>
      <c r="O265" s="14" t="n">
        <f aca="false">J265-J264</f>
        <v>-164.770893713066</v>
      </c>
      <c r="P265" s="14" t="n">
        <f aca="false">K265-K264</f>
        <v>-153.137425468046</v>
      </c>
      <c r="Q265" s="14" t="n">
        <f aca="false">L265-L264</f>
        <v>-136.858048878452</v>
      </c>
    </row>
    <row r="266" customFormat="false" ht="15" hidden="false" customHeight="false" outlineLevel="0" collapsed="false">
      <c r="A266" s="11" t="n">
        <v>46287</v>
      </c>
      <c r="B266" s="12" t="s">
        <v>52</v>
      </c>
      <c r="C266" s="13" t="n">
        <v>0.0196537390492009</v>
      </c>
      <c r="D266" s="13" t="n">
        <v>0.00909134304963108</v>
      </c>
      <c r="E266" s="13" t="n">
        <v>0.0113726242423964</v>
      </c>
      <c r="F266" s="13" t="n">
        <v>0.00665117242792357</v>
      </c>
      <c r="G266" s="13" t="n">
        <v>0.0112477773060067</v>
      </c>
      <c r="H266" s="14" t="n">
        <f aca="false">H265*(1+C266)</f>
        <v>8150.21887891631</v>
      </c>
      <c r="I266" s="14" t="n">
        <f aca="false">I265*(1+D266)</f>
        <v>9647.55727580752</v>
      </c>
      <c r="J266" s="14" t="n">
        <f aca="false">J265*(1+E266)</f>
        <v>9002.88619402296</v>
      </c>
      <c r="K266" s="14" t="n">
        <f aca="false">K265*(1+F266)</f>
        <v>6383.01111091295</v>
      </c>
      <c r="L266" s="14" t="n">
        <f aca="false">L265*(1+G266)</f>
        <v>10186.7064132924</v>
      </c>
      <c r="M266" s="14" t="n">
        <f aca="false">H266-H265</f>
        <v>157.094775319961</v>
      </c>
      <c r="N266" s="14" t="n">
        <f aca="false">I266-I265</f>
        <v>86.9190419573515</v>
      </c>
      <c r="O266" s="14" t="n">
        <f aca="false">J266-J265</f>
        <v>101.235132657834</v>
      </c>
      <c r="P266" s="14" t="n">
        <f aca="false">K266-K265</f>
        <v>42.1740009557016</v>
      </c>
      <c r="Q266" s="14" t="n">
        <f aca="false">L266-L265</f>
        <v>113.303393876051</v>
      </c>
    </row>
    <row r="267" customFormat="false" ht="15" hidden="false" customHeight="false" outlineLevel="0" collapsed="false">
      <c r="A267" s="11" t="n">
        <v>46288</v>
      </c>
      <c r="B267" s="12" t="s">
        <v>53</v>
      </c>
      <c r="C267" s="13" t="n">
        <v>-0.0053613512405955</v>
      </c>
      <c r="D267" s="13" t="n">
        <v>-0.0146270926650368</v>
      </c>
      <c r="E267" s="13" t="n">
        <v>-0.0121742380074468</v>
      </c>
      <c r="F267" s="13" t="n">
        <v>0.00351834032916376</v>
      </c>
      <c r="G267" s="13" t="n">
        <v>-0.0183012179652033</v>
      </c>
      <c r="H267" s="14" t="n">
        <f aca="false">H266*(1+C267)</f>
        <v>8106.52269281871</v>
      </c>
      <c r="I267" s="14" t="n">
        <f aca="false">I266*(1+D267)</f>
        <v>9506.44156154303</v>
      </c>
      <c r="J267" s="14" t="n">
        <f aca="false">J266*(1+E267)</f>
        <v>8893.28291474297</v>
      </c>
      <c r="K267" s="14" t="n">
        <f aca="false">K266*(1+F267)</f>
        <v>6405.46871632597</v>
      </c>
      <c r="L267" s="14" t="n">
        <f aca="false">L266*(1+G267)</f>
        <v>10000.2772788752</v>
      </c>
      <c r="M267" s="14" t="n">
        <f aca="false">H267-H266</f>
        <v>-43.6961860976026</v>
      </c>
      <c r="N267" s="14" t="n">
        <f aca="false">I267-I266</f>
        <v>-141.115714264486</v>
      </c>
      <c r="O267" s="14" t="n">
        <f aca="false">J267-J266</f>
        <v>-109.603279279992</v>
      </c>
      <c r="P267" s="14" t="n">
        <f aca="false">K267-K266</f>
        <v>22.4576054130248</v>
      </c>
      <c r="Q267" s="14" t="n">
        <f aca="false">L267-L266</f>
        <v>-186.4291344172</v>
      </c>
    </row>
    <row r="268" customFormat="false" ht="15" hidden="false" customHeight="false" outlineLevel="0" collapsed="false">
      <c r="A268" s="11" t="n">
        <v>46289</v>
      </c>
      <c r="B268" s="12" t="s">
        <v>47</v>
      </c>
      <c r="C268" s="13" t="n">
        <v>-0.0397052982432404</v>
      </c>
      <c r="D268" s="13" t="n">
        <v>-0.0275367065135882</v>
      </c>
      <c r="E268" s="13" t="n">
        <v>-0.0249465288512582</v>
      </c>
      <c r="F268" s="13" t="n">
        <v>-0.0534187017875504</v>
      </c>
      <c r="G268" s="13" t="n">
        <v>-0.0342978838417519</v>
      </c>
      <c r="H268" s="14" t="n">
        <f aca="false">H267*(1+C268)</f>
        <v>7784.65079158475</v>
      </c>
      <c r="I268" s="14" t="n">
        <f aca="false">I267*(1+D268)</f>
        <v>9244.66547027424</v>
      </c>
      <c r="J268" s="14" t="n">
        <f aca="false">J267*(1+E268)</f>
        <v>8671.42637592793</v>
      </c>
      <c r="K268" s="14" t="n">
        <f aca="false">K267*(1+F268)</f>
        <v>6063.29689315907</v>
      </c>
      <c r="L268" s="14" t="n">
        <f aca="false">L267*(1+G268)</f>
        <v>9657.28893037904</v>
      </c>
      <c r="M268" s="14" t="n">
        <f aca="false">H268-H267</f>
        <v>-321.871901233963</v>
      </c>
      <c r="N268" s="14" t="n">
        <f aca="false">I268-I267</f>
        <v>-261.776091268788</v>
      </c>
      <c r="O268" s="14" t="n">
        <f aca="false">J268-J267</f>
        <v>-221.856538815038</v>
      </c>
      <c r="P268" s="14" t="n">
        <f aca="false">K268-K267</f>
        <v>-342.171823166901</v>
      </c>
      <c r="Q268" s="14" t="n">
        <f aca="false">L268-L267</f>
        <v>-342.988348496174</v>
      </c>
    </row>
    <row r="269" customFormat="false" ht="15" hidden="false" customHeight="false" outlineLevel="0" collapsed="false">
      <c r="A269" s="11" t="n">
        <v>46290</v>
      </c>
      <c r="B269" s="12" t="s">
        <v>48</v>
      </c>
      <c r="C269" s="13" t="n">
        <v>-0.00977770020280921</v>
      </c>
      <c r="D269" s="13" t="n">
        <v>-0.0290752903895735</v>
      </c>
      <c r="E269" s="13" t="n">
        <v>-0.0283449071985015</v>
      </c>
      <c r="F269" s="13" t="n">
        <v>0.011275555043715</v>
      </c>
      <c r="G269" s="13" t="n">
        <v>-0.0368549596699523</v>
      </c>
      <c r="H269" s="14" t="n">
        <f aca="false">H268*(1+C269)</f>
        <v>7708.53480996107</v>
      </c>
      <c r="I269" s="14" t="n">
        <f aca="false">I268*(1+D269)</f>
        <v>8975.87413717156</v>
      </c>
      <c r="J269" s="14" t="n">
        <f aca="false">J268*(1+E269)</f>
        <v>8425.63560002362</v>
      </c>
      <c r="K269" s="14" t="n">
        <f aca="false">K268*(1+F269)</f>
        <v>6131.66393102427</v>
      </c>
      <c r="L269" s="14" t="n">
        <f aca="false">L268*(1+G269)</f>
        <v>9301.36993632885</v>
      </c>
      <c r="M269" s="14" t="n">
        <f aca="false">H269-H268</f>
        <v>-76.1159816236768</v>
      </c>
      <c r="N269" s="14" t="n">
        <f aca="false">I269-I268</f>
        <v>-268.791333102687</v>
      </c>
      <c r="O269" s="14" t="n">
        <f aca="false">J269-J268</f>
        <v>-245.790775904316</v>
      </c>
      <c r="P269" s="14" t="n">
        <f aca="false">K269-K268</f>
        <v>68.3670378652005</v>
      </c>
      <c r="Q269" s="14" t="n">
        <f aca="false">L269-L268</f>
        <v>-355.918994050197</v>
      </c>
    </row>
    <row r="270" customFormat="false" ht="15" hidden="false" customHeight="false" outlineLevel="0" collapsed="false">
      <c r="A270" s="11" t="n">
        <v>46291</v>
      </c>
      <c r="B270" s="12" t="s">
        <v>49</v>
      </c>
      <c r="C270" s="13" t="n">
        <v>0.00785725215060962</v>
      </c>
      <c r="D270" s="13" t="n">
        <v>0.0365063333223011</v>
      </c>
      <c r="E270" s="13" t="n">
        <v>0.036503395437874</v>
      </c>
      <c r="F270" s="13" t="n">
        <v>0.0140660144368102</v>
      </c>
      <c r="G270" s="13" t="n">
        <v>0.0531938420151485</v>
      </c>
      <c r="H270" s="14" t="n">
        <f aca="false">H269*(1+C270)</f>
        <v>7769.10271167469</v>
      </c>
      <c r="I270" s="14" t="n">
        <f aca="false">I269*(1+D270)</f>
        <v>9303.55039028216</v>
      </c>
      <c r="J270" s="14" t="n">
        <f aca="false">J269*(1+E270)</f>
        <v>8733.19990814671</v>
      </c>
      <c r="K270" s="14" t="n">
        <f aca="false">K269*(1+F270)</f>
        <v>6217.91200439973</v>
      </c>
      <c r="L270" s="14" t="n">
        <f aca="false">L269*(1+G270)</f>
        <v>9796.14553924637</v>
      </c>
      <c r="M270" s="14" t="n">
        <f aca="false">H270-H269</f>
        <v>60.5679017136163</v>
      </c>
      <c r="N270" s="14" t="n">
        <f aca="false">I270-I269</f>
        <v>327.676253110609</v>
      </c>
      <c r="O270" s="14" t="n">
        <f aca="false">J270-J269</f>
        <v>307.56430812309</v>
      </c>
      <c r="P270" s="14" t="n">
        <f aca="false">K270-K269</f>
        <v>86.2480733754555</v>
      </c>
      <c r="Q270" s="14" t="n">
        <f aca="false">L270-L269</f>
        <v>494.775602917529</v>
      </c>
    </row>
    <row r="271" customFormat="false" ht="15" hidden="false" customHeight="false" outlineLevel="0" collapsed="false">
      <c r="A271" s="11" t="n">
        <v>46292</v>
      </c>
      <c r="B271" s="12" t="s">
        <v>50</v>
      </c>
      <c r="C271" s="13" t="n">
        <v>-0.0143251535811652</v>
      </c>
      <c r="D271" s="13" t="n">
        <v>-0.0156090830501549</v>
      </c>
      <c r="E271" s="13" t="n">
        <v>-0.0156085076263747</v>
      </c>
      <c r="F271" s="13" t="n">
        <v>-0.012265272008108</v>
      </c>
      <c r="G271" s="13" t="n">
        <v>-0.0203308786603328</v>
      </c>
      <c r="H271" s="14" t="n">
        <f aca="false">H270*(1+C271)</f>
        <v>7657.8091221421</v>
      </c>
      <c r="I271" s="14" t="n">
        <f aca="false">I270*(1+D271)</f>
        <v>9158.33049957895</v>
      </c>
      <c r="J271" s="14" t="n">
        <f aca="false">J270*(1+E271)</f>
        <v>8596.88769077774</v>
      </c>
      <c r="K271" s="14" t="n">
        <f aca="false">K270*(1+F271)</f>
        <v>6141.64762234329</v>
      </c>
      <c r="L271" s="14" t="n">
        <f aca="false">L270*(1+G271)</f>
        <v>9596.981292949</v>
      </c>
      <c r="M271" s="14" t="n">
        <f aca="false">H271-H270</f>
        <v>-111.293589532586</v>
      </c>
      <c r="N271" s="14" t="n">
        <f aca="false">I271-I270</f>
        <v>-145.219890703214</v>
      </c>
      <c r="O271" s="14" t="n">
        <f aca="false">J271-J270</f>
        <v>-136.312217368963</v>
      </c>
      <c r="P271" s="14" t="n">
        <f aca="false">K271-K270</f>
        <v>-76.2643820564417</v>
      </c>
      <c r="Q271" s="14" t="n">
        <f aca="false">L271-L270</f>
        <v>-199.164246297378</v>
      </c>
    </row>
    <row r="272" customFormat="false" ht="15" hidden="false" customHeight="false" outlineLevel="0" collapsed="false">
      <c r="A272" s="11" t="n">
        <v>46293</v>
      </c>
      <c r="B272" s="12" t="s">
        <v>51</v>
      </c>
      <c r="C272" s="13" t="n">
        <v>-0.00234440270307079</v>
      </c>
      <c r="D272" s="13" t="n">
        <v>0.00972226257666287</v>
      </c>
      <c r="E272" s="13" t="n">
        <v>0.00972218087294642</v>
      </c>
      <c r="F272" s="13" t="n">
        <v>0.0144663063739549</v>
      </c>
      <c r="G272" s="13" t="n">
        <v>0.0191306133510041</v>
      </c>
      <c r="H272" s="14" t="n">
        <f aca="false">H271*(1+C272)</f>
        <v>7639.85613373655</v>
      </c>
      <c r="I272" s="14" t="n">
        <f aca="false">I271*(1+D272)</f>
        <v>9247.37019345972</v>
      </c>
      <c r="J272" s="14" t="n">
        <f aca="false">J271*(1+E272)</f>
        <v>8680.46818785189</v>
      </c>
      <c r="K272" s="14" t="n">
        <f aca="false">K271*(1+F272)</f>
        <v>6230.49457848898</v>
      </c>
      <c r="L272" s="14" t="n">
        <f aca="false">L271*(1+G272)</f>
        <v>9780.57743140122</v>
      </c>
      <c r="M272" s="14" t="n">
        <f aca="false">H272-H271</f>
        <v>-17.9529884055501</v>
      </c>
      <c r="N272" s="14" t="n">
        <f aca="false">I272-I271</f>
        <v>89.0396938807662</v>
      </c>
      <c r="O272" s="14" t="n">
        <f aca="false">J272-J271</f>
        <v>83.5804970741483</v>
      </c>
      <c r="P272" s="14" t="n">
        <f aca="false">K272-K271</f>
        <v>88.8469561456886</v>
      </c>
      <c r="Q272" s="14" t="n">
        <f aca="false">L272-L271</f>
        <v>183.596138452227</v>
      </c>
    </row>
    <row r="273" customFormat="false" ht="15" hidden="false" customHeight="false" outlineLevel="0" collapsed="false">
      <c r="A273" s="11" t="n">
        <v>46294</v>
      </c>
      <c r="B273" s="12" t="s">
        <v>52</v>
      </c>
      <c r="C273" s="13" t="n">
        <v>0.0203978220339746</v>
      </c>
      <c r="D273" s="13" t="n">
        <v>0.0104171373108333</v>
      </c>
      <c r="E273" s="13" t="n">
        <v>0.0104171954001438</v>
      </c>
      <c r="F273" s="13" t="n">
        <v>0.017574682045021</v>
      </c>
      <c r="G273" s="13" t="n">
        <v>0.0129510892613318</v>
      </c>
      <c r="H273" s="14" t="n">
        <f aca="false">H272*(1+C273)</f>
        <v>7795.69255951768</v>
      </c>
      <c r="I273" s="14" t="n">
        <f aca="false">I272*(1+D273)</f>
        <v>9343.70131852909</v>
      </c>
      <c r="J273" s="14" t="n">
        <f aca="false">J272*(1+E273)</f>
        <v>8770.89432112948</v>
      </c>
      <c r="K273" s="14" t="n">
        <f aca="false">K272*(1+F273)</f>
        <v>6339.99353968915</v>
      </c>
      <c r="L273" s="14" t="n">
        <f aca="false">L272*(1+G273)</f>
        <v>9907.24656274267</v>
      </c>
      <c r="M273" s="14" t="n">
        <f aca="false">H273-H272</f>
        <v>155.836425781128</v>
      </c>
      <c r="N273" s="14" t="n">
        <f aca="false">I273-I272</f>
        <v>96.3311250693769</v>
      </c>
      <c r="O273" s="14" t="n">
        <f aca="false">J273-J272</f>
        <v>90.4261332775841</v>
      </c>
      <c r="P273" s="14" t="n">
        <f aca="false">K273-K272</f>
        <v>109.498961200172</v>
      </c>
      <c r="Q273" s="14" t="n">
        <f aca="false">L273-L272</f>
        <v>126.669131341445</v>
      </c>
    </row>
    <row r="274" customFormat="false" ht="15" hidden="false" customHeight="false" outlineLevel="0" collapsed="false">
      <c r="A274" s="11" t="n">
        <v>46295</v>
      </c>
      <c r="B274" s="12" t="s">
        <v>53</v>
      </c>
      <c r="C274" s="13" t="n">
        <v>-0.0150048673582752</v>
      </c>
      <c r="D274" s="13" t="n">
        <v>-0.00674216313401572</v>
      </c>
      <c r="E274" s="13" t="n">
        <v>-0.0067421804071786</v>
      </c>
      <c r="F274" s="13" t="n">
        <v>-0.0106508931413913</v>
      </c>
      <c r="G274" s="13" t="n">
        <v>-0.0085000105659962</v>
      </c>
      <c r="H274" s="14" t="n">
        <f aca="false">H273*(1+C274)</f>
        <v>7678.71922669622</v>
      </c>
      <c r="I274" s="14" t="n">
        <f aca="false">I273*(1+D274)</f>
        <v>9280.70455996405</v>
      </c>
      <c r="J274" s="14" t="n">
        <f aca="false">J273*(1+E274)</f>
        <v>8711.75936928412</v>
      </c>
      <c r="K274" s="14" t="n">
        <f aca="false">K273*(1+F274)</f>
        <v>6272.46694598081</v>
      </c>
      <c r="L274" s="14" t="n">
        <f aca="false">L273*(1+G274)</f>
        <v>9823.03486227943</v>
      </c>
      <c r="M274" s="14" t="n">
        <f aca="false">H274-H273</f>
        <v>-116.973332821456</v>
      </c>
      <c r="N274" s="14" t="n">
        <f aca="false">I274-I273</f>
        <v>-62.9967585650411</v>
      </c>
      <c r="O274" s="14" t="n">
        <f aca="false">J274-J273</f>
        <v>-59.1349518453535</v>
      </c>
      <c r="P274" s="14" t="n">
        <f aca="false">K274-K273</f>
        <v>-67.5265937083404</v>
      </c>
      <c r="Q274" s="14" t="n">
        <f aca="false">L274-L273</f>
        <v>-84.2117004632419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9" min="2" style="0" width="14"/>
  </cols>
  <sheetData>
    <row r="1" customFormat="false" ht="31.5" hidden="false" customHeight="true" outlineLevel="0" collapsed="false">
      <c r="A1" s="6" t="s">
        <v>54</v>
      </c>
      <c r="B1" s="6" t="s">
        <v>55</v>
      </c>
      <c r="C1" s="6" t="s">
        <v>56</v>
      </c>
      <c r="D1" s="6" t="s">
        <v>31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</row>
    <row r="2" customFormat="false" ht="15" hidden="false" customHeight="false" outlineLevel="0" collapsed="false">
      <c r="A2" s="15" t="s">
        <v>72</v>
      </c>
      <c r="B2" s="16" t="n">
        <f aca="false">Günlük!A2</f>
        <v>46023</v>
      </c>
      <c r="C2" s="16" t="n">
        <f aca="false">Günlük!A5</f>
        <v>46026</v>
      </c>
      <c r="D2" s="15" t="n">
        <v>4</v>
      </c>
      <c r="E2" s="17" t="n">
        <f aca="false">Günlük!H5/Varsayımlar!$B$3-1</f>
        <v>-0.0221049465460709</v>
      </c>
      <c r="F2" s="17" t="n">
        <f aca="false">Günlük!I5/Varsayımlar!$B$3-1</f>
        <v>-0.0351004836139597</v>
      </c>
      <c r="G2" s="17" t="n">
        <f aca="false">Günlük!J5/Varsayımlar!$B$3-1</f>
        <v>-0.0360437462295268</v>
      </c>
      <c r="H2" s="17" t="n">
        <f aca="false">Günlük!K5/Varsayımlar!$B$3-1</f>
        <v>-0.0349584188257504</v>
      </c>
      <c r="I2" s="17" t="n">
        <f aca="false">Günlük!L5/Varsayımlar!$B$3-1</f>
        <v>-0.0386916856966615</v>
      </c>
      <c r="J2" s="18" t="n">
        <f aca="false">Günlük!H5-Varsayımlar!$B$3</f>
        <v>-44.2098930921418</v>
      </c>
      <c r="K2" s="18" t="n">
        <f aca="false">Günlük!I5-Varsayımlar!$B$3</f>
        <v>-70.2009672279194</v>
      </c>
      <c r="L2" s="18" t="n">
        <f aca="false">Günlük!J5-Varsayımlar!$B$3</f>
        <v>-72.0874924590535</v>
      </c>
      <c r="M2" s="18" t="n">
        <f aca="false">Günlük!K5-Varsayımlar!$B$3</f>
        <v>-69.9168376515006</v>
      </c>
      <c r="N2" s="18" t="n">
        <f aca="false">Günlük!L5-Varsayımlar!$B$3</f>
        <v>-77.3833713933229</v>
      </c>
      <c r="O2" s="7" t="n">
        <f aca="false">Günlük!H5</f>
        <v>1955.79010690786</v>
      </c>
      <c r="P2" s="7" t="n">
        <f aca="false">Günlük!I5</f>
        <v>1929.79903277208</v>
      </c>
      <c r="Q2" s="7" t="n">
        <f aca="false">Günlük!J5</f>
        <v>1927.91250754095</v>
      </c>
      <c r="R2" s="7" t="n">
        <f aca="false">Günlük!K5</f>
        <v>1930.0831623485</v>
      </c>
      <c r="S2" s="7" t="n">
        <f aca="false">Günlük!L5</f>
        <v>1922.61662860668</v>
      </c>
    </row>
    <row r="3" customFormat="false" ht="15" hidden="false" customHeight="false" outlineLevel="0" collapsed="false">
      <c r="A3" s="15" t="s">
        <v>73</v>
      </c>
      <c r="B3" s="16" t="n">
        <f aca="false">Günlük!A6</f>
        <v>46027</v>
      </c>
      <c r="C3" s="16" t="n">
        <f aca="false">Günlük!A12</f>
        <v>46033</v>
      </c>
      <c r="D3" s="15" t="n">
        <v>7</v>
      </c>
      <c r="E3" s="17" t="n">
        <f aca="false">Günlük!H12/Günlük!H5-1</f>
        <v>0.102109751155248</v>
      </c>
      <c r="F3" s="17" t="n">
        <f aca="false">Günlük!I12/Günlük!I5-1</f>
        <v>0.115709652714796</v>
      </c>
      <c r="G3" s="17" t="n">
        <f aca="false">Günlük!J12/Günlük!J5-1</f>
        <v>0.115890783116479</v>
      </c>
      <c r="H3" s="17" t="n">
        <f aca="false">Günlük!K12/Günlük!K5-1</f>
        <v>0.117756633917357</v>
      </c>
      <c r="I3" s="17" t="n">
        <f aca="false">Günlük!L12/Günlük!L5-1</f>
        <v>0.109967161415361</v>
      </c>
      <c r="J3" s="18" t="n">
        <f aca="false">Günlük!H12-Günlük!H5</f>
        <v>199.705241128256</v>
      </c>
      <c r="K3" s="18" t="n">
        <f aca="false">Günlük!I12-Günlük!I5</f>
        <v>223.296375891407</v>
      </c>
      <c r="L3" s="18" t="n">
        <f aca="false">Günlük!J12-Günlük!J5</f>
        <v>223.427290278976</v>
      </c>
      <c r="M3" s="18" t="n">
        <f aca="false">Günlük!K12-Günlük!K5</f>
        <v>227.280096378727</v>
      </c>
      <c r="N3" s="18" t="n">
        <f aca="false">Günlük!L12-Günlük!L5</f>
        <v>211.424693137847</v>
      </c>
      <c r="O3" s="7" t="n">
        <f aca="false">Günlük!H12</f>
        <v>2155.49534803611</v>
      </c>
      <c r="P3" s="7" t="n">
        <f aca="false">Günlük!I12</f>
        <v>2153.09540866349</v>
      </c>
      <c r="Q3" s="7" t="n">
        <f aca="false">Günlük!J12</f>
        <v>2151.33979781992</v>
      </c>
      <c r="R3" s="7" t="n">
        <f aca="false">Günlük!K12</f>
        <v>2157.36325872723</v>
      </c>
      <c r="S3" s="7" t="n">
        <f aca="false">Günlük!L12</f>
        <v>2134.04132174452</v>
      </c>
    </row>
    <row r="4" customFormat="false" ht="15" hidden="false" customHeight="false" outlineLevel="0" collapsed="false">
      <c r="A4" s="15" t="s">
        <v>74</v>
      </c>
      <c r="B4" s="16" t="n">
        <f aca="false">Günlük!A13</f>
        <v>46034</v>
      </c>
      <c r="C4" s="16" t="n">
        <f aca="false">Günlük!A19</f>
        <v>46040</v>
      </c>
      <c r="D4" s="15" t="n">
        <v>7</v>
      </c>
      <c r="E4" s="17" t="n">
        <f aca="false">Günlük!H19/Günlük!H12-1</f>
        <v>0.108931401455997</v>
      </c>
      <c r="F4" s="17" t="n">
        <f aca="false">Günlük!I19/Günlük!I12-1</f>
        <v>0.117628310905769</v>
      </c>
      <c r="G4" s="17" t="n">
        <f aca="false">Günlük!J19/Günlük!J12-1</f>
        <v>0.11767113908234</v>
      </c>
      <c r="H4" s="17" t="n">
        <f aca="false">Günlük!K19/Günlük!K12-1</f>
        <v>0.0984859291331381</v>
      </c>
      <c r="I4" s="17" t="n">
        <f aca="false">Günlük!L19/Günlük!L12-1</f>
        <v>0.102128041961052</v>
      </c>
      <c r="J4" s="18" t="n">
        <f aca="false">Günlük!H19-Günlük!H12</f>
        <v>234.801129093455</v>
      </c>
      <c r="K4" s="18" t="n">
        <f aca="false">Günlük!I19-Günlük!I12</f>
        <v>253.264976140053</v>
      </c>
      <c r="L4" s="18" t="n">
        <f aca="false">Günlük!J19-Günlük!J12</f>
        <v>253.150604562642</v>
      </c>
      <c r="M4" s="18" t="n">
        <f aca="false">Günlük!K19-Günlük!K12</f>
        <v>212.469925013445</v>
      </c>
      <c r="N4" s="18" t="n">
        <f aca="false">Günlük!L19-Günlük!L12</f>
        <v>217.945461653744</v>
      </c>
      <c r="O4" s="7" t="n">
        <f aca="false">Günlük!H19</f>
        <v>2390.29647712957</v>
      </c>
      <c r="P4" s="7" t="n">
        <f aca="false">Günlük!I19</f>
        <v>2406.36038480354</v>
      </c>
      <c r="Q4" s="7" t="n">
        <f aca="false">Günlük!J19</f>
        <v>2404.49040238256</v>
      </c>
      <c r="R4" s="7" t="n">
        <f aca="false">Günlük!K19</f>
        <v>2369.83318374067</v>
      </c>
      <c r="S4" s="7" t="n">
        <f aca="false">Günlük!L19</f>
        <v>2351.98678339827</v>
      </c>
    </row>
    <row r="5" customFormat="false" ht="15" hidden="false" customHeight="false" outlineLevel="0" collapsed="false">
      <c r="A5" s="15" t="s">
        <v>75</v>
      </c>
      <c r="B5" s="16" t="n">
        <f aca="false">Günlük!A20</f>
        <v>46041</v>
      </c>
      <c r="C5" s="16" t="n">
        <f aca="false">Günlük!A26</f>
        <v>46047</v>
      </c>
      <c r="D5" s="15" t="n">
        <v>7</v>
      </c>
      <c r="E5" s="17" t="n">
        <f aca="false">Günlük!H26/Günlük!H19-1</f>
        <v>0.172352833242605</v>
      </c>
      <c r="F5" s="17" t="n">
        <f aca="false">Günlük!I26/Günlük!I19-1</f>
        <v>0.157907047534218</v>
      </c>
      <c r="G5" s="17" t="n">
        <f aca="false">Günlük!J26/Günlük!J19-1</f>
        <v>0.158118821362161</v>
      </c>
      <c r="H5" s="17" t="n">
        <f aca="false">Günlük!K26/Günlük!K19-1</f>
        <v>0.169370752836047</v>
      </c>
      <c r="I5" s="17" t="n">
        <f aca="false">Günlük!L26/Günlük!L19-1</f>
        <v>0.149663274640597</v>
      </c>
      <c r="J5" s="18" t="n">
        <f aca="false">Günlük!H26-Günlük!H19</f>
        <v>411.9743701231</v>
      </c>
      <c r="K5" s="18" t="n">
        <f aca="false">Günlük!I26-Günlük!I19</f>
        <v>379.981263667632</v>
      </c>
      <c r="L5" s="18" t="n">
        <f aca="false">Günlük!J26-Günlük!J19</f>
        <v>380.195188401358</v>
      </c>
      <c r="M5" s="18" t="n">
        <f aca="false">Günlük!K26-Günlük!K19</f>
        <v>401.380430426003</v>
      </c>
      <c r="N5" s="18" t="n">
        <f aca="false">Günlük!L26-Günlük!L19</f>
        <v>352.006043914789</v>
      </c>
      <c r="O5" s="7" t="n">
        <f aca="false">Günlük!H26</f>
        <v>2802.27084725267</v>
      </c>
      <c r="P5" s="7" t="n">
        <f aca="false">Günlük!I26</f>
        <v>2786.34164847117</v>
      </c>
      <c r="Q5" s="7" t="n">
        <f aca="false">Günlük!J26</f>
        <v>2784.68559078392</v>
      </c>
      <c r="R5" s="7" t="n">
        <f aca="false">Günlük!K26</f>
        <v>2771.21361416668</v>
      </c>
      <c r="S5" s="7" t="n">
        <f aca="false">Günlük!L26</f>
        <v>2703.99282731306</v>
      </c>
    </row>
    <row r="6" customFormat="false" ht="15" hidden="false" customHeight="false" outlineLevel="0" collapsed="false">
      <c r="A6" s="15" t="s">
        <v>76</v>
      </c>
      <c r="B6" s="16" t="n">
        <f aca="false">Günlük!A27</f>
        <v>46048</v>
      </c>
      <c r="C6" s="16" t="n">
        <f aca="false">Günlük!A33</f>
        <v>46054</v>
      </c>
      <c r="D6" s="15" t="n">
        <v>7</v>
      </c>
      <c r="E6" s="17" t="n">
        <f aca="false">Günlük!H33/Günlük!H26-1</f>
        <v>0.00592825114654016</v>
      </c>
      <c r="F6" s="17" t="n">
        <f aca="false">Günlük!I33/Günlük!I26-1</f>
        <v>-0.00252975871068606</v>
      </c>
      <c r="G6" s="17" t="n">
        <f aca="false">Günlük!J33/Günlük!J26-1</f>
        <v>-0.0115116753424801</v>
      </c>
      <c r="H6" s="17" t="n">
        <f aca="false">Günlük!K33/Günlük!K26-1</f>
        <v>-0.0240880020715031</v>
      </c>
      <c r="I6" s="17" t="n">
        <f aca="false">Günlük!L33/Günlük!L26-1</f>
        <v>0.0180611354222573</v>
      </c>
      <c r="J6" s="18" t="n">
        <f aca="false">Günlük!H33-Günlük!H26</f>
        <v>16.6125653631416</v>
      </c>
      <c r="K6" s="18" t="n">
        <f aca="false">Günlük!I33-Günlük!I26</f>
        <v>-7.04877205616731</v>
      </c>
      <c r="L6" s="18" t="n">
        <f aca="false">Günlük!J33-Günlük!J26</f>
        <v>-32.056396451987</v>
      </c>
      <c r="M6" s="18" t="n">
        <f aca="false">Günlük!K33-Günlük!K26</f>
        <v>-66.7529992786244</v>
      </c>
      <c r="N6" s="18" t="n">
        <f aca="false">Günlük!L33-Günlük!L26</f>
        <v>48.8371806349132</v>
      </c>
      <c r="O6" s="7" t="n">
        <f aca="false">Günlük!H33</f>
        <v>2818.88341261581</v>
      </c>
      <c r="P6" s="7" t="n">
        <f aca="false">Günlük!I33</f>
        <v>2779.29287641501</v>
      </c>
      <c r="Q6" s="7" t="n">
        <f aca="false">Günlük!J33</f>
        <v>2752.62919433193</v>
      </c>
      <c r="R6" s="7" t="n">
        <f aca="false">Günlük!K33</f>
        <v>2704.46061488805</v>
      </c>
      <c r="S6" s="7" t="n">
        <f aca="false">Günlük!L33</f>
        <v>2752.83000794797</v>
      </c>
    </row>
    <row r="7" customFormat="false" ht="15" hidden="false" customHeight="false" outlineLevel="0" collapsed="false">
      <c r="A7" s="15" t="s">
        <v>77</v>
      </c>
      <c r="B7" s="16" t="n">
        <f aca="false">Günlük!A34</f>
        <v>46055</v>
      </c>
      <c r="C7" s="16" t="n">
        <f aca="false">Günlük!A40</f>
        <v>46061</v>
      </c>
      <c r="D7" s="15" t="n">
        <v>7</v>
      </c>
      <c r="E7" s="17" t="n">
        <f aca="false">Günlük!H40/Günlük!H33-1</f>
        <v>0.0252371612714919</v>
      </c>
      <c r="F7" s="17" t="n">
        <f aca="false">Günlük!I40/Günlük!I33-1</f>
        <v>0.04549283516021</v>
      </c>
      <c r="G7" s="17" t="n">
        <f aca="false">Günlük!J40/Günlük!J33-1</f>
        <v>0.0456749323273218</v>
      </c>
      <c r="H7" s="17" t="n">
        <f aca="false">Günlük!K40/Günlük!K33-1</f>
        <v>0.0384439347513346</v>
      </c>
      <c r="I7" s="17" t="n">
        <f aca="false">Günlük!L40/Günlük!L33-1</f>
        <v>0.052805962944817</v>
      </c>
      <c r="J7" s="18" t="n">
        <f aca="false">Günlük!H40-Günlük!H33</f>
        <v>71.1406152897184</v>
      </c>
      <c r="K7" s="18" t="n">
        <f aca="false">Günlük!I40-Günlük!I33</f>
        <v>126.437912688694</v>
      </c>
      <c r="L7" s="18" t="n">
        <f aca="false">Günlük!J40-Günlük!J33</f>
        <v>125.726152173322</v>
      </c>
      <c r="M7" s="18" t="n">
        <f aca="false">Günlük!K40-Günlük!K33</f>
        <v>103.97010741631</v>
      </c>
      <c r="N7" s="18" t="n">
        <f aca="false">Günlük!L40-Günlük!L33</f>
        <v>145.365839393081</v>
      </c>
      <c r="O7" s="7" t="n">
        <f aca="false">Günlük!H40</f>
        <v>2890.02402790553</v>
      </c>
      <c r="P7" s="7" t="n">
        <f aca="false">Günlük!I40</f>
        <v>2905.7307891037</v>
      </c>
      <c r="Q7" s="7" t="n">
        <f aca="false">Günlük!J40</f>
        <v>2878.35534650526</v>
      </c>
      <c r="R7" s="7" t="n">
        <f aca="false">Günlük!K40</f>
        <v>2808.43072230436</v>
      </c>
      <c r="S7" s="7" t="n">
        <f aca="false">Günlük!L40</f>
        <v>2898.19584734105</v>
      </c>
    </row>
    <row r="8" customFormat="false" ht="15" hidden="false" customHeight="false" outlineLevel="0" collapsed="false">
      <c r="A8" s="15" t="s">
        <v>78</v>
      </c>
      <c r="B8" s="16" t="n">
        <f aca="false">Günlük!A41</f>
        <v>46062</v>
      </c>
      <c r="C8" s="16" t="n">
        <f aca="false">Günlük!A47</f>
        <v>46068</v>
      </c>
      <c r="D8" s="15" t="n">
        <v>7</v>
      </c>
      <c r="E8" s="17" t="n">
        <f aca="false">Günlük!H47/Günlük!H40-1</f>
        <v>0.0299583138928721</v>
      </c>
      <c r="F8" s="17" t="n">
        <f aca="false">Günlük!I47/Günlük!I40-1</f>
        <v>0.0378998262958745</v>
      </c>
      <c r="G8" s="17" t="n">
        <f aca="false">Günlük!J47/Günlük!J40-1</f>
        <v>0.0394323034674635</v>
      </c>
      <c r="H8" s="17" t="n">
        <f aca="false">Günlük!K47/Günlük!K40-1</f>
        <v>0.0179557968866135</v>
      </c>
      <c r="I8" s="17" t="n">
        <f aca="false">Günlük!L47/Günlük!L40-1</f>
        <v>0.0245177230634186</v>
      </c>
      <c r="J8" s="18" t="n">
        <f aca="false">Günlük!H47-Günlük!H40</f>
        <v>86.5802469859364</v>
      </c>
      <c r="K8" s="18" t="n">
        <f aca="false">Günlük!I47-Günlük!I40</f>
        <v>110.126692169605</v>
      </c>
      <c r="L8" s="18" t="n">
        <f aca="false">Günlük!J47-Günlük!J40</f>
        <v>113.500181510591</v>
      </c>
      <c r="M8" s="18" t="n">
        <f aca="false">Günlük!K47-Günlük!K40</f>
        <v>50.4276116198225</v>
      </c>
      <c r="N8" s="18" t="n">
        <f aca="false">Günlük!L47-Günlük!L40</f>
        <v>71.057163168658</v>
      </c>
      <c r="O8" s="7" t="n">
        <f aca="false">Günlük!H47</f>
        <v>2976.60427489147</v>
      </c>
      <c r="P8" s="7" t="n">
        <f aca="false">Günlük!I47</f>
        <v>3015.8574812733</v>
      </c>
      <c r="Q8" s="7" t="n">
        <f aca="false">Günlük!J47</f>
        <v>2991.85552801585</v>
      </c>
      <c r="R8" s="7" t="n">
        <f aca="false">Günlük!K47</f>
        <v>2858.85833392418</v>
      </c>
      <c r="S8" s="7" t="n">
        <f aca="false">Günlük!L47</f>
        <v>2969.25301050971</v>
      </c>
    </row>
    <row r="9" customFormat="false" ht="15" hidden="false" customHeight="false" outlineLevel="0" collapsed="false">
      <c r="A9" s="15" t="s">
        <v>79</v>
      </c>
      <c r="B9" s="16" t="n">
        <f aca="false">Günlük!A48</f>
        <v>46069</v>
      </c>
      <c r="C9" s="16" t="n">
        <f aca="false">Günlük!A54</f>
        <v>46075</v>
      </c>
      <c r="D9" s="15" t="n">
        <v>7</v>
      </c>
      <c r="E9" s="17" t="n">
        <f aca="false">Günlük!H54/Günlük!H47-1</f>
        <v>-0.00920222070701848</v>
      </c>
      <c r="F9" s="17" t="n">
        <f aca="false">Günlük!I54/Günlük!I47-1</f>
        <v>0.000482298923740521</v>
      </c>
      <c r="G9" s="17" t="n">
        <f aca="false">Günlük!J54/Günlük!J47-1</f>
        <v>-0.0108206560742058</v>
      </c>
      <c r="H9" s="17" t="n">
        <f aca="false">Günlük!K54/Günlük!K47-1</f>
        <v>0.0117829326463283</v>
      </c>
      <c r="I9" s="17" t="n">
        <f aca="false">Günlük!L54/Günlük!L47-1</f>
        <v>-0.0034508900259651</v>
      </c>
      <c r="J9" s="18" t="n">
        <f aca="false">Günlük!H54-Günlük!H47</f>
        <v>-27.3913694950061</v>
      </c>
      <c r="K9" s="18" t="n">
        <f aca="false">Günlük!I54-Günlük!I47</f>
        <v>1.45454481737306</v>
      </c>
      <c r="L9" s="18" t="n">
        <f aca="false">Günlük!J54-Günlük!J47</f>
        <v>-32.3738396923709</v>
      </c>
      <c r="M9" s="18" t="n">
        <f aca="false">Günlük!K54-Günlük!K47</f>
        <v>33.6857351940234</v>
      </c>
      <c r="N9" s="18" t="n">
        <f aca="false">Günlük!L54-Günlük!L47</f>
        <v>-10.2465655985347</v>
      </c>
      <c r="O9" s="7" t="n">
        <f aca="false">Günlük!H54</f>
        <v>2949.21290539646</v>
      </c>
      <c r="P9" s="7" t="n">
        <f aca="false">Günlük!I54</f>
        <v>3017.31202609068</v>
      </c>
      <c r="Q9" s="7" t="n">
        <f aca="false">Günlük!J54</f>
        <v>2959.48168832348</v>
      </c>
      <c r="R9" s="7" t="n">
        <f aca="false">Günlük!K54</f>
        <v>2892.54406911821</v>
      </c>
      <c r="S9" s="7" t="n">
        <f aca="false">Günlük!L54</f>
        <v>2959.00644491117</v>
      </c>
    </row>
    <row r="10" customFormat="false" ht="15" hidden="false" customHeight="false" outlineLevel="0" collapsed="false">
      <c r="A10" s="15" t="s">
        <v>80</v>
      </c>
      <c r="B10" s="16" t="n">
        <f aca="false">Günlük!A55</f>
        <v>46076</v>
      </c>
      <c r="C10" s="16" t="n">
        <f aca="false">Günlük!A61</f>
        <v>46082</v>
      </c>
      <c r="D10" s="15" t="n">
        <v>7</v>
      </c>
      <c r="E10" s="17" t="n">
        <f aca="false">Günlük!H61/Günlük!H54-1</f>
        <v>0.138477995386092</v>
      </c>
      <c r="F10" s="17" t="n">
        <f aca="false">Günlük!I61/Günlük!I54-1</f>
        <v>0.158842353477273</v>
      </c>
      <c r="G10" s="17" t="n">
        <f aca="false">Günlük!J61/Günlük!J54-1</f>
        <v>0.157234735985424</v>
      </c>
      <c r="H10" s="17" t="n">
        <f aca="false">Günlük!K61/Günlük!K54-1</f>
        <v>0.125711018076705</v>
      </c>
      <c r="I10" s="17" t="n">
        <f aca="false">Günlük!L61/Günlük!L54-1</f>
        <v>0.154059316937813</v>
      </c>
      <c r="J10" s="18" t="n">
        <f aca="false">Günlük!H61-Günlük!H54</f>
        <v>408.401091106093</v>
      </c>
      <c r="K10" s="18" t="n">
        <f aca="false">Günlük!I61-Günlük!I54</f>
        <v>479.276943399523</v>
      </c>
      <c r="L10" s="18" t="n">
        <f aca="false">Günlük!J61-Günlük!J54</f>
        <v>465.333321917239</v>
      </c>
      <c r="M10" s="18" t="n">
        <f aca="false">Günlük!K61-Günlük!K54</f>
        <v>363.624659760584</v>
      </c>
      <c r="N10" s="18" t="n">
        <f aca="false">Günlük!L61-Günlük!L54</f>
        <v>455.862511717601</v>
      </c>
      <c r="O10" s="7" t="n">
        <f aca="false">Günlük!H61</f>
        <v>3357.61399650255</v>
      </c>
      <c r="P10" s="7" t="n">
        <f aca="false">Günlük!I61</f>
        <v>3496.5889694902</v>
      </c>
      <c r="Q10" s="7" t="n">
        <f aca="false">Günlük!J61</f>
        <v>3424.81501024072</v>
      </c>
      <c r="R10" s="7" t="n">
        <f aca="false">Günlük!K61</f>
        <v>3256.16872887879</v>
      </c>
      <c r="S10" s="7" t="n">
        <f aca="false">Günlük!L61</f>
        <v>3414.86895662878</v>
      </c>
    </row>
    <row r="11" customFormat="false" ht="15" hidden="false" customHeight="false" outlineLevel="0" collapsed="false">
      <c r="A11" s="15" t="s">
        <v>81</v>
      </c>
      <c r="B11" s="16" t="n">
        <f aca="false">Günlük!A62</f>
        <v>46083</v>
      </c>
      <c r="C11" s="16" t="n">
        <f aca="false">Günlük!A68</f>
        <v>46089</v>
      </c>
      <c r="D11" s="15" t="n">
        <v>7</v>
      </c>
      <c r="E11" s="17" t="n">
        <f aca="false">Günlük!H68/Günlük!H61-1</f>
        <v>0.0619355514070998</v>
      </c>
      <c r="F11" s="17" t="n">
        <f aca="false">Günlük!I68/Günlük!I61-1</f>
        <v>0.0490309521716492</v>
      </c>
      <c r="G11" s="17" t="n">
        <f aca="false">Günlük!J68/Günlük!J61-1</f>
        <v>0.062529144292903</v>
      </c>
      <c r="H11" s="17" t="n">
        <f aca="false">Günlük!K68/Günlük!K61-1</f>
        <v>0.0542522458462147</v>
      </c>
      <c r="I11" s="17" t="n">
        <f aca="false">Günlük!L68/Günlük!L61-1</f>
        <v>0.050615734565616</v>
      </c>
      <c r="J11" s="18" t="n">
        <f aca="false">Günlük!H68-Günlük!H61</f>
        <v>207.955674285582</v>
      </c>
      <c r="K11" s="18" t="n">
        <f aca="false">Günlük!I68-Günlük!I61</f>
        <v>171.44108652699</v>
      </c>
      <c r="L11" s="18" t="n">
        <f aca="false">Günlük!J68-Günlük!J61</f>
        <v>214.150751951842</v>
      </c>
      <c r="M11" s="18" t="n">
        <f aca="false">Günlük!K68-Günlük!K61</f>
        <v>176.654466395888</v>
      </c>
      <c r="N11" s="18" t="n">
        <f aca="false">Günlük!L68-Günlük!L61</f>
        <v>172.846100685084</v>
      </c>
      <c r="O11" s="7" t="n">
        <f aca="false">Günlük!H68</f>
        <v>3565.56967078813</v>
      </c>
      <c r="P11" s="7" t="n">
        <f aca="false">Günlük!I68</f>
        <v>3668.03005601719</v>
      </c>
      <c r="Q11" s="7" t="n">
        <f aca="false">Günlük!J68</f>
        <v>3638.96576219256</v>
      </c>
      <c r="R11" s="7" t="n">
        <f aca="false">Günlük!K68</f>
        <v>3432.82319527468</v>
      </c>
      <c r="S11" s="7" t="n">
        <f aca="false">Günlük!L68</f>
        <v>3587.71505731386</v>
      </c>
    </row>
    <row r="12" customFormat="false" ht="15" hidden="false" customHeight="false" outlineLevel="0" collapsed="false">
      <c r="A12" s="15" t="s">
        <v>82</v>
      </c>
      <c r="B12" s="16" t="n">
        <f aca="false">Günlük!A69</f>
        <v>46090</v>
      </c>
      <c r="C12" s="16" t="n">
        <f aca="false">Günlük!A75</f>
        <v>46096</v>
      </c>
      <c r="D12" s="15" t="n">
        <v>7</v>
      </c>
      <c r="E12" s="17" t="n">
        <f aca="false">Günlük!H75/Günlük!H68-1</f>
        <v>-0.0476431160359976</v>
      </c>
      <c r="F12" s="17" t="n">
        <f aca="false">Günlük!I75/Günlük!I68-1</f>
        <v>-0.0628852578106512</v>
      </c>
      <c r="G12" s="17" t="n">
        <f aca="false">Günlük!J75/Günlük!J68-1</f>
        <v>-0.0553400494856373</v>
      </c>
      <c r="H12" s="17" t="n">
        <f aca="false">Günlük!K75/Günlük!K68-1</f>
        <v>-0.0507337905217695</v>
      </c>
      <c r="I12" s="17" t="n">
        <f aca="false">Günlük!L75/Günlük!L68-1</f>
        <v>-0.0582517835831981</v>
      </c>
      <c r="J12" s="18" t="n">
        <f aca="false">Günlük!H75-Günlük!H68</f>
        <v>-169.874849559793</v>
      </c>
      <c r="K12" s="18" t="n">
        <f aca="false">Günlük!I75-Günlük!I68</f>
        <v>-230.665015729859</v>
      </c>
      <c r="L12" s="18" t="n">
        <f aca="false">Günlük!J75-Günlük!J68</f>
        <v>-201.380545356276</v>
      </c>
      <c r="M12" s="18" t="n">
        <f aca="false">Günlük!K75-Günlük!K68</f>
        <v>-174.160132887337</v>
      </c>
      <c r="N12" s="18" t="n">
        <f aca="false">Günlük!L75-Günlük!L68</f>
        <v>-208.990801076828</v>
      </c>
      <c r="O12" s="7" t="n">
        <f aca="false">Günlük!H75</f>
        <v>3395.69482122834</v>
      </c>
      <c r="P12" s="7" t="n">
        <f aca="false">Günlük!I75</f>
        <v>3437.36504028733</v>
      </c>
      <c r="Q12" s="7" t="n">
        <f aca="false">Günlük!J75</f>
        <v>3437.58521683628</v>
      </c>
      <c r="R12" s="7" t="n">
        <f aca="false">Günlük!K75</f>
        <v>3258.66306238734</v>
      </c>
      <c r="S12" s="7" t="n">
        <f aca="false">Günlük!L75</f>
        <v>3378.72425623703</v>
      </c>
    </row>
    <row r="13" customFormat="false" ht="15" hidden="false" customHeight="false" outlineLevel="0" collapsed="false">
      <c r="A13" s="15" t="s">
        <v>83</v>
      </c>
      <c r="B13" s="16" t="n">
        <f aca="false">Günlük!A76</f>
        <v>46097</v>
      </c>
      <c r="C13" s="16" t="n">
        <f aca="false">Günlük!A82</f>
        <v>46103</v>
      </c>
      <c r="D13" s="15" t="n">
        <v>7</v>
      </c>
      <c r="E13" s="17" t="n">
        <f aca="false">Günlük!H82/Günlük!H75-1</f>
        <v>0.152134960486716</v>
      </c>
      <c r="F13" s="17" t="n">
        <f aca="false">Günlük!I82/Günlük!I75-1</f>
        <v>0.142971509129719</v>
      </c>
      <c r="G13" s="17" t="n">
        <f aca="false">Günlük!J82/Günlük!J75-1</f>
        <v>0.171097111216957</v>
      </c>
      <c r="H13" s="17" t="n">
        <f aca="false">Günlük!K82/Günlük!K75-1</f>
        <v>0.143257441429479</v>
      </c>
      <c r="I13" s="17" t="n">
        <f aca="false">Günlük!L82/Günlük!L75-1</f>
        <v>0.133919293500569</v>
      </c>
      <c r="J13" s="18" t="n">
        <f aca="false">Günlük!H82-Günlük!H75</f>
        <v>516.60389745252</v>
      </c>
      <c r="K13" s="18" t="n">
        <f aca="false">Günlük!I82-Günlük!I75</f>
        <v>491.445267239617</v>
      </c>
      <c r="L13" s="18" t="n">
        <f aca="false">Günlük!J82-Günlük!J75</f>
        <v>588.160900162803</v>
      </c>
      <c r="M13" s="18" t="n">
        <f aca="false">Günlük!K82-Günlük!K75</f>
        <v>466.827732798361</v>
      </c>
      <c r="N13" s="18" t="n">
        <f aca="false">Günlük!L82-Günlük!L75</f>
        <v>452.476365328498</v>
      </c>
      <c r="O13" s="7" t="n">
        <f aca="false">Günlük!H82</f>
        <v>3912.29871868086</v>
      </c>
      <c r="P13" s="7" t="n">
        <f aca="false">Günlük!I82</f>
        <v>3928.81030752695</v>
      </c>
      <c r="Q13" s="7" t="n">
        <f aca="false">Günlük!J82</f>
        <v>4025.74611699908</v>
      </c>
      <c r="R13" s="7" t="n">
        <f aca="false">Günlük!K82</f>
        <v>3725.4907951857</v>
      </c>
      <c r="S13" s="7" t="n">
        <f aca="false">Günlük!L82</f>
        <v>3831.20062156553</v>
      </c>
    </row>
    <row r="14" customFormat="false" ht="15" hidden="false" customHeight="false" outlineLevel="0" collapsed="false">
      <c r="A14" s="15" t="s">
        <v>84</v>
      </c>
      <c r="B14" s="16" t="n">
        <f aca="false">Günlük!A83</f>
        <v>46104</v>
      </c>
      <c r="C14" s="16" t="n">
        <f aca="false">Günlük!A89</f>
        <v>46110</v>
      </c>
      <c r="D14" s="15" t="n">
        <v>7</v>
      </c>
      <c r="E14" s="17" t="n">
        <f aca="false">Günlük!H89/Günlük!H82-1</f>
        <v>-0.018287236779722</v>
      </c>
      <c r="F14" s="17" t="n">
        <f aca="false">Günlük!I89/Günlük!I82-1</f>
        <v>0.0327700301646736</v>
      </c>
      <c r="G14" s="17" t="n">
        <f aca="false">Günlük!J89/Günlük!J82-1</f>
        <v>-0.0136994647985496</v>
      </c>
      <c r="H14" s="17" t="n">
        <f aca="false">Günlük!K89/Günlük!K82-1</f>
        <v>-0.0274972036696881</v>
      </c>
      <c r="I14" s="17" t="n">
        <f aca="false">Günlük!L89/Günlük!L82-1</f>
        <v>0.0315170280740986</v>
      </c>
      <c r="J14" s="18" t="n">
        <f aca="false">Günlük!H89-Günlük!H82</f>
        <v>-71.5451330215201</v>
      </c>
      <c r="K14" s="18" t="n">
        <f aca="false">Günlük!I89-Günlük!I82</f>
        <v>128.747232288939</v>
      </c>
      <c r="L14" s="18" t="n">
        <f aca="false">Günlük!J89-Günlük!J82</f>
        <v>-55.1505672177264</v>
      </c>
      <c r="M14" s="18" t="n">
        <f aca="false">Günlük!K89-Günlük!K82</f>
        <v>-102.44057916477</v>
      </c>
      <c r="N14" s="18" t="n">
        <f aca="false">Günlük!L89-Günlük!L82</f>
        <v>120.748057547385</v>
      </c>
      <c r="O14" s="7" t="n">
        <f aca="false">Günlük!H89</f>
        <v>3840.75358565934</v>
      </c>
      <c r="P14" s="7" t="n">
        <f aca="false">Günlük!I89</f>
        <v>4057.55753981589</v>
      </c>
      <c r="Q14" s="7" t="n">
        <f aca="false">Günlük!J89</f>
        <v>3970.59554978136</v>
      </c>
      <c r="R14" s="7" t="n">
        <f aca="false">Günlük!K89</f>
        <v>3623.05021602093</v>
      </c>
      <c r="S14" s="7" t="n">
        <f aca="false">Günlük!L89</f>
        <v>3951.94867911291</v>
      </c>
    </row>
    <row r="15" customFormat="false" ht="15" hidden="false" customHeight="false" outlineLevel="0" collapsed="false">
      <c r="A15" s="15" t="s">
        <v>85</v>
      </c>
      <c r="B15" s="16" t="n">
        <f aca="false">Günlük!A90</f>
        <v>46111</v>
      </c>
      <c r="C15" s="16" t="n">
        <f aca="false">Günlük!A96</f>
        <v>46117</v>
      </c>
      <c r="D15" s="15" t="n">
        <v>7</v>
      </c>
      <c r="E15" s="17" t="n">
        <f aca="false">Günlük!H96/Günlük!H89-1</f>
        <v>-0.0651402457701876</v>
      </c>
      <c r="F15" s="17" t="n">
        <f aca="false">Günlük!I96/Günlük!I89-1</f>
        <v>-0.0670852744167111</v>
      </c>
      <c r="G15" s="17" t="n">
        <f aca="false">Günlük!J96/Günlük!J89-1</f>
        <v>-0.062160071315904</v>
      </c>
      <c r="H15" s="17" t="n">
        <f aca="false">Günlük!K96/Günlük!K89-1</f>
        <v>0.00318930877317469</v>
      </c>
      <c r="I15" s="17" t="n">
        <f aca="false">Günlük!L96/Günlük!L89-1</f>
        <v>-0.06755812763901</v>
      </c>
      <c r="J15" s="18" t="n">
        <f aca="false">Günlük!H96-Günlük!H89</f>
        <v>-250.187632512579</v>
      </c>
      <c r="K15" s="18" t="n">
        <f aca="false">Günlük!I96-Günlük!I89</f>
        <v>-272.202361020144</v>
      </c>
      <c r="L15" s="18" t="n">
        <f aca="false">Günlük!J96-Günlük!J89</f>
        <v>-246.81250254102</v>
      </c>
      <c r="M15" s="18" t="n">
        <f aca="false">Günlük!K96-Günlük!K89</f>
        <v>11.5550258396079</v>
      </c>
      <c r="N15" s="18" t="n">
        <f aca="false">Günlük!L96-Günlük!L89</f>
        <v>-266.986253286328</v>
      </c>
      <c r="O15" s="7" t="n">
        <f aca="false">Günlük!H96</f>
        <v>3590.56595314676</v>
      </c>
      <c r="P15" s="7" t="n">
        <f aca="false">Günlük!I96</f>
        <v>3785.35517879574</v>
      </c>
      <c r="Q15" s="7" t="n">
        <f aca="false">Günlük!J96</f>
        <v>3723.78304724034</v>
      </c>
      <c r="R15" s="7" t="n">
        <f aca="false">Günlük!K96</f>
        <v>3634.60524186054</v>
      </c>
      <c r="S15" s="7" t="n">
        <f aca="false">Günlük!L96</f>
        <v>3684.96242582659</v>
      </c>
    </row>
    <row r="16" customFormat="false" ht="15" hidden="false" customHeight="false" outlineLevel="0" collapsed="false">
      <c r="A16" s="15" t="s">
        <v>86</v>
      </c>
      <c r="B16" s="16" t="n">
        <f aca="false">Günlük!A97</f>
        <v>46118</v>
      </c>
      <c r="C16" s="16" t="n">
        <f aca="false">Günlük!A103</f>
        <v>46124</v>
      </c>
      <c r="D16" s="15" t="n">
        <v>7</v>
      </c>
      <c r="E16" s="17" t="n">
        <f aca="false">Günlük!H103/Günlük!H96-1</f>
        <v>0.00970146003521677</v>
      </c>
      <c r="F16" s="17" t="n">
        <f aca="false">Günlük!I103/Günlük!I96-1</f>
        <v>0.090568885879603</v>
      </c>
      <c r="G16" s="17" t="n">
        <f aca="false">Günlük!J103/Günlük!J96-1</f>
        <v>0.0238468538593273</v>
      </c>
      <c r="H16" s="17" t="n">
        <f aca="false">Günlük!K103/Günlük!K96-1</f>
        <v>0.0180137024151015</v>
      </c>
      <c r="I16" s="17" t="n">
        <f aca="false">Günlük!L103/Günlük!L96-1</f>
        <v>0.0793439612848859</v>
      </c>
      <c r="J16" s="18" t="n">
        <f aca="false">Günlük!H103-Günlük!H96</f>
        <v>34.8337320982632</v>
      </c>
      <c r="K16" s="18" t="n">
        <f aca="false">Günlük!I103-Günlük!I96</f>
        <v>342.835401202116</v>
      </c>
      <c r="L16" s="18" t="n">
        <f aca="false">Günlük!J103-Günlük!J96</f>
        <v>88.8005101313806</v>
      </c>
      <c r="M16" s="18" t="n">
        <f aca="false">Günlük!K103-Günlük!K96</f>
        <v>65.4726972232434</v>
      </c>
      <c r="N16" s="18" t="n">
        <f aca="false">Günlük!L103-Günlük!L96</f>
        <v>292.379516051044</v>
      </c>
      <c r="O16" s="7" t="n">
        <f aca="false">Günlük!H103</f>
        <v>3625.39968524503</v>
      </c>
      <c r="P16" s="7" t="n">
        <f aca="false">Günlük!I103</f>
        <v>4128.19057999786</v>
      </c>
      <c r="Q16" s="7" t="n">
        <f aca="false">Günlük!J103</f>
        <v>3812.58355737172</v>
      </c>
      <c r="R16" s="7" t="n">
        <f aca="false">Günlük!K103</f>
        <v>3700.07793908379</v>
      </c>
      <c r="S16" s="7" t="n">
        <f aca="false">Günlük!L103</f>
        <v>3977.34194187763</v>
      </c>
    </row>
    <row r="17" customFormat="false" ht="15" hidden="false" customHeight="false" outlineLevel="0" collapsed="false">
      <c r="A17" s="15" t="s">
        <v>87</v>
      </c>
      <c r="B17" s="16" t="n">
        <f aca="false">Günlük!A104</f>
        <v>46125</v>
      </c>
      <c r="C17" s="16" t="n">
        <f aca="false">Günlük!A110</f>
        <v>46131</v>
      </c>
      <c r="D17" s="15" t="n">
        <v>7</v>
      </c>
      <c r="E17" s="17" t="n">
        <f aca="false">Günlük!H110/Günlük!H103-1</f>
        <v>0.159107802812898</v>
      </c>
      <c r="F17" s="17" t="n">
        <f aca="false">Günlük!I110/Günlük!I103-1</f>
        <v>0.15365501423327</v>
      </c>
      <c r="G17" s="17" t="n">
        <f aca="false">Günlük!J110/Günlük!J103-1</f>
        <v>0.189691288973824</v>
      </c>
      <c r="H17" s="17" t="n">
        <f aca="false">Günlük!K110/Günlük!K103-1</f>
        <v>0.0875574647246891</v>
      </c>
      <c r="I17" s="17" t="n">
        <f aca="false">Günlük!L110/Günlük!L103-1</f>
        <v>0.137171538134546</v>
      </c>
      <c r="J17" s="18" t="n">
        <f aca="false">Günlük!H110-Günlük!H103</f>
        <v>576.829378237908</v>
      </c>
      <c r="K17" s="18" t="n">
        <f aca="false">Günlük!I110-Günlük!I103</f>
        <v>634.317182327223</v>
      </c>
      <c r="L17" s="18" t="n">
        <f aca="false">Günlük!J110-Günlük!J103</f>
        <v>723.213889318248</v>
      </c>
      <c r="M17" s="18" t="n">
        <f aca="false">Günlük!K110-Günlük!K103</f>
        <v>323.969443629929</v>
      </c>
      <c r="N17" s="18" t="n">
        <f aca="false">Günlük!L110-Günlük!L103</f>
        <v>545.578111854396</v>
      </c>
      <c r="O17" s="7" t="n">
        <f aca="false">Günlük!H110</f>
        <v>4202.22906348293</v>
      </c>
      <c r="P17" s="7" t="n">
        <f aca="false">Günlük!I110</f>
        <v>4762.50776232508</v>
      </c>
      <c r="Q17" s="7" t="n">
        <f aca="false">Günlük!J110</f>
        <v>4535.79744668997</v>
      </c>
      <c r="R17" s="7" t="n">
        <f aca="false">Günlük!K110</f>
        <v>4024.04738271371</v>
      </c>
      <c r="S17" s="7" t="n">
        <f aca="false">Günlük!L110</f>
        <v>4522.92005373203</v>
      </c>
    </row>
    <row r="18" customFormat="false" ht="15" hidden="false" customHeight="false" outlineLevel="0" collapsed="false">
      <c r="A18" s="15" t="s">
        <v>88</v>
      </c>
      <c r="B18" s="16" t="n">
        <f aca="false">Günlük!A111</f>
        <v>46132</v>
      </c>
      <c r="C18" s="16" t="n">
        <f aca="false">Günlük!A117</f>
        <v>46138</v>
      </c>
      <c r="D18" s="15" t="n">
        <v>7</v>
      </c>
      <c r="E18" s="17" t="n">
        <f aca="false">Günlük!H117/Günlük!H110-1</f>
        <v>0.0307593063141365</v>
      </c>
      <c r="F18" s="17" t="n">
        <f aca="false">Günlük!I117/Günlük!I110-1</f>
        <v>0.0316077475464716</v>
      </c>
      <c r="G18" s="17" t="n">
        <f aca="false">Günlük!J117/Günlük!J110-1</f>
        <v>0.0315275348623461</v>
      </c>
      <c r="H18" s="17" t="n">
        <f aca="false">Günlük!K117/Günlük!K110-1</f>
        <v>0.00217337303709297</v>
      </c>
      <c r="I18" s="17" t="n">
        <f aca="false">Günlük!L117/Günlük!L110-1</f>
        <v>0.0321123001454815</v>
      </c>
      <c r="J18" s="18" t="n">
        <f aca="false">Günlük!H117-Günlük!H110</f>
        <v>129.257650965838</v>
      </c>
      <c r="K18" s="18" t="n">
        <f aca="false">Günlük!I117-Günlük!I110</f>
        <v>150.532143039683</v>
      </c>
      <c r="L18" s="18" t="n">
        <f aca="false">Günlük!J117-Günlük!J110</f>
        <v>143.002512129058</v>
      </c>
      <c r="M18" s="18" t="n">
        <f aca="false">Günlük!K117-Günlük!K110</f>
        <v>8.74575608157466</v>
      </c>
      <c r="N18" s="18" t="n">
        <f aca="false">Günlük!L117-Günlük!L110</f>
        <v>145.24136629946</v>
      </c>
      <c r="O18" s="7" t="n">
        <f aca="false">Günlük!H117</f>
        <v>4331.48671444877</v>
      </c>
      <c r="P18" s="7" t="n">
        <f aca="false">Günlük!I117</f>
        <v>4913.03990536477</v>
      </c>
      <c r="Q18" s="7" t="n">
        <f aca="false">Günlük!J117</f>
        <v>4678.79995881903</v>
      </c>
      <c r="R18" s="7" t="n">
        <f aca="false">Günlük!K117</f>
        <v>4032.79313879529</v>
      </c>
      <c r="S18" s="7" t="n">
        <f aca="false">Günlük!L117</f>
        <v>4668.16142003149</v>
      </c>
    </row>
    <row r="19" customFormat="false" ht="15" hidden="false" customHeight="false" outlineLevel="0" collapsed="false">
      <c r="A19" s="15" t="s">
        <v>89</v>
      </c>
      <c r="B19" s="16" t="n">
        <f aca="false">Günlük!A118</f>
        <v>46139</v>
      </c>
      <c r="C19" s="16" t="n">
        <f aca="false">Günlük!A124</f>
        <v>46145</v>
      </c>
      <c r="D19" s="15" t="n">
        <v>7</v>
      </c>
      <c r="E19" s="17" t="n">
        <f aca="false">Günlük!H124/Günlük!H117-1</f>
        <v>0.0935624134644482</v>
      </c>
      <c r="F19" s="17" t="n">
        <f aca="false">Günlük!I124/Günlük!I117-1</f>
        <v>0.113581033476802</v>
      </c>
      <c r="G19" s="17" t="n">
        <f aca="false">Günlük!J124/Günlük!J117-1</f>
        <v>0.11357076648086</v>
      </c>
      <c r="H19" s="17" t="n">
        <f aca="false">Günlük!K124/Günlük!K117-1</f>
        <v>0.0847292361327876</v>
      </c>
      <c r="I19" s="17" t="n">
        <f aca="false">Günlük!L124/Günlük!L117-1</f>
        <v>0.104755665201289</v>
      </c>
      <c r="J19" s="18" t="n">
        <f aca="false">Günlük!H124-Günlük!H117</f>
        <v>405.264350893021</v>
      </c>
      <c r="K19" s="18" t="n">
        <f aca="false">Günlük!I124-Günlük!I117</f>
        <v>558.028149964099</v>
      </c>
      <c r="L19" s="18" t="n">
        <f aca="false">Günlük!J124-Günlük!J117</f>
        <v>531.374897533691</v>
      </c>
      <c r="M19" s="18" t="n">
        <f aca="false">Günlük!K124-Günlük!K117</f>
        <v>341.695482131671</v>
      </c>
      <c r="N19" s="18" t="n">
        <f aca="false">Günlük!L124-Günlük!L117</f>
        <v>489.016354822391</v>
      </c>
      <c r="O19" s="7" t="n">
        <f aca="false">Günlük!H124</f>
        <v>4736.75106534179</v>
      </c>
      <c r="P19" s="7" t="n">
        <f aca="false">Günlük!I124</f>
        <v>5471.06805532886</v>
      </c>
      <c r="Q19" s="7" t="n">
        <f aca="false">Günlük!J124</f>
        <v>5210.17485635272</v>
      </c>
      <c r="R19" s="7" t="n">
        <f aca="false">Günlük!K124</f>
        <v>4374.48862092696</v>
      </c>
      <c r="S19" s="7" t="n">
        <f aca="false">Günlük!L124</f>
        <v>5157.17777485388</v>
      </c>
    </row>
    <row r="20" customFormat="false" ht="15" hidden="false" customHeight="false" outlineLevel="0" collapsed="false">
      <c r="A20" s="15" t="s">
        <v>90</v>
      </c>
      <c r="B20" s="16" t="n">
        <f aca="false">Günlük!A125</f>
        <v>46146</v>
      </c>
      <c r="C20" s="16" t="n">
        <f aca="false">Günlük!A131</f>
        <v>46152</v>
      </c>
      <c r="D20" s="15" t="n">
        <v>7</v>
      </c>
      <c r="E20" s="17" t="n">
        <f aca="false">Günlük!H131/Günlük!H124-1</f>
        <v>0.069752493982163</v>
      </c>
      <c r="F20" s="17" t="n">
        <f aca="false">Günlük!I131/Günlük!I124-1</f>
        <v>0.0650503011330106</v>
      </c>
      <c r="G20" s="17" t="n">
        <f aca="false">Günlük!J131/Günlük!J124-1</f>
        <v>0.0650586892683702</v>
      </c>
      <c r="H20" s="17" t="n">
        <f aca="false">Günlük!K131/Günlük!K124-1</f>
        <v>0.0290383365117122</v>
      </c>
      <c r="I20" s="17" t="n">
        <f aca="false">Günlük!L131/Günlük!L124-1</f>
        <v>0.0509993257000205</v>
      </c>
      <c r="J20" s="18" t="n">
        <f aca="false">Günlük!H131-Günlük!H124</f>
        <v>330.400200180257</v>
      </c>
      <c r="K20" s="18" t="n">
        <f aca="false">Günlük!I131-Günlük!I124</f>
        <v>355.894624518337</v>
      </c>
      <c r="L20" s="18" t="n">
        <f aca="false">Günlük!J131-Günlük!J124</f>
        <v>338.967147013327</v>
      </c>
      <c r="M20" s="18" t="n">
        <f aca="false">Günlük!K131-Günlük!K124</f>
        <v>127.027872641132</v>
      </c>
      <c r="N20" s="18" t="n">
        <f aca="false">Günlük!L131-Günlük!L124</f>
        <v>263.01258903268</v>
      </c>
      <c r="O20" s="7" t="n">
        <f aca="false">Günlük!H131</f>
        <v>5067.15126552205</v>
      </c>
      <c r="P20" s="7" t="n">
        <f aca="false">Günlük!I131</f>
        <v>5826.9626798472</v>
      </c>
      <c r="Q20" s="7" t="n">
        <f aca="false">Günlük!J131</f>
        <v>5549.14200336604</v>
      </c>
      <c r="R20" s="7" t="n">
        <f aca="false">Günlük!K131</f>
        <v>4501.51649356809</v>
      </c>
      <c r="S20" s="7" t="n">
        <f aca="false">Günlük!L131</f>
        <v>5420.19036388656</v>
      </c>
    </row>
    <row r="21" customFormat="false" ht="15" hidden="false" customHeight="false" outlineLevel="0" collapsed="false">
      <c r="A21" s="15" t="s">
        <v>91</v>
      </c>
      <c r="B21" s="16" t="n">
        <f aca="false">Günlük!A132</f>
        <v>46153</v>
      </c>
      <c r="C21" s="16" t="n">
        <f aca="false">Günlük!A138</f>
        <v>46159</v>
      </c>
      <c r="D21" s="15" t="n">
        <v>7</v>
      </c>
      <c r="E21" s="17" t="n">
        <f aca="false">Günlük!H138/Günlük!H131-1</f>
        <v>-0.0210690551534365</v>
      </c>
      <c r="F21" s="17" t="n">
        <f aca="false">Günlük!I138/Günlük!I131-1</f>
        <v>-0.0221585982204229</v>
      </c>
      <c r="G21" s="17" t="n">
        <f aca="false">Günlük!J138/Günlük!J131-1</f>
        <v>-0.0221585982204237</v>
      </c>
      <c r="H21" s="17" t="n">
        <f aca="false">Günlük!K138/Günlük!K131-1</f>
        <v>-0.0165437932855179</v>
      </c>
      <c r="I21" s="17" t="n">
        <f aca="false">Günlük!L138/Günlük!L131-1</f>
        <v>-0.0226613693781327</v>
      </c>
      <c r="J21" s="18" t="n">
        <f aca="false">Günlük!H138-Günlük!H131</f>
        <v>-106.76008948409</v>
      </c>
      <c r="K21" s="18" t="n">
        <f aca="false">Günlük!I138-Günlük!I131</f>
        <v>-129.117324868133</v>
      </c>
      <c r="L21" s="18" t="n">
        <f aca="false">Günlük!J138-Günlük!J131</f>
        <v>-122.961208120665</v>
      </c>
      <c r="M21" s="18" t="n">
        <f aca="false">Günlük!K138-Günlük!K131</f>
        <v>-74.47215834094</v>
      </c>
      <c r="N21" s="18" t="n">
        <f aca="false">Günlük!L138-Günlük!L131</f>
        <v>-122.828935935829</v>
      </c>
      <c r="O21" s="7" t="n">
        <f aca="false">Günlük!H138</f>
        <v>4960.39117603796</v>
      </c>
      <c r="P21" s="7" t="n">
        <f aca="false">Günlük!I138</f>
        <v>5697.84535497907</v>
      </c>
      <c r="Q21" s="7" t="n">
        <f aca="false">Günlük!J138</f>
        <v>5426.18079524538</v>
      </c>
      <c r="R21" s="7" t="n">
        <f aca="false">Günlük!K138</f>
        <v>4427.04433522715</v>
      </c>
      <c r="S21" s="7" t="n">
        <f aca="false">Günlük!L138</f>
        <v>5297.36142795073</v>
      </c>
    </row>
    <row r="22" customFormat="false" ht="15" hidden="false" customHeight="false" outlineLevel="0" collapsed="false">
      <c r="A22" s="15" t="s">
        <v>92</v>
      </c>
      <c r="B22" s="16" t="n">
        <f aca="false">Günlük!A139</f>
        <v>46160</v>
      </c>
      <c r="C22" s="16" t="n">
        <f aca="false">Günlük!A145</f>
        <v>46166</v>
      </c>
      <c r="D22" s="15" t="n">
        <v>7</v>
      </c>
      <c r="E22" s="17" t="n">
        <f aca="false">Günlük!H145/Günlük!H138-1</f>
        <v>0.0881674778819881</v>
      </c>
      <c r="F22" s="17" t="n">
        <f aca="false">Günlük!I145/Günlük!I138-1</f>
        <v>0.0688243254320549</v>
      </c>
      <c r="G22" s="17" t="n">
        <f aca="false">Günlük!J145/Günlük!J138-1</f>
        <v>0.0688243254320553</v>
      </c>
      <c r="H22" s="17" t="n">
        <f aca="false">Günlük!K145/Günlük!K138-1</f>
        <v>0.0823018965206204</v>
      </c>
      <c r="I22" s="17" t="n">
        <f aca="false">Günlük!L145/Günlük!L138-1</f>
        <v>0.0840417468065788</v>
      </c>
      <c r="J22" s="18" t="n">
        <f aca="false">Günlük!H145-Günlük!H138</f>
        <v>437.345179299336</v>
      </c>
      <c r="K22" s="18" t="n">
        <f aca="false">Günlük!I145-Günlük!I138</f>
        <v>392.150362972601</v>
      </c>
      <c r="L22" s="18" t="n">
        <f aca="false">Günlük!J145-Günlük!J138</f>
        <v>373.453232905136</v>
      </c>
      <c r="M22" s="18" t="n">
        <f aca="false">Günlük!K145-Günlük!K138</f>
        <v>364.354144770064</v>
      </c>
      <c r="N22" s="18" t="n">
        <f aca="false">Günlük!L145-Günlük!L138</f>
        <v>445.199507870772</v>
      </c>
      <c r="O22" s="7" t="n">
        <f aca="false">Günlük!H145</f>
        <v>5397.7363553373</v>
      </c>
      <c r="P22" s="7" t="n">
        <f aca="false">Günlük!I145</f>
        <v>6089.99571795167</v>
      </c>
      <c r="Q22" s="7" t="n">
        <f aca="false">Günlük!J145</f>
        <v>5799.63402815051</v>
      </c>
      <c r="R22" s="7" t="n">
        <f aca="false">Günlük!K145</f>
        <v>4791.39847999722</v>
      </c>
      <c r="S22" s="7" t="n">
        <f aca="false">Günlük!L145</f>
        <v>5742.5609358215</v>
      </c>
    </row>
    <row r="23" customFormat="false" ht="15" hidden="false" customHeight="false" outlineLevel="0" collapsed="false">
      <c r="A23" s="15" t="s">
        <v>93</v>
      </c>
      <c r="B23" s="16" t="n">
        <f aca="false">Günlük!A146</f>
        <v>46167</v>
      </c>
      <c r="C23" s="16" t="n">
        <f aca="false">Günlük!A152</f>
        <v>46173</v>
      </c>
      <c r="D23" s="15" t="n">
        <v>7</v>
      </c>
      <c r="E23" s="17" t="n">
        <f aca="false">Günlük!H152/Günlük!H145-1</f>
        <v>0.0169606942714378</v>
      </c>
      <c r="F23" s="17" t="n">
        <f aca="false">Günlük!I152/Günlük!I145-1</f>
        <v>0.0220866503138135</v>
      </c>
      <c r="G23" s="17" t="n">
        <f aca="false">Günlük!J152/Günlük!J145-1</f>
        <v>0.0247969603062064</v>
      </c>
      <c r="H23" s="17" t="n">
        <f aca="false">Günlük!K152/Günlük!K145-1</f>
        <v>0.00177617852008471</v>
      </c>
      <c r="I23" s="17" t="n">
        <f aca="false">Günlük!L152/Günlük!L145-1</f>
        <v>0.0301332869699984</v>
      </c>
      <c r="J23" s="18" t="n">
        <f aca="false">Günlük!H152-Günlük!H145</f>
        <v>91.5493560807008</v>
      </c>
      <c r="K23" s="18" t="n">
        <f aca="false">Günlük!I152-Günlük!I145</f>
        <v>134.507605835021</v>
      </c>
      <c r="L23" s="18" t="n">
        <f aca="false">Günlük!J152-Günlük!J145</f>
        <v>143.813294786572</v>
      </c>
      <c r="M23" s="18" t="n">
        <f aca="false">Günlük!K152-Günlük!K145</f>
        <v>8.51037906133752</v>
      </c>
      <c r="N23" s="18" t="n">
        <f aca="false">Günlük!L152-Günlük!L145</f>
        <v>173.042236621812</v>
      </c>
      <c r="O23" s="7" t="n">
        <f aca="false">Günlük!H152</f>
        <v>5489.285711418</v>
      </c>
      <c r="P23" s="7" t="n">
        <f aca="false">Günlük!I152</f>
        <v>6224.50332378669</v>
      </c>
      <c r="Q23" s="7" t="n">
        <f aca="false">Günlük!J152</f>
        <v>5943.44732293709</v>
      </c>
      <c r="R23" s="7" t="n">
        <f aca="false">Günlük!K152</f>
        <v>4799.90885905855</v>
      </c>
      <c r="S23" s="7" t="n">
        <f aca="false">Günlük!L152</f>
        <v>5915.60317244331</v>
      </c>
    </row>
    <row r="24" customFormat="false" ht="15" hidden="false" customHeight="false" outlineLevel="0" collapsed="false">
      <c r="A24" s="15" t="s">
        <v>94</v>
      </c>
      <c r="B24" s="16" t="n">
        <f aca="false">Günlük!A153</f>
        <v>46174</v>
      </c>
      <c r="C24" s="16" t="n">
        <f aca="false">Günlük!A159</f>
        <v>46180</v>
      </c>
      <c r="D24" s="15" t="n">
        <v>7</v>
      </c>
      <c r="E24" s="17" t="n">
        <f aca="false">Günlük!H159/Günlük!H152-1</f>
        <v>0.023168064883843</v>
      </c>
      <c r="F24" s="17" t="n">
        <f aca="false">Günlük!I159/Günlük!I152-1</f>
        <v>0.0652534669646079</v>
      </c>
      <c r="G24" s="17" t="n">
        <f aca="false">Günlük!J159/Günlük!J152-1</f>
        <v>0.0389413981099622</v>
      </c>
      <c r="H24" s="17" t="n">
        <f aca="false">Günlük!K159/Günlük!K152-1</f>
        <v>0.0077372788336636</v>
      </c>
      <c r="I24" s="17" t="n">
        <f aca="false">Günlük!L159/Günlük!L152-1</f>
        <v>0.0810892285634433</v>
      </c>
      <c r="J24" s="18" t="n">
        <f aca="false">Günlük!H159-Günlük!H152</f>
        <v>127.176127528084</v>
      </c>
      <c r="K24" s="18" t="n">
        <f aca="false">Günlük!I159-Günlük!I152</f>
        <v>406.170422009807</v>
      </c>
      <c r="L24" s="18" t="n">
        <f aca="false">Günlük!J159-Günlük!J152</f>
        <v>231.446148348082</v>
      </c>
      <c r="M24" s="18" t="n">
        <f aca="false">Günlük!K159-Günlük!K152</f>
        <v>37.1382332187077</v>
      </c>
      <c r="N24" s="18" t="n">
        <f aca="false">Günlük!L159-Günlük!L152</f>
        <v>479.691697740886</v>
      </c>
      <c r="O24" s="7" t="n">
        <f aca="false">Günlük!H159</f>
        <v>5616.46183894608</v>
      </c>
      <c r="P24" s="7" t="n">
        <f aca="false">Günlük!I159</f>
        <v>6630.6737457965</v>
      </c>
      <c r="Q24" s="7" t="n">
        <f aca="false">Günlük!J159</f>
        <v>6174.89347128517</v>
      </c>
      <c r="R24" s="7" t="n">
        <f aca="false">Günlük!K159</f>
        <v>4837.04709227726</v>
      </c>
      <c r="S24" s="7" t="n">
        <f aca="false">Günlük!L159</f>
        <v>6395.2948701842</v>
      </c>
    </row>
    <row r="25" customFormat="false" ht="15" hidden="false" customHeight="false" outlineLevel="0" collapsed="false">
      <c r="A25" s="15" t="s">
        <v>95</v>
      </c>
      <c r="B25" s="16" t="n">
        <f aca="false">Günlük!A160</f>
        <v>46181</v>
      </c>
      <c r="C25" s="16" t="n">
        <f aca="false">Günlük!A166</f>
        <v>46187</v>
      </c>
      <c r="D25" s="15" t="n">
        <v>7</v>
      </c>
      <c r="E25" s="17" t="n">
        <f aca="false">Günlük!H166/Günlük!H159-1</f>
        <v>-0.0268320088430397</v>
      </c>
      <c r="F25" s="17" t="n">
        <f aca="false">Günlük!I166/Günlük!I159-1</f>
        <v>-0.000990236336964379</v>
      </c>
      <c r="G25" s="17" t="n">
        <f aca="false">Günlük!J166/Günlük!J159-1</f>
        <v>0.00713478256078992</v>
      </c>
      <c r="H25" s="17" t="n">
        <f aca="false">Günlük!K166/Günlük!K159-1</f>
        <v>-0.0328309748643582</v>
      </c>
      <c r="I25" s="17" t="n">
        <f aca="false">Günlük!L166/Günlük!L159-1</f>
        <v>-0.00106821961609538</v>
      </c>
      <c r="J25" s="18" t="n">
        <f aca="false">Günlük!H166-Günlük!H159</f>
        <v>-150.700953729196</v>
      </c>
      <c r="K25" s="18" t="n">
        <f aca="false">Günlük!I166-Günlük!I159</f>
        <v>-6.56593408164372</v>
      </c>
      <c r="L25" s="18" t="n">
        <f aca="false">Günlük!J166-Günlük!J159</f>
        <v>44.0565222536607</v>
      </c>
      <c r="M25" s="18" t="n">
        <f aca="false">Günlük!K166-Günlük!K159</f>
        <v>-158.804971504272</v>
      </c>
      <c r="N25" s="18" t="n">
        <f aca="false">Günlük!L166-Günlük!L159</f>
        <v>-6.8315794310447</v>
      </c>
      <c r="O25" s="7" t="n">
        <f aca="false">Günlük!H166</f>
        <v>5465.76088521688</v>
      </c>
      <c r="P25" s="7" t="n">
        <f aca="false">Günlük!I166</f>
        <v>6624.10781171485</v>
      </c>
      <c r="Q25" s="7" t="n">
        <f aca="false">Günlük!J166</f>
        <v>6218.94999353883</v>
      </c>
      <c r="R25" s="7" t="n">
        <f aca="false">Günlük!K166</f>
        <v>4678.24212077299</v>
      </c>
      <c r="S25" s="7" t="n">
        <f aca="false">Günlük!L166</f>
        <v>6388.46329075316</v>
      </c>
    </row>
    <row r="26" customFormat="false" ht="15" hidden="false" customHeight="false" outlineLevel="0" collapsed="false">
      <c r="A26" s="15" t="s">
        <v>96</v>
      </c>
      <c r="B26" s="16" t="n">
        <f aca="false">Günlük!A167</f>
        <v>46188</v>
      </c>
      <c r="C26" s="16" t="n">
        <f aca="false">Günlük!A173</f>
        <v>46194</v>
      </c>
      <c r="D26" s="15" t="n">
        <v>7</v>
      </c>
      <c r="E26" s="17" t="n">
        <f aca="false">Günlük!H173/Günlük!H166-1</f>
        <v>0.0260061374917902</v>
      </c>
      <c r="F26" s="17" t="n">
        <f aca="false">Günlük!I173/Günlük!I166-1</f>
        <v>0.0310110486433057</v>
      </c>
      <c r="G26" s="17" t="n">
        <f aca="false">Günlük!J173/Günlük!J166-1</f>
        <v>0.0242606117020185</v>
      </c>
      <c r="H26" s="17" t="n">
        <f aca="false">Günlük!K173/Günlük!K166-1</f>
        <v>0.0312654427457997</v>
      </c>
      <c r="I26" s="17" t="n">
        <f aca="false">Günlük!L173/Günlük!L166-1</f>
        <v>0.0449917594275053</v>
      </c>
      <c r="J26" s="18" t="n">
        <f aca="false">Günlük!H173-Günlük!H166</f>
        <v>142.143329078199</v>
      </c>
      <c r="K26" s="18" t="n">
        <f aca="false">Günlük!I173-Günlük!I166</f>
        <v>205.420529567591</v>
      </c>
      <c r="L26" s="18" t="n">
        <f aca="false">Günlük!J173-Günlük!J166</f>
        <v>150.875530987517</v>
      </c>
      <c r="M26" s="18" t="n">
        <f aca="false">Günlük!K173-Günlük!K166</f>
        <v>146.267311178017</v>
      </c>
      <c r="N26" s="18" t="n">
        <f aca="false">Günlük!L173-Günlük!L166</f>
        <v>287.428203489016</v>
      </c>
      <c r="O26" s="7" t="n">
        <f aca="false">Günlük!H173</f>
        <v>5607.90421429508</v>
      </c>
      <c r="P26" s="7" t="n">
        <f aca="false">Günlük!I173</f>
        <v>6829.52834128245</v>
      </c>
      <c r="Q26" s="7" t="n">
        <f aca="false">Günlük!J173</f>
        <v>6369.82552452635</v>
      </c>
      <c r="R26" s="7" t="n">
        <f aca="false">Günlük!K173</f>
        <v>4824.50943195101</v>
      </c>
      <c r="S26" s="7" t="n">
        <f aca="false">Günlük!L173</f>
        <v>6675.89149424217</v>
      </c>
    </row>
    <row r="27" customFormat="false" ht="15" hidden="false" customHeight="false" outlineLevel="0" collapsed="false">
      <c r="A27" s="15" t="s">
        <v>97</v>
      </c>
      <c r="B27" s="16" t="n">
        <f aca="false">Günlük!A174</f>
        <v>46195</v>
      </c>
      <c r="C27" s="16" t="n">
        <f aca="false">Günlük!A180</f>
        <v>46201</v>
      </c>
      <c r="D27" s="15" t="n">
        <v>7</v>
      </c>
      <c r="E27" s="17" t="n">
        <f aca="false">Günlük!H180/Günlük!H173-1</f>
        <v>0.110517196814957</v>
      </c>
      <c r="F27" s="17" t="n">
        <f aca="false">Günlük!I180/Günlük!I173-1</f>
        <v>0.0741429242316849</v>
      </c>
      <c r="G27" s="17" t="n">
        <f aca="false">Günlük!J180/Günlük!J173-1</f>
        <v>0.077804929067973</v>
      </c>
      <c r="H27" s="17" t="n">
        <f aca="false">Günlük!K180/Günlük!K173-1</f>
        <v>0.100086920084298</v>
      </c>
      <c r="I27" s="17" t="n">
        <f aca="false">Günlük!L180/Günlük!L173-1</f>
        <v>0.0916471921206346</v>
      </c>
      <c r="J27" s="18" t="n">
        <f aca="false">Günlük!H180-Günlük!H173</f>
        <v>619.769853770678</v>
      </c>
      <c r="K27" s="18" t="n">
        <f aca="false">Günlük!I180-Günlük!I173</f>
        <v>506.361202345848</v>
      </c>
      <c r="L27" s="18" t="n">
        <f aca="false">Günlük!J180-Günlük!J173</f>
        <v>495.603823111136</v>
      </c>
      <c r="M27" s="18" t="n">
        <f aca="false">Günlük!K180-Günlük!K173</f>
        <v>482.87028996162</v>
      </c>
      <c r="N27" s="18" t="n">
        <f aca="false">Günlük!L180-Günlük!L173</f>
        <v>611.826710349323</v>
      </c>
      <c r="O27" s="7" t="n">
        <f aca="false">Günlük!H180</f>
        <v>6227.67406806576</v>
      </c>
      <c r="P27" s="7" t="n">
        <f aca="false">Günlük!I180</f>
        <v>7335.88954362829</v>
      </c>
      <c r="Q27" s="7" t="n">
        <f aca="false">Günlük!J180</f>
        <v>6865.42934763748</v>
      </c>
      <c r="R27" s="7" t="n">
        <f aca="false">Günlük!K180</f>
        <v>5307.37972191263</v>
      </c>
      <c r="S27" s="7" t="n">
        <f aca="false">Günlük!L180</f>
        <v>7287.71820459149</v>
      </c>
    </row>
    <row r="28" customFormat="false" ht="15" hidden="false" customHeight="false" outlineLevel="0" collapsed="false">
      <c r="A28" s="15" t="s">
        <v>98</v>
      </c>
      <c r="B28" s="16" t="n">
        <f aca="false">Günlük!A181</f>
        <v>46202</v>
      </c>
      <c r="C28" s="16" t="n">
        <f aca="false">Günlük!A187</f>
        <v>46208</v>
      </c>
      <c r="D28" s="15" t="n">
        <v>7</v>
      </c>
      <c r="E28" s="17" t="n">
        <f aca="false">Günlük!H187/Günlük!H180-1</f>
        <v>0.00789002546450712</v>
      </c>
      <c r="F28" s="17" t="n">
        <f aca="false">Günlük!I187/Günlük!I180-1</f>
        <v>0.0448199159197744</v>
      </c>
      <c r="G28" s="17" t="n">
        <f aca="false">Günlük!J187/Günlük!J180-1</f>
        <v>0.0134470936293478</v>
      </c>
      <c r="H28" s="17" t="n">
        <f aca="false">Günlük!K187/Günlük!K180-1</f>
        <v>0.00938604858372827</v>
      </c>
      <c r="I28" s="17" t="n">
        <f aca="false">Günlük!L187/Günlük!L180-1</f>
        <v>0.0582751727944171</v>
      </c>
      <c r="J28" s="18" t="n">
        <f aca="false">Günlük!H187-Günlük!H180</f>
        <v>49.1365069816893</v>
      </c>
      <c r="K28" s="18" t="n">
        <f aca="false">Günlük!I187-Günlük!I180</f>
        <v>328.793952542172</v>
      </c>
      <c r="L28" s="18" t="n">
        <f aca="false">Günlük!J187-Günlük!J180</f>
        <v>92.3200712433536</v>
      </c>
      <c r="M28" s="18" t="n">
        <f aca="false">Günlük!K187-Günlük!K180</f>
        <v>49.8153239221656</v>
      </c>
      <c r="N28" s="18" t="n">
        <f aca="false">Günlük!L187-Günlük!L180</f>
        <v>424.693037649588</v>
      </c>
      <c r="O28" s="7" t="n">
        <f aca="false">Günlük!H187</f>
        <v>6276.81057504745</v>
      </c>
      <c r="P28" s="7" t="n">
        <f aca="false">Günlük!I187</f>
        <v>7664.68349617046</v>
      </c>
      <c r="Q28" s="7" t="n">
        <f aca="false">Günlük!J187</f>
        <v>6957.74941888084</v>
      </c>
      <c r="R28" s="7" t="n">
        <f aca="false">Günlük!K187</f>
        <v>5357.19504583479</v>
      </c>
      <c r="S28" s="7" t="n">
        <f aca="false">Günlük!L187</f>
        <v>7712.41124224108</v>
      </c>
    </row>
    <row r="29" customFormat="false" ht="15" hidden="false" customHeight="false" outlineLevel="0" collapsed="false">
      <c r="A29" s="15" t="s">
        <v>99</v>
      </c>
      <c r="B29" s="16" t="n">
        <f aca="false">Günlük!A188</f>
        <v>46209</v>
      </c>
      <c r="C29" s="16" t="n">
        <f aca="false">Günlük!A194</f>
        <v>46215</v>
      </c>
      <c r="D29" s="15" t="n">
        <v>7</v>
      </c>
      <c r="E29" s="17" t="n">
        <f aca="false">Günlük!H194/Günlük!H187-1</f>
        <v>-0.015057852279055</v>
      </c>
      <c r="F29" s="17" t="n">
        <f aca="false">Günlük!I194/Günlük!I187-1</f>
        <v>-0.041111180885499</v>
      </c>
      <c r="G29" s="17" t="n">
        <f aca="false">Günlük!J194/Günlük!J187-1</f>
        <v>-0.0190645384846514</v>
      </c>
      <c r="H29" s="17" t="n">
        <f aca="false">Günlük!K194/Günlük!K187-1</f>
        <v>-0.018149725097267</v>
      </c>
      <c r="I29" s="17" t="n">
        <f aca="false">Günlük!L194/Günlük!L187-1</f>
        <v>-0.0425193429419041</v>
      </c>
      <c r="J29" s="18" t="n">
        <f aca="false">Günlük!H194-Günlük!H187</f>
        <v>-94.5152864226748</v>
      </c>
      <c r="K29" s="18" t="n">
        <f aca="false">Günlük!I194-Günlük!I187</f>
        <v>-315.104189641163</v>
      </c>
      <c r="L29" s="18" t="n">
        <f aca="false">Günlük!J194-Günlük!J187</f>
        <v>-132.646281562815</v>
      </c>
      <c r="M29" s="18" t="n">
        <f aca="false">Günlük!K194-Günlük!K187</f>
        <v>-97.231617374342</v>
      </c>
      <c r="N29" s="18" t="n">
        <f aca="false">Günlük!L194-Günlük!L187</f>
        <v>-327.926658517845</v>
      </c>
      <c r="O29" s="7" t="n">
        <f aca="false">Günlük!H194</f>
        <v>6182.29528862478</v>
      </c>
      <c r="P29" s="7" t="n">
        <f aca="false">Günlük!I194</f>
        <v>7349.5793065293</v>
      </c>
      <c r="Q29" s="7" t="n">
        <f aca="false">Günlük!J194</f>
        <v>6825.10313731802</v>
      </c>
      <c r="R29" s="7" t="n">
        <f aca="false">Günlük!K194</f>
        <v>5259.96342846045</v>
      </c>
      <c r="S29" s="7" t="n">
        <f aca="false">Günlük!L194</f>
        <v>7384.48458372324</v>
      </c>
    </row>
    <row r="30" customFormat="false" ht="15" hidden="false" customHeight="false" outlineLevel="0" collapsed="false">
      <c r="A30" s="15" t="s">
        <v>100</v>
      </c>
      <c r="B30" s="16" t="n">
        <f aca="false">Günlük!A195</f>
        <v>46216</v>
      </c>
      <c r="C30" s="16" t="n">
        <f aca="false">Günlük!A201</f>
        <v>46222</v>
      </c>
      <c r="D30" s="15" t="n">
        <v>7</v>
      </c>
      <c r="E30" s="17" t="n">
        <f aca="false">Günlük!H201/Günlük!H194-1</f>
        <v>0.0693385206067154</v>
      </c>
      <c r="F30" s="17" t="n">
        <f aca="false">Günlük!I201/Günlük!I194-1</f>
        <v>0.0494399422552323</v>
      </c>
      <c r="G30" s="17" t="n">
        <f aca="false">Günlük!J201/Günlük!J194-1</f>
        <v>0.0512438469656911</v>
      </c>
      <c r="H30" s="17" t="n">
        <f aca="false">Günlük!K201/Günlük!K194-1</f>
        <v>0.0274348018644641</v>
      </c>
      <c r="I30" s="17" t="n">
        <f aca="false">Günlük!L201/Günlük!L194-1</f>
        <v>0.0619639849113596</v>
      </c>
      <c r="J30" s="18" t="n">
        <f aca="false">Günlük!H201-Günlük!H194</f>
        <v>428.671209267109</v>
      </c>
      <c r="K30" s="18" t="n">
        <f aca="false">Günlük!I201-Günlük!I194</f>
        <v>363.362776515059</v>
      </c>
      <c r="L30" s="18" t="n">
        <f aca="false">Günlük!J201-Günlük!J194</f>
        <v>349.744540693782</v>
      </c>
      <c r="M30" s="18" t="n">
        <f aca="false">Günlük!K201-Günlük!K194</f>
        <v>144.30605447414</v>
      </c>
      <c r="N30" s="18" t="n">
        <f aca="false">Günlük!L201-Günlük!L194</f>
        <v>457.572091323995</v>
      </c>
      <c r="O30" s="7" t="n">
        <f aca="false">Günlük!H201</f>
        <v>6610.96649789188</v>
      </c>
      <c r="P30" s="7" t="n">
        <f aca="false">Günlük!I201</f>
        <v>7712.94208304436</v>
      </c>
      <c r="Q30" s="7" t="n">
        <f aca="false">Günlük!J201</f>
        <v>7174.8476780118</v>
      </c>
      <c r="R30" s="7" t="n">
        <f aca="false">Günlük!K201</f>
        <v>5404.26948293459</v>
      </c>
      <c r="S30" s="7" t="n">
        <f aca="false">Günlük!L201</f>
        <v>7842.05667504723</v>
      </c>
    </row>
    <row r="31" customFormat="false" ht="15" hidden="false" customHeight="false" outlineLevel="0" collapsed="false">
      <c r="A31" s="15" t="s">
        <v>101</v>
      </c>
      <c r="B31" s="16" t="n">
        <f aca="false">Günlük!A202</f>
        <v>46223</v>
      </c>
      <c r="C31" s="16" t="n">
        <f aca="false">Günlük!A208</f>
        <v>46229</v>
      </c>
      <c r="D31" s="15" t="n">
        <v>7</v>
      </c>
      <c r="E31" s="17" t="n">
        <f aca="false">Günlük!H208/Günlük!H201-1</f>
        <v>-0.00437536112042281</v>
      </c>
      <c r="F31" s="17" t="n">
        <f aca="false">Günlük!I208/Günlük!I201-1</f>
        <v>0.00156443823841412</v>
      </c>
      <c r="G31" s="17" t="n">
        <f aca="false">Günlük!J208/Günlük!J201-1</f>
        <v>0.0074214707255531</v>
      </c>
      <c r="H31" s="17" t="n">
        <f aca="false">Günlük!K208/Günlük!K201-1</f>
        <v>-0.0130696883512839</v>
      </c>
      <c r="I31" s="17" t="n">
        <f aca="false">Günlük!L208/Günlük!L201-1</f>
        <v>-0.00160962064237913</v>
      </c>
      <c r="J31" s="18" t="n">
        <f aca="false">Günlük!H208-Günlük!H201</f>
        <v>-28.9253657832942</v>
      </c>
      <c r="K31" s="18" t="n">
        <f aca="false">Günlük!I208-Günlük!I201</f>
        <v>12.0664215253873</v>
      </c>
      <c r="L31" s="18" t="n">
        <f aca="false">Günlük!J208-Günlük!J201</f>
        <v>53.2479220026671</v>
      </c>
      <c r="M31" s="18" t="n">
        <f aca="false">Günlük!K208-Günlük!K201</f>
        <v>-70.6321179083088</v>
      </c>
      <c r="N31" s="18" t="n">
        <f aca="false">Günlük!L208-Günlük!L201</f>
        <v>-12.6227363028629</v>
      </c>
      <c r="O31" s="7" t="n">
        <f aca="false">Günlük!H208</f>
        <v>6582.04113210859</v>
      </c>
      <c r="P31" s="7" t="n">
        <f aca="false">Günlük!I208</f>
        <v>7725.00850456975</v>
      </c>
      <c r="Q31" s="7" t="n">
        <f aca="false">Günlük!J208</f>
        <v>7228.09560001447</v>
      </c>
      <c r="R31" s="7" t="n">
        <f aca="false">Günlük!K208</f>
        <v>5333.63736502628</v>
      </c>
      <c r="S31" s="7" t="n">
        <f aca="false">Günlük!L208</f>
        <v>7829.43393874437</v>
      </c>
    </row>
    <row r="32" customFormat="false" ht="15" hidden="false" customHeight="false" outlineLevel="0" collapsed="false">
      <c r="A32" s="15" t="s">
        <v>102</v>
      </c>
      <c r="B32" s="16" t="n">
        <f aca="false">Günlük!A209</f>
        <v>46230</v>
      </c>
      <c r="C32" s="16" t="n">
        <f aca="false">Günlük!A215</f>
        <v>46236</v>
      </c>
      <c r="D32" s="15" t="n">
        <v>7</v>
      </c>
      <c r="E32" s="17" t="n">
        <f aca="false">Günlük!H215/Günlük!H208-1</f>
        <v>0.0268180462318246</v>
      </c>
      <c r="F32" s="17" t="n">
        <f aca="false">Günlük!I215/Günlük!I208-1</f>
        <v>0.0145714757841375</v>
      </c>
      <c r="G32" s="17" t="n">
        <f aca="false">Günlük!J215/Günlük!J208-1</f>
        <v>0.0281744031544737</v>
      </c>
      <c r="H32" s="17" t="n">
        <f aca="false">Günlük!K215/Günlük!K208-1</f>
        <v>0.0310868253184153</v>
      </c>
      <c r="I32" s="17" t="n">
        <f aca="false">Günlük!L215/Günlük!L208-1</f>
        <v>0.0106136324250965</v>
      </c>
      <c r="J32" s="18" t="n">
        <f aca="false">Günlük!H215-Günlük!H208</f>
        <v>176.517483380659</v>
      </c>
      <c r="K32" s="18" t="n">
        <f aca="false">Günlük!I215-Günlük!I208</f>
        <v>112.564774356594</v>
      </c>
      <c r="L32" s="18" t="n">
        <f aca="false">Günlük!J215-Günlük!J208</f>
        <v>203.647279473885</v>
      </c>
      <c r="M32" s="18" t="n">
        <f aca="false">Günlük!K215-Günlük!K208</f>
        <v>165.805853078346</v>
      </c>
      <c r="N32" s="18" t="n">
        <f aca="false">Günlük!L215-Günlük!L208</f>
        <v>83.0987339224075</v>
      </c>
      <c r="O32" s="7" t="n">
        <f aca="false">Günlük!H215</f>
        <v>6758.55861548925</v>
      </c>
      <c r="P32" s="7" t="n">
        <f aca="false">Günlük!I215</f>
        <v>7837.57327892634</v>
      </c>
      <c r="Q32" s="7" t="n">
        <f aca="false">Günlük!J215</f>
        <v>7431.74287948836</v>
      </c>
      <c r="R32" s="7" t="n">
        <f aca="false">Günlük!K215</f>
        <v>5499.44321810463</v>
      </c>
      <c r="S32" s="7" t="n">
        <f aca="false">Günlük!L215</f>
        <v>7912.53267266678</v>
      </c>
    </row>
    <row r="33" customFormat="false" ht="15" hidden="false" customHeight="false" outlineLevel="0" collapsed="false">
      <c r="A33" s="15" t="s">
        <v>103</v>
      </c>
      <c r="B33" s="16" t="n">
        <f aca="false">Günlük!A216</f>
        <v>46237</v>
      </c>
      <c r="C33" s="16" t="n">
        <f aca="false">Günlük!A222</f>
        <v>46243</v>
      </c>
      <c r="D33" s="15" t="n">
        <v>7</v>
      </c>
      <c r="E33" s="17" t="n">
        <f aca="false">Günlük!H222/Günlük!H215-1</f>
        <v>0.0725556152831939</v>
      </c>
      <c r="F33" s="17" t="n">
        <f aca="false">Günlük!I222/Günlük!I215-1</f>
        <v>0.0473458172129877</v>
      </c>
      <c r="G33" s="17" t="n">
        <f aca="false">Günlük!J222/Günlük!J215-1</f>
        <v>0.0497061544582207</v>
      </c>
      <c r="H33" s="17" t="n">
        <f aca="false">Günlük!K222/Günlük!K215-1</f>
        <v>0.0688161485397085</v>
      </c>
      <c r="I33" s="17" t="n">
        <f aca="false">Günlük!L222/Günlük!L215-1</f>
        <v>0.0427305257818329</v>
      </c>
      <c r="J33" s="18" t="n">
        <f aca="false">Günlük!H222-Günlük!H215</f>
        <v>490.371378774354</v>
      </c>
      <c r="K33" s="18" t="n">
        <f aca="false">Günlük!I222-Günlük!I215</f>
        <v>371.076311857442</v>
      </c>
      <c r="L33" s="18" t="n">
        <f aca="false">Günlük!J222-Günlük!J215</f>
        <v>369.40335946163</v>
      </c>
      <c r="M33" s="18" t="n">
        <f aca="false">Günlük!K222-Günlük!K215</f>
        <v>378.450501382781</v>
      </c>
      <c r="N33" s="18" t="n">
        <f aca="false">Günlük!L222-Günlük!L215</f>
        <v>338.106681368982</v>
      </c>
      <c r="O33" s="7" t="n">
        <f aca="false">Günlük!H222</f>
        <v>7248.9299942636</v>
      </c>
      <c r="P33" s="7" t="n">
        <f aca="false">Günlük!I222</f>
        <v>8208.64959078378</v>
      </c>
      <c r="Q33" s="7" t="n">
        <f aca="false">Günlük!J222</f>
        <v>7801.14623894999</v>
      </c>
      <c r="R33" s="7" t="n">
        <f aca="false">Günlük!K222</f>
        <v>5877.89371948741</v>
      </c>
      <c r="S33" s="7" t="n">
        <f aca="false">Günlük!L222</f>
        <v>8250.63935403576</v>
      </c>
    </row>
    <row r="34" customFormat="false" ht="15" hidden="false" customHeight="false" outlineLevel="0" collapsed="false">
      <c r="A34" s="15" t="s">
        <v>104</v>
      </c>
      <c r="B34" s="16" t="n">
        <f aca="false">Günlük!A223</f>
        <v>46244</v>
      </c>
      <c r="C34" s="16" t="n">
        <f aca="false">Günlük!A229</f>
        <v>46250</v>
      </c>
      <c r="D34" s="15" t="n">
        <v>7</v>
      </c>
      <c r="E34" s="17" t="n">
        <f aca="false">Günlük!H229/Günlük!H222-1</f>
        <v>-0.0725830442941278</v>
      </c>
      <c r="F34" s="17" t="n">
        <f aca="false">Günlük!I229/Günlük!I222-1</f>
        <v>-0.0945081678379549</v>
      </c>
      <c r="G34" s="17" t="n">
        <f aca="false">Günlük!J229/Günlük!J222-1</f>
        <v>-0.0839478331564072</v>
      </c>
      <c r="H34" s="17" t="n">
        <f aca="false">Günlük!K229/Günlük!K222-1</f>
        <v>-0.105730053399022</v>
      </c>
      <c r="I34" s="17" t="n">
        <f aca="false">Günlük!L229/Günlük!L222-1</f>
        <v>-0.105499221673351</v>
      </c>
      <c r="J34" s="18" t="n">
        <f aca="false">Günlük!H229-Günlük!H222</f>
        <v>-526.149406858666</v>
      </c>
      <c r="K34" s="18" t="n">
        <f aca="false">Günlük!I229-Günlük!I222</f>
        <v>-775.784433248754</v>
      </c>
      <c r="L34" s="18" t="n">
        <f aca="false">Günlük!J229-Günlük!J222</f>
        <v>-654.889322896107</v>
      </c>
      <c r="M34" s="18" t="n">
        <f aca="false">Günlük!K229-Günlük!K222</f>
        <v>-621.470016835177</v>
      </c>
      <c r="N34" s="18" t="n">
        <f aca="false">Günlük!L229-Günlük!L222</f>
        <v>-870.43603015829</v>
      </c>
      <c r="O34" s="7" t="n">
        <f aca="false">Günlük!H229</f>
        <v>6722.78058740494</v>
      </c>
      <c r="P34" s="7" t="n">
        <f aca="false">Günlük!I229</f>
        <v>7432.86515753503</v>
      </c>
      <c r="Q34" s="7" t="n">
        <f aca="false">Günlük!J229</f>
        <v>7146.25691605388</v>
      </c>
      <c r="R34" s="7" t="n">
        <f aca="false">Günlük!K229</f>
        <v>5256.42370265223</v>
      </c>
      <c r="S34" s="7" t="n">
        <f aca="false">Günlük!L229</f>
        <v>7380.20332387747</v>
      </c>
    </row>
    <row r="35" customFormat="false" ht="15" hidden="false" customHeight="false" outlineLevel="0" collapsed="false">
      <c r="A35" s="15" t="s">
        <v>105</v>
      </c>
      <c r="B35" s="16" t="n">
        <f aca="false">Günlük!A230</f>
        <v>46251</v>
      </c>
      <c r="C35" s="16" t="n">
        <f aca="false">Günlük!A236</f>
        <v>46257</v>
      </c>
      <c r="D35" s="15" t="n">
        <v>7</v>
      </c>
      <c r="E35" s="17" t="n">
        <f aca="false">Günlük!H236/Günlük!H229-1</f>
        <v>0.00222788989673095</v>
      </c>
      <c r="F35" s="17" t="n">
        <f aca="false">Günlük!I236/Günlük!I229-1</f>
        <v>0.0497837833898482</v>
      </c>
      <c r="G35" s="17" t="n">
        <f aca="false">Günlük!J236/Günlük!J229-1</f>
        <v>0.0249492391203283</v>
      </c>
      <c r="H35" s="17" t="n">
        <f aca="false">Günlük!K236/Günlük!K229-1</f>
        <v>0.0437088749179764</v>
      </c>
      <c r="I35" s="17" t="n">
        <f aca="false">Günlük!L236/Günlük!L229-1</f>
        <v>0.0641233217122255</v>
      </c>
      <c r="J35" s="18" t="n">
        <f aca="false">Günlük!H236-Günlük!H229</f>
        <v>14.9776149486188</v>
      </c>
      <c r="K35" s="18" t="n">
        <f aca="false">Günlük!I236-Günlük!I229</f>
        <v>370.036148968675</v>
      </c>
      <c r="L35" s="18" t="n">
        <f aca="false">Günlük!J236-Günlük!J229</f>
        <v>178.293672613928</v>
      </c>
      <c r="M35" s="18" t="n">
        <f aca="false">Günlük!K236-Günlük!K229</f>
        <v>229.752366135112</v>
      </c>
      <c r="N35" s="18" t="n">
        <f aca="false">Günlük!L236-Günlük!L229</f>
        <v>473.243152038631</v>
      </c>
      <c r="O35" s="7" t="n">
        <f aca="false">Günlük!H236</f>
        <v>6737.75820235356</v>
      </c>
      <c r="P35" s="7" t="n">
        <f aca="false">Günlük!I236</f>
        <v>7802.9013065037</v>
      </c>
      <c r="Q35" s="7" t="n">
        <f aca="false">Günlük!J236</f>
        <v>7324.55058866781</v>
      </c>
      <c r="R35" s="7" t="n">
        <f aca="false">Günlük!K236</f>
        <v>5486.17606878734</v>
      </c>
      <c r="S35" s="7" t="n">
        <f aca="false">Günlük!L236</f>
        <v>7853.4464759161</v>
      </c>
    </row>
    <row r="36" customFormat="false" ht="15" hidden="false" customHeight="false" outlineLevel="0" collapsed="false">
      <c r="A36" s="15" t="s">
        <v>106</v>
      </c>
      <c r="B36" s="16" t="n">
        <f aca="false">Günlük!A237</f>
        <v>46258</v>
      </c>
      <c r="C36" s="16" t="n">
        <f aca="false">Günlük!A243</f>
        <v>46264</v>
      </c>
      <c r="D36" s="15" t="n">
        <v>7</v>
      </c>
      <c r="E36" s="17" t="n">
        <f aca="false">Günlük!H243/Günlük!H236-1</f>
        <v>0.0966518960423084</v>
      </c>
      <c r="F36" s="17" t="n">
        <f aca="false">Günlük!I243/Günlük!I236-1</f>
        <v>0.104563048910721</v>
      </c>
      <c r="G36" s="17" t="n">
        <f aca="false">Günlük!J243/Günlük!J236-1</f>
        <v>0.104843819669312</v>
      </c>
      <c r="H36" s="17" t="n">
        <f aca="false">Günlük!K243/Günlük!K236-1</f>
        <v>0.100254741765038</v>
      </c>
      <c r="I36" s="17" t="n">
        <f aca="false">Günlük!L243/Günlük!L236-1</f>
        <v>0.129022434453782</v>
      </c>
      <c r="J36" s="18" t="n">
        <f aca="false">Günlük!H243-Günlük!H236</f>
        <v>651.217105332087</v>
      </c>
      <c r="K36" s="18" t="n">
        <f aca="false">Günlük!I243-Günlük!I236</f>
        <v>815.895150957472</v>
      </c>
      <c r="L36" s="18" t="n">
        <f aca="false">Günlük!J243-Günlük!J236</f>
        <v>767.933861077043</v>
      </c>
      <c r="M36" s="18" t="n">
        <f aca="false">Günlük!K243-Günlük!K236</f>
        <v>550.015165053808</v>
      </c>
      <c r="N36" s="18" t="n">
        <f aca="false">Günlük!L243-Günlük!L236</f>
        <v>1013.27078317517</v>
      </c>
      <c r="O36" s="7" t="n">
        <f aca="false">Günlük!H243</f>
        <v>7388.97530768564</v>
      </c>
      <c r="P36" s="7" t="n">
        <f aca="false">Günlük!I243</f>
        <v>8618.79645746118</v>
      </c>
      <c r="Q36" s="7" t="n">
        <f aca="false">Günlük!J243</f>
        <v>8092.48444974485</v>
      </c>
      <c r="R36" s="7" t="n">
        <f aca="false">Günlük!K243</f>
        <v>6036.19123384115</v>
      </c>
      <c r="S36" s="7" t="n">
        <f aca="false">Günlük!L243</f>
        <v>8866.71725909127</v>
      </c>
    </row>
    <row r="37" customFormat="false" ht="15" hidden="false" customHeight="false" outlineLevel="0" collapsed="false">
      <c r="A37" s="15" t="s">
        <v>107</v>
      </c>
      <c r="B37" s="16" t="n">
        <f aca="false">Günlük!A244</f>
        <v>46265</v>
      </c>
      <c r="C37" s="16" t="n">
        <f aca="false">Günlük!A250</f>
        <v>46271</v>
      </c>
      <c r="D37" s="15" t="n">
        <v>7</v>
      </c>
      <c r="E37" s="17" t="n">
        <f aca="false">Günlük!H250/Günlük!H243-1</f>
        <v>0.00420922842185711</v>
      </c>
      <c r="F37" s="17" t="n">
        <f aca="false">Günlük!I250/Günlük!I243-1</f>
        <v>-0.00478927155424425</v>
      </c>
      <c r="G37" s="17" t="n">
        <f aca="false">Günlük!J250/Günlük!J243-1</f>
        <v>-0.0047908840259745</v>
      </c>
      <c r="H37" s="17" t="n">
        <f aca="false">Günlük!K250/Günlük!K243-1</f>
        <v>-0.0108529825617462</v>
      </c>
      <c r="I37" s="17" t="n">
        <f aca="false">Günlük!L250/Günlük!L243-1</f>
        <v>-0.00851525792801822</v>
      </c>
      <c r="J37" s="18" t="n">
        <f aca="false">Günlük!H250-Günlük!H243</f>
        <v>31.1018848735112</v>
      </c>
      <c r="K37" s="18" t="n">
        <f aca="false">Günlük!I250-Günlük!I243</f>
        <v>-41.27775670554</v>
      </c>
      <c r="L37" s="18" t="n">
        <f aca="false">Günlük!J250-Günlük!J243</f>
        <v>-38.7701544807296</v>
      </c>
      <c r="M37" s="18" t="n">
        <f aca="false">Günlük!K250-Günlük!K243</f>
        <v>-65.5106782002431</v>
      </c>
      <c r="N37" s="18" t="n">
        <f aca="false">Günlük!L250-Günlük!L243</f>
        <v>-75.502384435973</v>
      </c>
      <c r="O37" s="7" t="n">
        <f aca="false">Günlük!H250</f>
        <v>7420.07719255915</v>
      </c>
      <c r="P37" s="7" t="n">
        <f aca="false">Günlük!I250</f>
        <v>8577.51870075564</v>
      </c>
      <c r="Q37" s="7" t="n">
        <f aca="false">Günlük!J250</f>
        <v>8053.71429526412</v>
      </c>
      <c r="R37" s="7" t="n">
        <f aca="false">Günlük!K250</f>
        <v>5970.68055564091</v>
      </c>
      <c r="S37" s="7" t="n">
        <f aca="false">Günlük!L250</f>
        <v>8791.21487465529</v>
      </c>
    </row>
    <row r="38" customFormat="false" ht="15" hidden="false" customHeight="false" outlineLevel="0" collapsed="false">
      <c r="A38" s="15" t="s">
        <v>108</v>
      </c>
      <c r="B38" s="16" t="n">
        <f aca="false">Günlük!A251</f>
        <v>46272</v>
      </c>
      <c r="C38" s="16" t="n">
        <f aca="false">Günlük!A257</f>
        <v>46278</v>
      </c>
      <c r="D38" s="15" t="n">
        <v>7</v>
      </c>
      <c r="E38" s="17" t="n">
        <f aca="false">Günlük!H257/Günlük!H250-1</f>
        <v>0.0825107492638728</v>
      </c>
      <c r="F38" s="17" t="n">
        <f aca="false">Günlük!I257/Günlük!I250-1</f>
        <v>0.0747595771267444</v>
      </c>
      <c r="G38" s="17" t="n">
        <f aca="false">Günlük!J257/Günlük!J250-1</f>
        <v>0.0762618719635455</v>
      </c>
      <c r="H38" s="17" t="n">
        <f aca="false">Günlük!K257/Günlük!K250-1</f>
        <v>0.0687145781575971</v>
      </c>
      <c r="I38" s="17" t="n">
        <f aca="false">Günlük!L257/Günlük!L250-1</f>
        <v>0.0944766971181859</v>
      </c>
      <c r="J38" s="18" t="n">
        <f aca="false">Günlük!H257-Günlük!H250</f>
        <v>612.23612875383</v>
      </c>
      <c r="K38" s="18" t="n">
        <f aca="false">Günlük!I257-Günlük!I250</f>
        <v>641.251670865233</v>
      </c>
      <c r="L38" s="18" t="n">
        <f aca="false">Günlük!J257-Günlük!J250</f>
        <v>614.191328416408</v>
      </c>
      <c r="M38" s="18" t="n">
        <f aca="false">Günlük!K257-Günlük!K250</f>
        <v>410.272795694632</v>
      </c>
      <c r="N38" s="18" t="n">
        <f aca="false">Günlük!L257-Günlük!L250</f>
        <v>830.564945013699</v>
      </c>
      <c r="O38" s="7" t="n">
        <f aca="false">Günlük!H257</f>
        <v>8032.31332131298</v>
      </c>
      <c r="P38" s="7" t="n">
        <f aca="false">Günlük!I257</f>
        <v>9218.77037162087</v>
      </c>
      <c r="Q38" s="7" t="n">
        <f aca="false">Günlük!J257</f>
        <v>8667.90562368053</v>
      </c>
      <c r="R38" s="7" t="n">
        <f aca="false">Günlük!K257</f>
        <v>6380.95335133554</v>
      </c>
      <c r="S38" s="7" t="n">
        <f aca="false">Günlük!L257</f>
        <v>9621.77981966899</v>
      </c>
    </row>
    <row r="39" customFormat="false" ht="15" hidden="false" customHeight="false" outlineLevel="0" collapsed="false">
      <c r="A39" s="15" t="s">
        <v>109</v>
      </c>
      <c r="B39" s="16" t="n">
        <f aca="false">Günlük!A258</f>
        <v>46279</v>
      </c>
      <c r="C39" s="16" t="n">
        <f aca="false">Günlük!A264</f>
        <v>46285</v>
      </c>
      <c r="D39" s="15" t="n">
        <v>7</v>
      </c>
      <c r="E39" s="17" t="n">
        <f aca="false">Günlük!H264/Günlük!H257-1</f>
        <v>0.0368323503173826</v>
      </c>
      <c r="F39" s="17" t="n">
        <f aca="false">Günlük!I264/Günlük!I257-1</f>
        <v>0.0487165367832367</v>
      </c>
      <c r="G39" s="17" t="n">
        <f aca="false">Günlük!J264/Günlük!J257-1</f>
        <v>0.0459760810395684</v>
      </c>
      <c r="H39" s="17" t="n">
        <f aca="false">Günlük!K264/Günlük!K257-1</f>
        <v>0.0177122724249501</v>
      </c>
      <c r="I39" s="17" t="n">
        <f aca="false">Günlük!L264/Günlük!L257-1</f>
        <v>0.0611613713528179</v>
      </c>
      <c r="J39" s="18" t="n">
        <f aca="false">Günlük!H264-Günlük!H257</f>
        <v>295.848978109579</v>
      </c>
      <c r="K39" s="18" t="n">
        <f aca="false">Günlük!I264-Günlük!I257</f>
        <v>449.10656590528</v>
      </c>
      <c r="L39" s="18" t="n">
        <f aca="false">Günlük!J264-Günlük!J257</f>
        <v>398.516331397666</v>
      </c>
      <c r="M39" s="18" t="n">
        <f aca="false">Günlük!K264-Günlük!K257</f>
        <v>113.021184089753</v>
      </c>
      <c r="N39" s="18" t="n">
        <f aca="false">Günlük!L264-Günlük!L257</f>
        <v>588.481248625823</v>
      </c>
      <c r="O39" s="7" t="n">
        <f aca="false">Günlük!H264</f>
        <v>8328.16229942256</v>
      </c>
      <c r="P39" s="7" t="n">
        <f aca="false">Günlük!I264</f>
        <v>9667.87693752615</v>
      </c>
      <c r="Q39" s="7" t="n">
        <f aca="false">Günlük!J264</f>
        <v>9066.4219550782</v>
      </c>
      <c r="R39" s="7" t="n">
        <f aca="false">Günlük!K264</f>
        <v>6493.97453542529</v>
      </c>
      <c r="S39" s="7" t="n">
        <f aca="false">Günlük!L264</f>
        <v>10210.2610682948</v>
      </c>
    </row>
    <row r="40" customFormat="false" ht="15" hidden="false" customHeight="false" outlineLevel="0" collapsed="false">
      <c r="A40" s="15" t="s">
        <v>110</v>
      </c>
      <c r="B40" s="16" t="n">
        <f aca="false">Günlük!A265</f>
        <v>46286</v>
      </c>
      <c r="C40" s="16" t="n">
        <f aca="false">Günlük!A271</f>
        <v>46292</v>
      </c>
      <c r="D40" s="15" t="n">
        <v>7</v>
      </c>
      <c r="E40" s="17" t="n">
        <f aca="false">Günlük!H271/Günlük!H264-1</f>
        <v>-0.0804923287010079</v>
      </c>
      <c r="F40" s="17" t="n">
        <f aca="false">Günlük!I271/Günlük!I264-1</f>
        <v>-0.0527051017756939</v>
      </c>
      <c r="G40" s="17" t="n">
        <f aca="false">Günlük!J271/Günlük!J264-1</f>
        <v>-0.0517882651642372</v>
      </c>
      <c r="H40" s="17" t="n">
        <f aca="false">Günlük!K271/Günlük!K264-1</f>
        <v>-0.0542544340388197</v>
      </c>
      <c r="I40" s="17" t="n">
        <f aca="false">Günlük!L271/Günlük!L264-1</f>
        <v>-0.0600650435129611</v>
      </c>
      <c r="J40" s="18" t="n">
        <f aca="false">Günlük!H271-Günlük!H264</f>
        <v>-670.353177280463</v>
      </c>
      <c r="K40" s="18" t="n">
        <f aca="false">Günlük!I271-Günlük!I264</f>
        <v>-509.5464379472</v>
      </c>
      <c r="L40" s="18" t="n">
        <f aca="false">Günlük!J271-Günlük!J264</f>
        <v>-469.534264300451</v>
      </c>
      <c r="M40" s="18" t="n">
        <f aca="false">Günlük!K271-Günlük!K264</f>
        <v>-352.326913082006</v>
      </c>
      <c r="N40" s="18" t="n">
        <f aca="false">Günlük!L271-Günlük!L264</f>
        <v>-613.27977534582</v>
      </c>
      <c r="O40" s="7" t="n">
        <f aca="false">Günlük!H271</f>
        <v>7657.8091221421</v>
      </c>
      <c r="P40" s="7" t="n">
        <f aca="false">Günlük!I271</f>
        <v>9158.33049957895</v>
      </c>
      <c r="Q40" s="7" t="n">
        <f aca="false">Günlük!J271</f>
        <v>8596.88769077774</v>
      </c>
      <c r="R40" s="7" t="n">
        <f aca="false">Günlük!K271</f>
        <v>6141.64762234329</v>
      </c>
      <c r="S40" s="7" t="n">
        <f aca="false">Günlük!L271</f>
        <v>9596.981292949</v>
      </c>
    </row>
    <row r="41" customFormat="false" ht="15" hidden="false" customHeight="false" outlineLevel="0" collapsed="false">
      <c r="A41" s="15" t="s">
        <v>111</v>
      </c>
      <c r="B41" s="16" t="n">
        <f aca="false">Günlük!A272</f>
        <v>46293</v>
      </c>
      <c r="C41" s="16" t="n">
        <f aca="false">Günlük!A274</f>
        <v>46295</v>
      </c>
      <c r="D41" s="15" t="n">
        <v>3</v>
      </c>
      <c r="E41" s="17" t="n">
        <f aca="false">Günlük!H274/Günlük!H271-1</f>
        <v>0.00273055964448909</v>
      </c>
      <c r="F41" s="17" t="n">
        <f aca="false">Günlük!I274/Günlük!I271-1</f>
        <v>0.0133620489444803</v>
      </c>
      <c r="G41" s="17" t="n">
        <f aca="false">Günlük!J274/Günlük!J271-1</f>
        <v>0.0133620075820702</v>
      </c>
      <c r="H41" s="17" t="n">
        <f aca="false">Günlük!K274/Günlük!K271-1</f>
        <v>0.0213003629777782</v>
      </c>
      <c r="I41" s="17" t="n">
        <f aca="false">Günlük!L274/Günlük!L271-1</f>
        <v>0.0235546535342852</v>
      </c>
      <c r="J41" s="18" t="n">
        <f aca="false">Günlük!H274-Günlük!H271</f>
        <v>20.910104554122</v>
      </c>
      <c r="K41" s="18" t="n">
        <f aca="false">Günlük!I274-Günlük!I271</f>
        <v>122.374060385102</v>
      </c>
      <c r="L41" s="18" t="n">
        <f aca="false">Günlük!J274-Günlük!J271</f>
        <v>114.871678506379</v>
      </c>
      <c r="M41" s="18" t="n">
        <f aca="false">Günlük!K274-Günlük!K271</f>
        <v>130.81932363752</v>
      </c>
      <c r="N41" s="18" t="n">
        <f aca="false">Günlük!L274-Günlük!L271</f>
        <v>226.05356933043</v>
      </c>
      <c r="O41" s="7" t="n">
        <f aca="false">Günlük!H274</f>
        <v>7678.71922669622</v>
      </c>
      <c r="P41" s="7" t="n">
        <f aca="false">Günlük!I274</f>
        <v>9280.70455996405</v>
      </c>
      <c r="Q41" s="7" t="n">
        <f aca="false">Günlük!J274</f>
        <v>8711.75936928412</v>
      </c>
      <c r="R41" s="7" t="n">
        <f aca="false">Günlük!K274</f>
        <v>6272.46694598081</v>
      </c>
      <c r="S41" s="7" t="n">
        <f aca="false">Günlük!L274</f>
        <v>9823.03486227943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9" min="2" style="0" width="14"/>
  </cols>
  <sheetData>
    <row r="1" customFormat="false" ht="31.5" hidden="false" customHeight="true" outlineLevel="0" collapsed="false">
      <c r="A1" s="6" t="s">
        <v>112</v>
      </c>
      <c r="B1" s="6" t="s">
        <v>55</v>
      </c>
      <c r="C1" s="6" t="s">
        <v>56</v>
      </c>
      <c r="D1" s="6" t="s">
        <v>31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</row>
    <row r="2" customFormat="false" ht="15" hidden="false" customHeight="false" outlineLevel="0" collapsed="false">
      <c r="A2" s="15" t="s">
        <v>113</v>
      </c>
      <c r="B2" s="16" t="n">
        <f aca="false">Günlük!A2</f>
        <v>46023</v>
      </c>
      <c r="C2" s="16" t="n">
        <f aca="false">Günlük!A32</f>
        <v>46053</v>
      </c>
      <c r="D2" s="15" t="n">
        <v>31</v>
      </c>
      <c r="E2" s="17" t="n">
        <f aca="false">Günlük!H32/Varsayımlar!$B$3-1</f>
        <v>0.411418483217571</v>
      </c>
      <c r="F2" s="17" t="n">
        <f aca="false">Günlük!I32/Varsayımlar!$B$3-1</f>
        <v>0.429017362317225</v>
      </c>
      <c r="G2" s="17" t="n">
        <f aca="false">Günlük!J32/Varsayımlar!$B$3-1</f>
        <v>0.409312618472326</v>
      </c>
      <c r="H2" s="17" t="n">
        <f aca="false">Günlük!K32/Varsayımlar!$B$3-1</f>
        <v>0.383270348356357</v>
      </c>
      <c r="I2" s="17" t="n">
        <f aca="false">Günlük!L32/Varsayımlar!$B$3-1</f>
        <v>0.409100397488826</v>
      </c>
      <c r="J2" s="18" t="n">
        <f aca="false">Günlük!H32-Varsayımlar!$B$3</f>
        <v>822.836966435142</v>
      </c>
      <c r="K2" s="18" t="n">
        <f aca="false">Günlük!I32-Varsayımlar!$B$3</f>
        <v>858.03472463445</v>
      </c>
      <c r="L2" s="18" t="n">
        <f aca="false">Günlük!J32-Varsayımlar!$B$3</f>
        <v>818.625236944652</v>
      </c>
      <c r="M2" s="18" t="n">
        <f aca="false">Günlük!K32-Varsayımlar!$B$3</f>
        <v>766.540696712715</v>
      </c>
      <c r="N2" s="18" t="n">
        <f aca="false">Günlük!L32-Varsayımlar!$B$3</f>
        <v>818.200794977653</v>
      </c>
      <c r="O2" s="7" t="n">
        <f aca="false">Günlük!H32</f>
        <v>2822.83696643514</v>
      </c>
      <c r="P2" s="7" t="n">
        <f aca="false">Günlük!I32</f>
        <v>2858.03472463445</v>
      </c>
      <c r="Q2" s="7" t="n">
        <f aca="false">Günlük!J32</f>
        <v>2818.62523694465</v>
      </c>
      <c r="R2" s="7" t="n">
        <f aca="false">Günlük!K32</f>
        <v>2766.54069671271</v>
      </c>
      <c r="S2" s="7" t="n">
        <f aca="false">Günlük!L32</f>
        <v>2818.20079497765</v>
      </c>
    </row>
    <row r="3" customFormat="false" ht="15" hidden="false" customHeight="false" outlineLevel="0" collapsed="false">
      <c r="A3" s="15" t="s">
        <v>114</v>
      </c>
      <c r="B3" s="16" t="n">
        <f aca="false">Günlük!A33</f>
        <v>46054</v>
      </c>
      <c r="C3" s="16" t="n">
        <f aca="false">Günlük!A60</f>
        <v>46081</v>
      </c>
      <c r="D3" s="15" t="n">
        <v>28</v>
      </c>
      <c r="E3" s="17" t="n">
        <f aca="false">Günlük!H60/Günlük!H32-1</f>
        <v>0.170581146025157</v>
      </c>
      <c r="F3" s="17" t="n">
        <f aca="false">Günlük!I60/Günlük!I32-1</f>
        <v>0.210828409111136</v>
      </c>
      <c r="G3" s="17" t="n">
        <f aca="false">Günlük!J60/Günlük!J32-1</f>
        <v>0.201911337541937</v>
      </c>
      <c r="H3" s="17" t="n">
        <f aca="false">Günlük!K60/Günlük!K32-1</f>
        <v>0.161241900431529</v>
      </c>
      <c r="I3" s="17" t="n">
        <f aca="false">Günlük!L60/Günlük!L32-1</f>
        <v>0.198909910638394</v>
      </c>
      <c r="J3" s="18" t="n">
        <f aca="false">Günlük!H60-Günlük!H32</f>
        <v>481.522764776684</v>
      </c>
      <c r="K3" s="18" t="n">
        <f aca="false">Günlük!I60-Günlük!I32</f>
        <v>602.554914179064</v>
      </c>
      <c r="L3" s="18" t="n">
        <f aca="false">Günlük!J60-Günlük!J32</f>
        <v>569.112391620954</v>
      </c>
      <c r="M3" s="18" t="n">
        <f aca="false">Günlük!K60-Günlük!K32</f>
        <v>446.082279559125</v>
      </c>
      <c r="N3" s="18" t="n">
        <f aca="false">Günlük!L60-Günlük!L32</f>
        <v>560.568068290057</v>
      </c>
      <c r="O3" s="7" t="n">
        <f aca="false">Günlük!H60</f>
        <v>3304.35973121183</v>
      </c>
      <c r="P3" s="7" t="n">
        <f aca="false">Günlük!I60</f>
        <v>3460.58963881351</v>
      </c>
      <c r="Q3" s="7" t="n">
        <f aca="false">Günlük!J60</f>
        <v>3387.73762856561</v>
      </c>
      <c r="R3" s="7" t="n">
        <f aca="false">Günlük!K60</f>
        <v>3212.62297627184</v>
      </c>
      <c r="S3" s="7" t="n">
        <f aca="false">Günlük!L60</f>
        <v>3378.76886326771</v>
      </c>
    </row>
    <row r="4" customFormat="false" ht="15" hidden="false" customHeight="false" outlineLevel="0" collapsed="false">
      <c r="A4" s="15" t="s">
        <v>115</v>
      </c>
      <c r="B4" s="16" t="n">
        <f aca="false">Günlük!A61</f>
        <v>46082</v>
      </c>
      <c r="C4" s="16" t="n">
        <f aca="false">Günlük!A91</f>
        <v>46112</v>
      </c>
      <c r="D4" s="15" t="n">
        <v>31</v>
      </c>
      <c r="E4" s="17" t="n">
        <f aca="false">Günlük!H91/Günlük!H60-1</f>
        <v>0.115653389967577</v>
      </c>
      <c r="F4" s="17" t="n">
        <f aca="false">Günlük!I91/Günlük!I60-1</f>
        <v>0.0903775459323353</v>
      </c>
      <c r="G4" s="17" t="n">
        <f aca="false">Günlük!J91/Günlük!J60-1</f>
        <v>0.117776454995677</v>
      </c>
      <c r="H4" s="17" t="n">
        <f aca="false">Günlük!K91/Günlük!K60-1</f>
        <v>0.0874453949617347</v>
      </c>
      <c r="I4" s="17" t="n">
        <f aca="false">Günlük!L91/Günlük!L60-1</f>
        <v>0.100201731218582</v>
      </c>
      <c r="J4" s="18" t="n">
        <f aca="false">Günlük!H91-Günlük!H60</f>
        <v>382.160404586998</v>
      </c>
      <c r="K4" s="18" t="n">
        <f aca="false">Günlük!I91-Günlük!I60</f>
        <v>312.759599034832</v>
      </c>
      <c r="L4" s="18" t="n">
        <f aca="false">Günlük!J91-Günlük!J60</f>
        <v>398.995728347918</v>
      </c>
      <c r="M4" s="18" t="n">
        <f aca="false">Günlük!K91-Günlük!K60</f>
        <v>280.929085023234</v>
      </c>
      <c r="N4" s="18" t="n">
        <f aca="false">Günlük!L91-Günlük!L60</f>
        <v>338.558489486864</v>
      </c>
      <c r="O4" s="7" t="n">
        <f aca="false">Günlük!H91</f>
        <v>3686.52013579882</v>
      </c>
      <c r="P4" s="7" t="n">
        <f aca="false">Günlük!I91</f>
        <v>3773.34923784835</v>
      </c>
      <c r="Q4" s="7" t="n">
        <f aca="false">Günlük!J91</f>
        <v>3786.73335691352</v>
      </c>
      <c r="R4" s="7" t="n">
        <f aca="false">Günlük!K91</f>
        <v>3493.55206129507</v>
      </c>
      <c r="S4" s="7" t="n">
        <f aca="false">Günlük!L91</f>
        <v>3717.32735275457</v>
      </c>
    </row>
    <row r="5" customFormat="false" ht="15" hidden="false" customHeight="false" outlineLevel="0" collapsed="false">
      <c r="A5" s="15" t="s">
        <v>116</v>
      </c>
      <c r="B5" s="16" t="n">
        <f aca="false">Günlük!A92</f>
        <v>46113</v>
      </c>
      <c r="C5" s="16" t="n">
        <f aca="false">Günlük!A121</f>
        <v>46142</v>
      </c>
      <c r="D5" s="15" t="n">
        <v>30</v>
      </c>
      <c r="E5" s="17" t="n">
        <f aca="false">Günlük!H121/Günlük!H91-1</f>
        <v>0.257539160330818</v>
      </c>
      <c r="F5" s="17" t="n">
        <f aca="false">Günlük!I121/Günlük!I91-1</f>
        <v>0.411768358632417</v>
      </c>
      <c r="G5" s="17" t="n">
        <f aca="false">Günlük!J121/Günlük!J91-1</f>
        <v>0.339689323368205</v>
      </c>
      <c r="H5" s="17" t="n">
        <f aca="false">Günlük!K121/Günlük!K91-1</f>
        <v>0.235207729251502</v>
      </c>
      <c r="I5" s="17" t="n">
        <f aca="false">Günlük!L121/Günlük!L91-1</f>
        <v>0.355613580366093</v>
      </c>
      <c r="J5" s="18" t="n">
        <f aca="false">Günlük!H121-Günlük!H91</f>
        <v>949.423300316281</v>
      </c>
      <c r="K5" s="18" t="n">
        <f aca="false">Günlük!I121-Günlük!I91</f>
        <v>1553.74582221569</v>
      </c>
      <c r="L5" s="18" t="n">
        <f aca="false">Günlük!J121-Günlük!J91</f>
        <v>1286.31289178576</v>
      </c>
      <c r="M5" s="18" t="n">
        <f aca="false">Günlük!K121-Günlük!K91</f>
        <v>821.710447359117</v>
      </c>
      <c r="N5" s="18" t="n">
        <f aca="false">Günlük!L121-Günlük!L91</f>
        <v>1321.93208930586</v>
      </c>
      <c r="O5" s="7" t="n">
        <f aca="false">Günlük!H121</f>
        <v>4635.9434361151</v>
      </c>
      <c r="P5" s="7" t="n">
        <f aca="false">Günlük!I121</f>
        <v>5327.09506006404</v>
      </c>
      <c r="Q5" s="7" t="n">
        <f aca="false">Günlük!J121</f>
        <v>5073.04624869929</v>
      </c>
      <c r="R5" s="7" t="n">
        <f aca="false">Günlük!K121</f>
        <v>4315.26250865419</v>
      </c>
      <c r="S5" s="7" t="n">
        <f aca="false">Günlük!L121</f>
        <v>5039.25944206044</v>
      </c>
    </row>
    <row r="6" customFormat="false" ht="15" hidden="false" customHeight="false" outlineLevel="0" collapsed="false">
      <c r="A6" s="15" t="s">
        <v>117</v>
      </c>
      <c r="B6" s="16" t="n">
        <f aca="false">Günlük!A122</f>
        <v>46143</v>
      </c>
      <c r="C6" s="16" t="n">
        <f aca="false">Günlük!A152</f>
        <v>46173</v>
      </c>
      <c r="D6" s="15" t="n">
        <v>31</v>
      </c>
      <c r="E6" s="17" t="n">
        <f aca="false">Günlük!H152/Günlük!H121-1</f>
        <v>0.184070898849876</v>
      </c>
      <c r="F6" s="17" t="n">
        <f aca="false">Günlük!I152/Günlük!I121-1</f>
        <v>0.168461094387127</v>
      </c>
      <c r="G6" s="17" t="n">
        <f aca="false">Günlük!J152/Günlük!J121-1</f>
        <v>0.171573652509272</v>
      </c>
      <c r="H6" s="17" t="n">
        <f aca="false">Günlük!K152/Günlük!K121-1</f>
        <v>0.112309818796055</v>
      </c>
      <c r="I6" s="17" t="n">
        <f aca="false">Günlük!L152/Günlük!L121-1</f>
        <v>0.173903276951456</v>
      </c>
      <c r="J6" s="18" t="n">
        <f aca="false">Günlük!H152-Günlük!H121</f>
        <v>853.342275302892</v>
      </c>
      <c r="K6" s="18" t="n">
        <f aca="false">Günlük!I152-Günlük!I121</f>
        <v>897.408263722648</v>
      </c>
      <c r="L6" s="18" t="n">
        <f aca="false">Günlük!J152-Günlük!J121</f>
        <v>870.4010742378</v>
      </c>
      <c r="M6" s="18" t="n">
        <f aca="false">Günlük!K152-Günlük!K121</f>
        <v>484.646350404362</v>
      </c>
      <c r="N6" s="18" t="n">
        <f aca="false">Günlük!L152-Günlük!L121</f>
        <v>876.343730382875</v>
      </c>
      <c r="O6" s="7" t="n">
        <f aca="false">Günlük!H152</f>
        <v>5489.285711418</v>
      </c>
      <c r="P6" s="7" t="n">
        <f aca="false">Günlük!I152</f>
        <v>6224.50332378669</v>
      </c>
      <c r="Q6" s="7" t="n">
        <f aca="false">Günlük!J152</f>
        <v>5943.44732293709</v>
      </c>
      <c r="R6" s="7" t="n">
        <f aca="false">Günlük!K152</f>
        <v>4799.90885905855</v>
      </c>
      <c r="S6" s="7" t="n">
        <f aca="false">Günlük!L152</f>
        <v>5915.60317244331</v>
      </c>
    </row>
    <row r="7" customFormat="false" ht="15" hidden="false" customHeight="false" outlineLevel="0" collapsed="false">
      <c r="A7" s="15" t="s">
        <v>118</v>
      </c>
      <c r="B7" s="16" t="n">
        <f aca="false">Günlük!A153</f>
        <v>46174</v>
      </c>
      <c r="C7" s="16" t="n">
        <f aca="false">Günlük!A182</f>
        <v>46203</v>
      </c>
      <c r="D7" s="15" t="n">
        <v>30</v>
      </c>
      <c r="E7" s="17" t="n">
        <f aca="false">Günlük!H182/Günlük!H152-1</f>
        <v>0.189423942241417</v>
      </c>
      <c r="F7" s="17" t="n">
        <f aca="false">Günlük!I182/Günlük!I152-1</f>
        <v>0.236582916843953</v>
      </c>
      <c r="G7" s="17" t="n">
        <f aca="false">Günlük!J182/Günlük!J152-1</f>
        <v>0.212693264721515</v>
      </c>
      <c r="H7" s="17" t="n">
        <f aca="false">Günlük!K182/Günlük!K152-1</f>
        <v>0.174874638507089</v>
      </c>
      <c r="I7" s="17" t="n">
        <f aca="false">Günlük!L182/Günlük!L152-1</f>
        <v>0.311569777184283</v>
      </c>
      <c r="J7" s="18" t="n">
        <f aca="false">Günlük!H182-Günlük!H152</f>
        <v>1039.80213954628</v>
      </c>
      <c r="K7" s="18" t="n">
        <f aca="false">Günlük!I182-Günlük!I152</f>
        <v>1472.61115224633</v>
      </c>
      <c r="L7" s="18" t="n">
        <f aca="false">Günlük!J182-Günlük!J152</f>
        <v>1264.13121481583</v>
      </c>
      <c r="M7" s="18" t="n">
        <f aca="false">Günlük!K182-Günlük!K152</f>
        <v>839.382326594837</v>
      </c>
      <c r="N7" s="18" t="n">
        <f aca="false">Günlük!L182-Günlük!L152</f>
        <v>1843.1231623488</v>
      </c>
      <c r="O7" s="7" t="n">
        <f aca="false">Günlük!H182</f>
        <v>6529.08785096427</v>
      </c>
      <c r="P7" s="7" t="n">
        <f aca="false">Günlük!I182</f>
        <v>7697.11447603302</v>
      </c>
      <c r="Q7" s="7" t="n">
        <f aca="false">Günlük!J182</f>
        <v>7207.57853775292</v>
      </c>
      <c r="R7" s="7" t="n">
        <f aca="false">Günlük!K182</f>
        <v>5639.29118565339</v>
      </c>
      <c r="S7" s="7" t="n">
        <f aca="false">Günlük!L182</f>
        <v>7758.72633479212</v>
      </c>
    </row>
    <row r="8" customFormat="false" ht="15" hidden="false" customHeight="false" outlineLevel="0" collapsed="false">
      <c r="A8" s="15" t="s">
        <v>119</v>
      </c>
      <c r="B8" s="16" t="n">
        <f aca="false">Günlük!A183</f>
        <v>46204</v>
      </c>
      <c r="C8" s="16" t="n">
        <f aca="false">Günlük!A213</f>
        <v>46234</v>
      </c>
      <c r="D8" s="15" t="n">
        <v>31</v>
      </c>
      <c r="E8" s="17" t="n">
        <f aca="false">Günlük!H213/Günlük!H182-1</f>
        <v>0.0281902099870086</v>
      </c>
      <c r="F8" s="17" t="n">
        <f aca="false">Günlük!I213/Günlük!I182-1</f>
        <v>0.00906660831386574</v>
      </c>
      <c r="G8" s="17" t="n">
        <f aca="false">Günlük!J213/Günlük!J182-1</f>
        <v>0.0213483637574927</v>
      </c>
      <c r="H8" s="17" t="n">
        <f aca="false">Günlük!K213/Günlük!K182-1</f>
        <v>-0.0267342060325382</v>
      </c>
      <c r="I8" s="17" t="n">
        <f aca="false">Günlük!L213/Günlük!L182-1</f>
        <v>0.0162078596517821</v>
      </c>
      <c r="J8" s="18" t="n">
        <f aca="false">Günlük!H213-Günlük!H182</f>
        <v>184.056357542309</v>
      </c>
      <c r="K8" s="18" t="n">
        <f aca="false">Günlük!I213-Günlük!I182</f>
        <v>69.7867221011775</v>
      </c>
      <c r="L8" s="18" t="n">
        <f aca="false">Günlük!J213-Günlük!J182</f>
        <v>153.870008434647</v>
      </c>
      <c r="M8" s="18" t="n">
        <f aca="false">Günlük!K213-Günlük!K182</f>
        <v>-150.761972434734</v>
      </c>
      <c r="N8" s="18" t="n">
        <f aca="false">Günlük!L213-Günlük!L182</f>
        <v>125.752347510896</v>
      </c>
      <c r="O8" s="7" t="n">
        <f aca="false">Günlük!H213</f>
        <v>6713.14420850658</v>
      </c>
      <c r="P8" s="7" t="n">
        <f aca="false">Günlük!I213</f>
        <v>7766.9011981342</v>
      </c>
      <c r="Q8" s="7" t="n">
        <f aca="false">Günlük!J213</f>
        <v>7361.44854618757</v>
      </c>
      <c r="R8" s="7" t="n">
        <f aca="false">Günlük!K213</f>
        <v>5488.52921321866</v>
      </c>
      <c r="S8" s="7" t="n">
        <f aca="false">Günlük!L213</f>
        <v>7884.47868230301</v>
      </c>
    </row>
    <row r="9" customFormat="false" ht="15" hidden="false" customHeight="false" outlineLevel="0" collapsed="false">
      <c r="A9" s="15" t="s">
        <v>120</v>
      </c>
      <c r="B9" s="16" t="n">
        <f aca="false">Günlük!A214</f>
        <v>46235</v>
      </c>
      <c r="C9" s="16" t="n">
        <f aca="false">Günlük!A244</f>
        <v>46265</v>
      </c>
      <c r="D9" s="15" t="n">
        <v>31</v>
      </c>
      <c r="E9" s="17" t="n">
        <f aca="false">Günlük!H244/Günlük!H213-1</f>
        <v>0.0940740893499257</v>
      </c>
      <c r="F9" s="17" t="n">
        <f aca="false">Günlük!I244/Günlük!I213-1</f>
        <v>0.102738692771345</v>
      </c>
      <c r="G9" s="17" t="n">
        <f aca="false">Günlük!J244/Günlük!J213-1</f>
        <v>0.0924249980896335</v>
      </c>
      <c r="H9" s="17" t="n">
        <f aca="false">Günlük!K244/Günlük!K213-1</f>
        <v>0.0899091100688465</v>
      </c>
      <c r="I9" s="17" t="n">
        <f aca="false">Günlük!L244/Günlük!L213-1</f>
        <v>0.115709857182065</v>
      </c>
      <c r="J9" s="18" t="n">
        <f aca="false">Günlük!H244-Günlük!H213</f>
        <v>631.532928089984</v>
      </c>
      <c r="K9" s="18" t="n">
        <f aca="false">Günlük!I244-Günlük!I213</f>
        <v>797.961275980502</v>
      </c>
      <c r="L9" s="18" t="n">
        <f aca="false">Günlük!J244-Günlük!J213</f>
        <v>680.381867818322</v>
      </c>
      <c r="M9" s="18" t="n">
        <f aca="false">Günlük!K244-Günlük!K213</f>
        <v>493.468777147355</v>
      </c>
      <c r="N9" s="18" t="n">
        <f aca="false">Günlük!L244-Günlük!L213</f>
        <v>912.311902284315</v>
      </c>
      <c r="O9" s="7" t="n">
        <f aca="false">Günlük!H244</f>
        <v>7344.67713659657</v>
      </c>
      <c r="P9" s="7" t="n">
        <f aca="false">Günlük!I244</f>
        <v>8564.8624741147</v>
      </c>
      <c r="Q9" s="7" t="n">
        <f aca="false">Günlük!J244</f>
        <v>8041.83041400589</v>
      </c>
      <c r="R9" s="7" t="n">
        <f aca="false">Günlük!K244</f>
        <v>5981.99799036601</v>
      </c>
      <c r="S9" s="7" t="n">
        <f aca="false">Günlük!L244</f>
        <v>8796.79058458733</v>
      </c>
    </row>
    <row r="10" customFormat="false" ht="15" hidden="false" customHeight="false" outlineLevel="0" collapsed="false">
      <c r="A10" s="15" t="s">
        <v>121</v>
      </c>
      <c r="B10" s="16" t="n">
        <f aca="false">Günlük!A245</f>
        <v>46266</v>
      </c>
      <c r="C10" s="16" t="n">
        <f aca="false">Günlük!A274</f>
        <v>46295</v>
      </c>
      <c r="D10" s="15" t="n">
        <v>30</v>
      </c>
      <c r="E10" s="17" t="n">
        <f aca="false">Günlük!H274/Günlük!H244-1</f>
        <v>0.045480840598862</v>
      </c>
      <c r="F10" s="17" t="n">
        <f aca="false">Günlük!I274/Günlük!I244-1</f>
        <v>0.0835789352149918</v>
      </c>
      <c r="G10" s="17" t="n">
        <f aca="false">Günlük!J274/Günlük!J244-1</f>
        <v>0.0833055313018618</v>
      </c>
      <c r="H10" s="17" t="n">
        <f aca="false">Günlük!K274/Günlük!K244-1</f>
        <v>0.0485571804073814</v>
      </c>
      <c r="I10" s="17" t="n">
        <f aca="false">Günlük!L274/Günlük!L244-1</f>
        <v>0.116661214999271</v>
      </c>
      <c r="J10" s="18" t="n">
        <f aca="false">Günlük!H274-Günlük!H244</f>
        <v>334.042090099654</v>
      </c>
      <c r="K10" s="18" t="n">
        <f aca="false">Günlük!I274-Günlük!I244</f>
        <v>715.842085849348</v>
      </c>
      <c r="L10" s="18" t="n">
        <f aca="false">Günlük!J274-Günlük!J244</f>
        <v>669.928955278232</v>
      </c>
      <c r="M10" s="18" t="n">
        <f aca="false">Günlük!K274-Günlük!K244</f>
        <v>290.468955614795</v>
      </c>
      <c r="N10" s="18" t="n">
        <f aca="false">Günlük!L274-Günlük!L244</f>
        <v>1026.2442776921</v>
      </c>
      <c r="O10" s="7" t="n">
        <f aca="false">Günlük!H274</f>
        <v>7678.71922669622</v>
      </c>
      <c r="P10" s="7" t="n">
        <f aca="false">Günlük!I274</f>
        <v>9280.70455996405</v>
      </c>
      <c r="Q10" s="7" t="n">
        <f aca="false">Günlük!J274</f>
        <v>8711.75936928412</v>
      </c>
      <c r="R10" s="7" t="n">
        <f aca="false">Günlük!K274</f>
        <v>6272.46694598081</v>
      </c>
      <c r="S10" s="7" t="n">
        <f aca="false">Günlük!L274</f>
        <v>9823.03486227943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2026-10-27T20:37:57Z</dcterms:created>
  <dc:creator>openpyxl</dc:creator>
  <dc:description/>
  <dc:language>en-US</dc:language>
  <cp:lastModifiedBy/>
  <dcterms:modified xsi:type="dcterms:W3CDTF">2026-10-27T20:37:58Z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