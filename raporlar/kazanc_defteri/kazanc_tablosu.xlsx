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ıllık" sheetId="1" state="visible" r:id="rId3"/>
    <sheet name="Aylık" sheetId="2" state="visible" r:id="rId4"/>
    <sheet name="Günlük" sheetId="3" state="visible" r:id="rId5"/>
    <sheet name="Varsayıml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<sst xmlns="http://schemas.openxmlformats.org/spreadsheetml/2006/main" count="107" uniqueCount="90">
  <si>
    <t xml:space="preserve">Yıl</t>
  </si>
  <si>
    <t xml:space="preserve">Dönem sonu</t>
  </si>
  <si>
    <t xml:space="preserve">Gün</t>
  </si>
  <si>
    <t xml:space="preserve">Eski bot %</t>
  </si>
  <si>
    <t xml:space="preserve">Eski bot $</t>
  </si>
  <si>
    <t xml:space="preserve">T60 %</t>
  </si>
  <si>
    <t xml:space="preserve">T60 $</t>
  </si>
  <si>
    <t xml:space="preserve">T60 x kaldıraç %</t>
  </si>
  <si>
    <t xml:space="preserve">T60 x kaldıraç $</t>
  </si>
  <si>
    <t xml:space="preserve">Kayıp gün (eski)</t>
  </si>
  <si>
    <t xml:space="preserve">Kayıp gün (T60)</t>
  </si>
  <si>
    <t xml:space="preserve">En kötü gün (T60)</t>
  </si>
  <si>
    <t xml:space="preserve">2022 (20 Tem-Ara)</t>
  </si>
  <si>
    <t xml:space="preserve">2023</t>
  </si>
  <si>
    <t xml:space="preserve">2024</t>
  </si>
  <si>
    <t xml:space="preserve">2025</t>
  </si>
  <si>
    <t xml:space="preserve">2026 (Oca-Eyl)</t>
  </si>
  <si>
    <t xml:space="preserve">Tüm dönem</t>
  </si>
  <si>
    <t xml:space="preserve">Yıllık ortalama (bileşik)</t>
  </si>
  <si>
    <t xml:space="preserve">Not: 2022 ve 2026 tam yıl değil. Bileşik bakiyeler büyük hesaplarda gerçekçi değildir (likidite).</t>
  </si>
  <si>
    <t xml:space="preserve">Ay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</si>
  <si>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</si>
  <si>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</si>
  <si>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</si>
  <si>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</si>
  <si>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</si>
  <si>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</si>
  <si>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</si>
  <si>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</si>
  <si>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</si>
  <si>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</si>
  <si>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</si>
  <si>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</si>
  <si>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</si>
  <si>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</si>
  <si>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</si>
  <si>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</si>
  <si>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</si>
  <si>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</si>
  <si>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</si>
  <si>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</si>
  <si>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</si>
  <si>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</si>
  <si>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</si>
  <si>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</si>
  <si>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</si>
  <si>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</si>
  <si>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</si>
  <si>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</si>
  <si>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</si>
  <si>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</si>
  <si>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</si>
  <si>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</si>
  <si>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</si>
  <si>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</si>
  <si>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</si>
  <si>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</si>
  <si>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</si>
  <si>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</si>
  <si>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</si>
  <si>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</si>
  <si>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</si>
  <si>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</si>
  <si>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</si>
  <si>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</si>
  <si>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</si>
  <si>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</si>
  <si>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</si>
  <si>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</si>
  <si>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</si>
  <si>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</si>
  <si>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</si>
  <si>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Tarih</t>
  </si>
  <si>
    <t xml:space="preserve">Varsayım</t>
  </si>
  <si>
    <t xml:space="preserve">Değer</t>
  </si>
  <si>
    <t xml:space="preserve">Not</t>
  </si>
  <si>
    <t xml:space="preserve">Başlangıç bakiyesi ($)</t>
  </si>
  <si>
    <t xml:space="preserve">Kullanıcının sermayesi (~2.000 $).</t>
  </si>
  <si>
    <t xml:space="preserve">T60 kaldıraç (sağ sütun)</t>
  </si>
  <si>
    <t xml:space="preserve">Değiştirilebilir. 1,25x'te tam dönem düşüş ~ -%25 (madde 437 tablosu).</t>
  </si>
  <si>
    <t xml:space="preserve">Başlangıç tarihi</t>
  </si>
  <si>
    <t xml:space="preserve">Backtest ısınma süresinden sonraki ilk gün.</t>
  </si>
  <si>
    <t xml:space="preserve">Bitiş tarihi</t>
  </si>
  <si>
    <t xml:space="preserve">Veri sonu (Ekim 2026 funding verisi henüz yayınlanmadı).</t>
  </si>
  <si>
    <t xml:space="preserve">KAYNAK: binance-carry-bot backtest motoru (g33.py), gerçekçi ağırlık kayması modeli (madde 419),</t>
  </si>
  <si>
    <t xml:space="preserve">2.000 $ seviyesi (D8 evreni), iki dilim hizasının (FAZ_KAY 0/1) günlük getiri ortalaması.</t>
  </si>
  <si>
    <t xml:space="preserve">Eski bot = madde 442 öncesi ayarlar (hacim 100M, yaş 90, kâr al 0,40). T60 = madde 442 ile botun yeni varsayılanı.</t>
  </si>
  <si>
    <t xml:space="preserve">T60 x kaldıraç sütunu yaklaşıktır: günlük getiri x kaldıraç (teminat maliyeti ve likidasyon modelde yok).</t>
  </si>
  <si>
    <t xml:space="preserve">Bunlar BACKTEST sonuçlarıdır, canlı hesabın gerçek getirisi değildir. Gelecek için garanti değildir.</t>
  </si>
  <si>
    <t xml:space="preserve">Mavi = girilen veri / varsayım; siyah = formül. Sarı hücreler değiştirilebilir.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</si>
</sst>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0%;[RED]\-0.00%;\-"/>
    <numFmt numFmtId="167" formatCode="#,##0&quot; $&quot;;[RED]\-#,##0&quot; $&quot;;\-"/>
    <numFmt numFmtId="168" formatCode="0.0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1" min="10" style="0" width="11"/>
    <col collapsed="false" customWidth="true" hidden="false" outlineLevel="0" max="12" min="12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n">
        <v>44926</v>
      </c>
      <c r="C2" s="2" t="n">
        <f aca="false">COUNTIFS(Günlük!$A$2:$A$1535,"&gt;="&amp;DATE(2022,7,20),Günlük!$A$2:$A$1535,"&lt;="&amp;B2)</f>
        <v>165</v>
      </c>
      <c r="D2" s="4" t="n">
        <f aca="false">E2/Varsayımlar!$B$2-1</f>
        <v>0.0837696356544062</v>
      </c>
      <c r="E2" s="5" t="n">
        <f aca="false">INDEX(Günlük!$C$2:$C$1535,MATCH(B2,Günlük!$A$2:$A$1535,1))</f>
        <v>2167.53927130881</v>
      </c>
      <c r="F2" s="4" t="n">
        <f aca="false">G2/Varsayımlar!$B$2-1</f>
        <v>0.0865643518502135</v>
      </c>
      <c r="G2" s="5" t="n">
        <f aca="false">INDEX(Günlük!$E$2:$E$1535,MATCH(B2,Günlük!$A$2:$A$1535,1))</f>
        <v>2173.12870370043</v>
      </c>
      <c r="H2" s="4" t="n">
        <f aca="false">I2/Varsayımlar!$B$2-1</f>
        <v>0.100443840190503</v>
      </c>
      <c r="I2" s="5" t="n">
        <f aca="false">INDEX(Günlük!$G$2:$G$1535,MATCH(B2,Günlük!$A$2:$A$1535,1))</f>
        <v>2200.88768038101</v>
      </c>
      <c r="J2" s="2" t="n">
        <f aca="false">COUNTIFS(Günlük!$A$2:$A$1535,"&gt;="&amp;DATE(2022,7,20),Günlük!$A$2:$A$1535,"&lt;="&amp;B2,Günlük!$B$2:$B$1535,"&lt;0")</f>
        <v>78</v>
      </c>
      <c r="K2" s="2" t="n">
        <f aca="false">COUNTIFS(Günlük!$A$2:$A$1535,"&gt;="&amp;DATE(2022,7,20),Günlük!$A$2:$A$1535,"&lt;="&amp;B2,Günlük!$D$2:$D$1535,"&lt;0")</f>
        <v>83</v>
      </c>
      <c r="L2" s="4" t="n">
        <f aca="false">_xlfn.MINIFS(Günlük!$D$2:$D$1535,Günlük!$A$2:$A$1535,"&gt;="&amp;DATE(2022,7,20),Günlük!$A$2:$A$1535,"&lt;="&amp;B2)</f>
        <v>-0.08628006</v>
      </c>
    </row>
    <row r="3" customFormat="false" ht="15" hidden="false" customHeight="false" outlineLevel="0" collapsed="false">
      <c r="A3" s="2" t="s">
        <v>13</v>
      </c>
      <c r="B3" s="3" t="n">
        <v>45291</v>
      </c>
      <c r="C3" s="2" t="n">
        <f aca="false">COUNTIFS(Günlük!$A$2:$A$1535,"&gt;="&amp;DATE(2023,1,1),Günlük!$A$2:$A$1535,"&lt;="&amp;B3)</f>
        <v>365</v>
      </c>
      <c r="D3" s="4" t="n">
        <f aca="false">E3/E2-1</f>
        <v>2.00517885254731</v>
      </c>
      <c r="E3" s="5" t="n">
        <f aca="false">INDEX(Günlük!$C$2:$C$1535,MATCH(B3,Günlük!$A$2:$A$1535,1))</f>
        <v>6513.84318020305</v>
      </c>
      <c r="F3" s="4" t="n">
        <f aca="false">G3/G2-1</f>
        <v>3.08216980311647</v>
      </c>
      <c r="G3" s="5" t="n">
        <f aca="false">INDEX(Günlük!$E$2:$E$1535,MATCH(B3,Günlük!$A$2:$A$1535,1))</f>
        <v>8871.08037253152</v>
      </c>
      <c r="H3" s="4" t="n">
        <f aca="false">I3/I2-1</f>
        <v>4.69739863656992</v>
      </c>
      <c r="I3" s="5" t="n">
        <f aca="false">INDEX(Günlük!$G$2:$G$1535,MATCH(B3,Günlük!$A$2:$A$1535,1))</f>
        <v>12539.3344694463</v>
      </c>
      <c r="J3" s="2" t="n">
        <f aca="false">COUNTIFS(Günlük!$A$2:$A$1535,"&gt;="&amp;DATE(2023,1,1),Günlük!$A$2:$A$1535,"&lt;="&amp;B3,Günlük!$B$2:$B$1535,"&lt;0")</f>
        <v>164</v>
      </c>
      <c r="K3" s="2" t="n">
        <f aca="false">COUNTIFS(Günlük!$A$2:$A$1535,"&gt;="&amp;DATE(2023,1,1),Günlük!$A$2:$A$1535,"&lt;="&amp;B3,Günlük!$D$2:$D$1535,"&lt;0")</f>
        <v>157</v>
      </c>
      <c r="L3" s="4" t="n">
        <f aca="false">_xlfn.MINIFS(Günlük!$D$2:$D$1535,Günlük!$A$2:$A$1535,"&gt;="&amp;DATE(2023,1,1),Günlük!$A$2:$A$1535,"&lt;="&amp;B3)</f>
        <v>-0.04343677</v>
      </c>
    </row>
    <row r="4" customFormat="false" ht="15" hidden="false" customHeight="false" outlineLevel="0" collapsed="false">
      <c r="A4" s="2" t="s">
        <v>14</v>
      </c>
      <c r="B4" s="3" t="n">
        <v>45657</v>
      </c>
      <c r="C4" s="2" t="n">
        <f aca="false">COUNTIFS(Günlük!$A$2:$A$1535,"&gt;="&amp;DATE(2024,1,1),Günlük!$A$2:$A$1535,"&lt;="&amp;B4)</f>
        <v>366</v>
      </c>
      <c r="D4" s="4" t="n">
        <f aca="false">E4/E3-1</f>
        <v>1.00478436041423</v>
      </c>
      <c r="E4" s="5" t="n">
        <f aca="false">INDEX(Günlük!$C$2:$C$1535,MATCH(B4,Günlük!$A$2:$A$1535,1))</f>
        <v>13058.850933862</v>
      </c>
      <c r="F4" s="4" t="n">
        <f aca="false">G4/G3-1</f>
        <v>1.25211919806564</v>
      </c>
      <c r="G4" s="5" t="n">
        <f aca="false">INDEX(Günlük!$E$2:$E$1535,MATCH(B4,Günlük!$A$2:$A$1535,1))</f>
        <v>19978.7304145615</v>
      </c>
      <c r="H4" s="4" t="n">
        <f aca="false">I4/I3-1</f>
        <v>1.71317942469848</v>
      </c>
      <c r="I4" s="5" t="n">
        <f aca="false">INDEX(Günlük!$G$2:$G$1535,MATCH(B4,Günlük!$A$2:$A$1535,1))</f>
        <v>34021.4642819141</v>
      </c>
      <c r="J4" s="2" t="n">
        <f aca="false">COUNTIFS(Günlük!$A$2:$A$1535,"&gt;="&amp;DATE(2024,1,1),Günlük!$A$2:$A$1535,"&lt;="&amp;B4,Günlük!$B$2:$B$1535,"&lt;0")</f>
        <v>169</v>
      </c>
      <c r="K4" s="2" t="n">
        <f aca="false">COUNTIFS(Günlük!$A$2:$A$1535,"&gt;="&amp;DATE(2024,1,1),Günlük!$A$2:$A$1535,"&lt;="&amp;B4,Günlük!$D$2:$D$1535,"&lt;0")</f>
        <v>171</v>
      </c>
      <c r="L4" s="4" t="n">
        <f aca="false">_xlfn.MINIFS(Günlük!$D$2:$D$1535,Günlük!$A$2:$A$1535,"&gt;="&amp;DATE(2024,1,1),Günlük!$A$2:$A$1535,"&lt;="&amp;B4)</f>
        <v>-0.06768454</v>
      </c>
    </row>
    <row r="5" customFormat="false" ht="15" hidden="false" customHeight="false" outlineLevel="0" collapsed="false">
      <c r="A5" s="2" t="s">
        <v>15</v>
      </c>
      <c r="B5" s="3" t="n">
        <v>46022</v>
      </c>
      <c r="C5" s="2" t="n">
        <f aca="false">COUNTIFS(Günlük!$A$2:$A$1535,"&gt;="&amp;DATE(2025,1,1),Günlük!$A$2:$A$1535,"&lt;="&amp;B5)</f>
        <v>365</v>
      </c>
      <c r="D5" s="4" t="n">
        <f aca="false">E5/E4-1</f>
        <v>1.03024508363639</v>
      </c>
      <c r="E5" s="5" t="n">
        <f aca="false">INDEX(Günlük!$C$2:$C$1535,MATCH(B5,Günlük!$A$2:$A$1535,1))</f>
        <v>26512.6679064138</v>
      </c>
      <c r="F5" s="4" t="n">
        <f aca="false">G5/G4-1</f>
        <v>2.52564088085144</v>
      </c>
      <c r="G5" s="5" t="n">
        <f aca="false">INDEX(Günlük!$E$2:$E$1535,MATCH(B5,Günlük!$A$2:$A$1535,1))</f>
        <v>70437.8286970883</v>
      </c>
      <c r="H5" s="4" t="n">
        <f aca="false">I5/I4-1</f>
        <v>3.72112621215322</v>
      </c>
      <c r="I5" s="5" t="n">
        <f aca="false">INDEX(Günlük!$G$2:$G$1535,MATCH(B5,Günlük!$A$2:$A$1535,1))</f>
        <v>160619.626797179</v>
      </c>
      <c r="J5" s="2" t="n">
        <f aca="false">COUNTIFS(Günlük!$A$2:$A$1535,"&gt;="&amp;DATE(2025,1,1),Günlük!$A$2:$A$1535,"&lt;="&amp;B5,Günlük!$B$2:$B$1535,"&lt;0")</f>
        <v>173</v>
      </c>
      <c r="K5" s="2" t="n">
        <f aca="false">COUNTIFS(Günlük!$A$2:$A$1535,"&gt;="&amp;DATE(2025,1,1),Günlük!$A$2:$A$1535,"&lt;="&amp;B5,Günlük!$D$2:$D$1535,"&lt;0")</f>
        <v>162</v>
      </c>
      <c r="L5" s="4" t="n">
        <f aca="false">_xlfn.MINIFS(Günlük!$D$2:$D$1535,Günlük!$A$2:$A$1535,"&gt;="&amp;DATE(2025,1,1),Günlük!$A$2:$A$1535,"&lt;="&amp;B5)</f>
        <v>-0.06580859</v>
      </c>
    </row>
    <row r="6" customFormat="false" ht="15" hidden="false" customHeight="false" outlineLevel="0" collapsed="false">
      <c r="A6" s="2" t="s">
        <v>16</v>
      </c>
      <c r="B6" s="3" t="n">
        <v>46295</v>
      </c>
      <c r="C6" s="2" t="n">
        <f aca="false">COUNTIFS(Günlük!$A$2:$A$1535,"&gt;="&amp;DATE(2026,1,1),Günlük!$A$2:$A$1535,"&lt;="&amp;B6)</f>
        <v>273</v>
      </c>
      <c r="D6" s="4" t="n">
        <f aca="false">E6/E5-1</f>
        <v>1.42482300476143</v>
      </c>
      <c r="E6" s="5" t="n">
        <f aca="false">INDEX(Günlük!$C$2:$C$1535,MATCH(B6,Günlük!$A$2:$A$1535,1))</f>
        <v>64288.5270570721</v>
      </c>
      <c r="F6" s="4" t="n">
        <f aca="false">G6/G5-1</f>
        <v>2.86027740637061</v>
      </c>
      <c r="G6" s="5" t="n">
        <f aca="false">INDEX(Günlük!$E$2:$E$1535,MATCH(B6,Günlük!$A$2:$A$1535,1))</f>
        <v>271909.558673173</v>
      </c>
      <c r="H6" s="4" t="n">
        <f aca="false">I6/I5-1</f>
        <v>4.28813773391846</v>
      </c>
      <c r="I6" s="5" t="n">
        <f aca="false">INDEX(Günlük!$G$2:$G$1535,MATCH(B6,Günlük!$A$2:$A$1535,1))</f>
        <v>849378.709274064</v>
      </c>
      <c r="J6" s="2" t="n">
        <f aca="false">COUNTIFS(Günlük!$A$2:$A$1535,"&gt;="&amp;DATE(2026,1,1),Günlük!$A$2:$A$1535,"&lt;="&amp;B6,Günlük!$B$2:$B$1535,"&lt;0")</f>
        <v>114</v>
      </c>
      <c r="K6" s="2" t="n">
        <f aca="false">COUNTIFS(Günlük!$A$2:$A$1535,"&gt;="&amp;DATE(2026,1,1),Günlük!$A$2:$A$1535,"&lt;="&amp;B6,Günlük!$D$2:$D$1535,"&lt;0")</f>
        <v>109</v>
      </c>
      <c r="L6" s="4" t="n">
        <f aca="false">_xlfn.MINIFS(Günlük!$D$2:$D$1535,Günlük!$A$2:$A$1535,"&gt;="&amp;DATE(2026,1,1),Günlük!$A$2:$A$1535,"&lt;="&amp;B6)</f>
        <v>-0.08608767</v>
      </c>
    </row>
    <row r="8" customFormat="false" ht="15" hidden="false" customHeight="false" outlineLevel="0" collapsed="false">
      <c r="A8" s="6" t="s">
        <v>17</v>
      </c>
      <c r="D8" s="7" t="n">
        <f aca="false">E6/Varsayımlar!$B$2-1</f>
        <v>31.1442635285361</v>
      </c>
      <c r="E8" s="8" t="n">
        <f aca="false">E6</f>
        <v>64288.5270570721</v>
      </c>
      <c r="F8" s="7" t="n">
        <f aca="false">G6/Varsayımlar!$B$2-1</f>
        <v>134.954779336586</v>
      </c>
      <c r="G8" s="8" t="n">
        <f aca="false">G6</f>
        <v>271909.558673173</v>
      </c>
      <c r="H8" s="7" t="n">
        <f aca="false">I6/Varsayımlar!$B$2-1</f>
        <v>423.689354637032</v>
      </c>
      <c r="I8" s="8" t="n">
        <f aca="false">I6</f>
        <v>849378.709274064</v>
      </c>
    </row>
    <row r="9" customFormat="false" ht="15" hidden="false" customHeight="false" outlineLevel="0" collapsed="false">
      <c r="A9" s="6" t="s">
        <v>18</v>
      </c>
      <c r="D9" s="7" t="n">
        <f aca="false">(E6/Varsayımlar!$B$2)^(365.25/COUNT(Günlük!$A$2:$A$1535))-1</f>
        <v>1.28478773052308</v>
      </c>
      <c r="F9" s="7" t="n">
        <f aca="false">(G6/Varsayımlar!$B$2)^(365.25/COUNT(Günlük!$A$2:$A$1535))-1</f>
        <v>2.22082866645943</v>
      </c>
      <c r="H9" s="7" t="n">
        <f aca="false">(I6/Varsayımlar!$B$2)^(365.25/COUNT(Günlük!$A$2:$A$1535))-1</f>
        <v>3.22427006065483</v>
      </c>
    </row>
    <row r="11" customFormat="false" ht="15" hidden="false" customHeight="false" outlineLevel="0" collapsed="false">
      <c r="A11" s="9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1" min="10" style="0" width="11"/>
    <col collapsed="false" customWidth="true" hidden="false" outlineLevel="0" max="12" min="12" style="0" width="13"/>
  </cols>
  <sheetData>
    <row r="1" customFormat="false" ht="26.85" hidden="false" customHeight="false" outlineLevel="0" collapsed="false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21</v>
      </c>
      <c r="B2" s="3" t="n">
        <v>44773</v>
      </c>
      <c r="C2" s="2" t="n">
        <f aca="false">COUNTIFS(Günlük!$A$2:$A$1535,"&gt;="&amp;DATE(2022,7,20),Günlük!$A$2:$A$1535,"&lt;="&amp;B2)</f>
        <v>12</v>
      </c>
      <c r="D2" s="4" t="n">
        <f aca="false">E2/Varsayımlar!$B$2-1</f>
        <v>-0.00356384701604029</v>
      </c>
      <c r="E2" s="5" t="n">
        <f aca="false">INDEX(Günlük!$C$2:$C$1535,MATCH(B2,Günlük!$A$2:$A$1535,1))</f>
        <v>1992.87230596792</v>
      </c>
      <c r="F2" s="4" t="n">
        <f aca="false">G2/Varsayımlar!$B$2-1</f>
        <v>-0.0453900601502975</v>
      </c>
      <c r="G2" s="5" t="n">
        <f aca="false">INDEX(Günlük!$E$2:$E$1535,MATCH(B2,Günlük!$A$2:$A$1535,1))</f>
        <v>1909.21987969941</v>
      </c>
      <c r="H2" s="4" t="n">
        <f aca="false">I2/Varsayımlar!$B$2-1</f>
        <v>-0.0572197552049283</v>
      </c>
      <c r="I2" s="5" t="n">
        <f aca="false">INDEX(Günlük!$G$2:$G$1535,MATCH(B2,Günlük!$A$2:$A$1535,1))</f>
        <v>1885.56048959014</v>
      </c>
      <c r="J2" s="2" t="n">
        <f aca="false">COUNTIFS(Günlük!$A$2:$A$1535,"&gt;="&amp;DATE(2022,7,20),Günlük!$A$2:$A$1535,"&lt;="&amp;B2,Günlük!$B$2:$B$1535,"&lt;0")</f>
        <v>6</v>
      </c>
      <c r="K2" s="2" t="n">
        <f aca="false">COUNTIFS(Günlük!$A$2:$A$1535,"&gt;="&amp;DATE(2022,7,20),Günlük!$A$2:$A$1535,"&lt;="&amp;B2,Günlük!$D$2:$D$1535,"&lt;0")</f>
        <v>7</v>
      </c>
      <c r="L2" s="4" t="n">
        <f aca="false">_xlfn.MINIFS(Günlük!$D$2:$D$1535,Günlük!$A$2:$A$1535,"&gt;="&amp;DATE(2022,7,20),Günlük!$A$2:$A$1535,"&lt;="&amp;B2)</f>
        <v>-0.05470949</v>
      </c>
    </row>
    <row r="3" customFormat="false" ht="15" hidden="false" customHeight="false" outlineLevel="0" collapsed="false">
      <c r="A3" s="2" t="s">
        <v>22</v>
      </c>
      <c r="B3" s="3" t="n">
        <v>44804</v>
      </c>
      <c r="C3" s="2" t="n">
        <f aca="false">COUNTIFS(Günlük!$A$2:$A$1535,"&gt;="&amp;DATE(2022,8,1),Günlük!$A$2:$A$1535,"&lt;="&amp;B3)</f>
        <v>31</v>
      </c>
      <c r="D3" s="4" t="n">
        <f aca="false">E3/E2-1</f>
        <v>-0.00101192239611769</v>
      </c>
      <c r="E3" s="5" t="n">
        <f aca="false">INDEX(Günlük!$C$2:$C$1535,MATCH(B3,Günlük!$A$2:$A$1535,1))</f>
        <v>1990.85567384891</v>
      </c>
      <c r="F3" s="4" t="n">
        <f aca="false">G3/G2-1</f>
        <v>-0.0203163929565495</v>
      </c>
      <c r="G3" s="5" t="n">
        <f aca="false">INDEX(Günlük!$E$2:$E$1535,MATCH(B3,Günlük!$A$2:$A$1535,1))</f>
        <v>1870.43141838298</v>
      </c>
      <c r="H3" s="4" t="n">
        <f aca="false">I3/I2-1</f>
        <v>-0.0258722440241653</v>
      </c>
      <c r="I3" s="5" t="n">
        <f aca="false">INDEX(Günlük!$G$2:$G$1535,MATCH(B3,Günlük!$A$2:$A$1535,1))</f>
        <v>1836.77680848114</v>
      </c>
      <c r="J3" s="2" t="n">
        <f aca="false">COUNTIFS(Günlük!$A$2:$A$1535,"&gt;="&amp;DATE(2022,8,1),Günlük!$A$2:$A$1535,"&lt;="&amp;B3,Günlük!$B$2:$B$1535,"&lt;0")</f>
        <v>14</v>
      </c>
      <c r="K3" s="2" t="n">
        <f aca="false">COUNTIFS(Günlük!$A$2:$A$1535,"&gt;="&amp;DATE(2022,8,1),Günlük!$A$2:$A$1535,"&lt;="&amp;B3,Günlük!$D$2:$D$1535,"&lt;0")</f>
        <v>18</v>
      </c>
      <c r="L3" s="4" t="n">
        <f aca="false">_xlfn.MINIFS(Günlük!$D$2:$D$1535,Günlük!$A$2:$A$1535,"&gt;="&amp;DATE(2022,8,1),Günlük!$A$2:$A$1535,"&lt;="&amp;B3)</f>
        <v>-0.02279533</v>
      </c>
    </row>
    <row r="4" customFormat="false" ht="15" hidden="false" customHeight="false" outlineLevel="0" collapsed="false">
      <c r="A4" s="2" t="s">
        <v>23</v>
      </c>
      <c r="B4" s="3" t="n">
        <v>44834</v>
      </c>
      <c r="C4" s="2" t="n">
        <f aca="false">COUNTIFS(Günlük!$A$2:$A$1535,"&gt;="&amp;DATE(2022,9,1),Günlük!$A$2:$A$1535,"&lt;="&amp;B4)</f>
        <v>30</v>
      </c>
      <c r="D4" s="4" t="n">
        <f aca="false">E4/E3-1</f>
        <v>0.0166725005832469</v>
      </c>
      <c r="E4" s="5" t="n">
        <f aca="false">INDEX(Günlük!$C$2:$C$1535,MATCH(B4,Günlük!$A$2:$A$1535,1))</f>
        <v>2024.04821623231</v>
      </c>
      <c r="F4" s="4" t="n">
        <f aca="false">G4/G3-1</f>
        <v>0.0307698469193038</v>
      </c>
      <c r="G4" s="5" t="n">
        <f aca="false">INDEX(Günlük!$E$2:$E$1535,MATCH(B4,Günlük!$A$2:$A$1535,1))</f>
        <v>1927.98430679968</v>
      </c>
      <c r="H4" s="4" t="n">
        <f aca="false">I4/I3-1</f>
        <v>0.0380651262146119</v>
      </c>
      <c r="I4" s="5" t="n">
        <f aca="false">INDEX(Günlük!$G$2:$G$1535,MATCH(B4,Günlük!$A$2:$A$1535,1))</f>
        <v>1906.69394952405</v>
      </c>
      <c r="J4" s="2" t="n">
        <f aca="false">COUNTIFS(Günlük!$A$2:$A$1535,"&gt;="&amp;DATE(2022,9,1),Günlük!$A$2:$A$1535,"&lt;="&amp;B4,Günlük!$B$2:$B$1535,"&lt;0")</f>
        <v>12</v>
      </c>
      <c r="K4" s="2" t="n">
        <f aca="false">COUNTIFS(Günlük!$A$2:$A$1535,"&gt;="&amp;DATE(2022,9,1),Günlük!$A$2:$A$1535,"&lt;="&amp;B4,Günlük!$D$2:$D$1535,"&lt;0")</f>
        <v>14</v>
      </c>
      <c r="L4" s="4" t="n">
        <f aca="false">_xlfn.MINIFS(Günlük!$D$2:$D$1535,Günlük!$A$2:$A$1535,"&gt;="&amp;DATE(2022,9,1),Günlük!$A$2:$A$1535,"&lt;="&amp;B4)</f>
        <v>-0.02919857</v>
      </c>
    </row>
    <row r="5" customFormat="false" ht="15" hidden="false" customHeight="false" outlineLevel="0" collapsed="false">
      <c r="A5" s="2" t="s">
        <v>24</v>
      </c>
      <c r="B5" s="3" t="n">
        <v>44865</v>
      </c>
      <c r="C5" s="2" t="n">
        <f aca="false">COUNTIFS(Günlük!$A$2:$A$1535,"&gt;="&amp;DATE(2022,10,1),Günlük!$A$2:$A$1535,"&lt;="&amp;B5)</f>
        <v>31</v>
      </c>
      <c r="D5" s="4" t="n">
        <f aca="false">E5/E4-1</f>
        <v>0.0185422776635709</v>
      </c>
      <c r="E5" s="5" t="n">
        <f aca="false">INDEX(Günlük!$C$2:$C$1535,MATCH(B5,Günlük!$A$2:$A$1535,1))</f>
        <v>2061.57868026215</v>
      </c>
      <c r="F5" s="4" t="n">
        <f aca="false">G5/G4-1</f>
        <v>0.053883564230796</v>
      </c>
      <c r="G5" s="5" t="n">
        <f aca="false">INDEX(Günlük!$E$2:$E$1535,MATCH(B5,Günlük!$A$2:$A$1535,1))</f>
        <v>2031.87097303108</v>
      </c>
      <c r="H5" s="4" t="n">
        <f aca="false">I5/I4-1</f>
        <v>0.0670076701909894</v>
      </c>
      <c r="I5" s="5" t="n">
        <f aca="false">INDEX(Günlük!$G$2:$G$1535,MATCH(B5,Günlük!$A$2:$A$1535,1))</f>
        <v>2034.45706884891</v>
      </c>
      <c r="J5" s="2" t="n">
        <f aca="false">COUNTIFS(Günlük!$A$2:$A$1535,"&gt;="&amp;DATE(2022,10,1),Günlük!$A$2:$A$1535,"&lt;="&amp;B5,Günlük!$B$2:$B$1535,"&lt;0")</f>
        <v>16</v>
      </c>
      <c r="K5" s="2" t="n">
        <f aca="false">COUNTIFS(Günlük!$A$2:$A$1535,"&gt;="&amp;DATE(2022,10,1),Günlük!$A$2:$A$1535,"&lt;="&amp;B5,Günlük!$D$2:$D$1535,"&lt;0")</f>
        <v>14</v>
      </c>
      <c r="L5" s="4" t="n">
        <f aca="false">_xlfn.MINIFS(Günlük!$D$2:$D$1535,Günlük!$A$2:$A$1535,"&gt;="&amp;DATE(2022,10,1),Günlük!$A$2:$A$1535,"&lt;="&amp;B5)</f>
        <v>-0.01959102</v>
      </c>
    </row>
    <row r="6" customFormat="false" ht="15" hidden="false" customHeight="false" outlineLevel="0" collapsed="false">
      <c r="A6" s="2" t="s">
        <v>25</v>
      </c>
      <c r="B6" s="3" t="n">
        <v>44895</v>
      </c>
      <c r="C6" s="2" t="n">
        <f aca="false">COUNTIFS(Günlük!$A$2:$A$1535,"&gt;="&amp;DATE(2022,11,1),Günlük!$A$2:$A$1535,"&lt;="&amp;B6)</f>
        <v>30</v>
      </c>
      <c r="D6" s="4" t="n">
        <f aca="false">E6/E5-1</f>
        <v>0.00773833858533624</v>
      </c>
      <c r="E6" s="5" t="n">
        <f aca="false">INDEX(Günlük!$C$2:$C$1535,MATCH(B6,Günlük!$A$2:$A$1535,1))</f>
        <v>2077.53187411033</v>
      </c>
      <c r="F6" s="4" t="n">
        <f aca="false">G6/G5-1</f>
        <v>0.0301580696251378</v>
      </c>
      <c r="G6" s="5" t="n">
        <f aca="false">INDEX(Günlük!$E$2:$E$1535,MATCH(B6,Günlük!$A$2:$A$1535,1))</f>
        <v>2093.14827930505</v>
      </c>
      <c r="H6" s="4" t="n">
        <f aca="false">I6/I5-1</f>
        <v>0.0325629572782233</v>
      </c>
      <c r="I6" s="5" t="n">
        <f aca="false">INDEX(Günlük!$G$2:$G$1535,MATCH(B6,Günlük!$A$2:$A$1535,1))</f>
        <v>2100.70500746622</v>
      </c>
      <c r="J6" s="2" t="n">
        <f aca="false">COUNTIFS(Günlük!$A$2:$A$1535,"&gt;="&amp;DATE(2022,11,1),Günlük!$A$2:$A$1535,"&lt;="&amp;B6,Günlük!$B$2:$B$1535,"&lt;0")</f>
        <v>17</v>
      </c>
      <c r="K6" s="2" t="n">
        <f aca="false">COUNTIFS(Günlük!$A$2:$A$1535,"&gt;="&amp;DATE(2022,11,1),Günlük!$A$2:$A$1535,"&lt;="&amp;B6,Günlük!$D$2:$D$1535,"&lt;0")</f>
        <v>17</v>
      </c>
      <c r="L6" s="4" t="n">
        <f aca="false">_xlfn.MINIFS(Günlük!$D$2:$D$1535,Günlük!$A$2:$A$1535,"&gt;="&amp;DATE(2022,11,1),Günlük!$A$2:$A$1535,"&lt;="&amp;B6)</f>
        <v>-0.08628006</v>
      </c>
    </row>
    <row r="7" customFormat="false" ht="15" hidden="false" customHeight="false" outlineLevel="0" collapsed="false">
      <c r="A7" s="2" t="s">
        <v>26</v>
      </c>
      <c r="B7" s="3" t="n">
        <v>44926</v>
      </c>
      <c r="C7" s="2" t="n">
        <f aca="false">COUNTIFS(Günlük!$A$2:$A$1535,"&gt;="&amp;DATE(2022,12,1),Günlük!$A$2:$A$1535,"&lt;="&amp;B7)</f>
        <v>31</v>
      </c>
      <c r="D7" s="4" t="n">
        <f aca="false">E7/E6-1</f>
        <v>0.0433241955611527</v>
      </c>
      <c r="E7" s="5" t="n">
        <f aca="false">INDEX(Günlük!$C$2:$C$1535,MATCH(B7,Günlük!$A$2:$A$1535,1))</f>
        <v>2167.53927130881</v>
      </c>
      <c r="F7" s="4" t="n">
        <f aca="false">G7/G6-1</f>
        <v>0.0382105869833218</v>
      </c>
      <c r="G7" s="5" t="n">
        <f aca="false">INDEX(Günlük!$E$2:$E$1535,MATCH(B7,Günlük!$A$2:$A$1535,1))</f>
        <v>2173.12870370043</v>
      </c>
      <c r="H7" s="4" t="n">
        <f aca="false">I7/I6-1</f>
        <v>0.0476900243293195</v>
      </c>
      <c r="I7" s="5" t="n">
        <f aca="false">INDEX(Günlük!$G$2:$G$1535,MATCH(B7,Günlük!$A$2:$A$1535,1))</f>
        <v>2200.88768038101</v>
      </c>
      <c r="J7" s="2" t="n">
        <f aca="false">COUNTIFS(Günlük!$A$2:$A$1535,"&gt;="&amp;DATE(2022,12,1),Günlük!$A$2:$A$1535,"&lt;="&amp;B7,Günlük!$B$2:$B$1535,"&lt;0")</f>
        <v>13</v>
      </c>
      <c r="K7" s="2" t="n">
        <f aca="false">COUNTIFS(Günlük!$A$2:$A$1535,"&gt;="&amp;DATE(2022,12,1),Günlük!$A$2:$A$1535,"&lt;="&amp;B7,Günlük!$D$2:$D$1535,"&lt;0")</f>
        <v>13</v>
      </c>
      <c r="L7" s="4" t="n">
        <f aca="false">_xlfn.MINIFS(Günlük!$D$2:$D$1535,Günlük!$A$2:$A$1535,"&gt;="&amp;DATE(2022,12,1),Günlük!$A$2:$A$1535,"&lt;="&amp;B7)</f>
        <v>-0.01456133</v>
      </c>
    </row>
    <row r="8" customFormat="false" ht="15" hidden="false" customHeight="false" outlineLevel="0" collapsed="false">
      <c r="A8" s="2" t="s">
        <v>27</v>
      </c>
      <c r="B8" s="3" t="n">
        <v>44957</v>
      </c>
      <c r="C8" s="2" t="n">
        <f aca="false">COUNTIFS(Günlük!$A$2:$A$1535,"&gt;="&amp;DATE(2023,1,1),Günlük!$A$2:$A$1535,"&lt;="&amp;B8)</f>
        <v>31</v>
      </c>
      <c r="D8" s="4" t="n">
        <f aca="false">E8/E7-1</f>
        <v>0.118906609739461</v>
      </c>
      <c r="E8" s="5" t="n">
        <f aca="false">INDEX(Günlük!$C$2:$C$1535,MATCH(B8,Günlük!$A$2:$A$1535,1))</f>
        <v>2425.27401753728</v>
      </c>
      <c r="F8" s="4" t="n">
        <f aca="false">G8/G7-1</f>
        <v>0.181608911203203</v>
      </c>
      <c r="G8" s="5" t="n">
        <f aca="false">INDEX(Günlük!$E$2:$E$1535,MATCH(B8,Günlük!$A$2:$A$1535,1))</f>
        <v>2567.78824148389</v>
      </c>
      <c r="H8" s="4" t="n">
        <f aca="false">I8/I7-1</f>
        <v>0.229792436082529</v>
      </c>
      <c r="I8" s="5" t="n">
        <f aca="false">INDEX(Günlük!$G$2:$G$1535,MATCH(B8,Günlük!$A$2:$A$1535,1))</f>
        <v>2706.63502199978</v>
      </c>
      <c r="J8" s="2" t="n">
        <f aca="false">COUNTIFS(Günlük!$A$2:$A$1535,"&gt;="&amp;DATE(2023,1,1),Günlük!$A$2:$A$1535,"&lt;="&amp;B8,Günlük!$B$2:$B$1535,"&lt;0")</f>
        <v>14</v>
      </c>
      <c r="K8" s="2" t="n">
        <f aca="false">COUNTIFS(Günlük!$A$2:$A$1535,"&gt;="&amp;DATE(2023,1,1),Günlük!$A$2:$A$1535,"&lt;="&amp;B8,Günlük!$D$2:$D$1535,"&lt;0")</f>
        <v>12</v>
      </c>
      <c r="L8" s="4" t="n">
        <f aca="false">_xlfn.MINIFS(Günlük!$D$2:$D$1535,Günlük!$A$2:$A$1535,"&gt;="&amp;DATE(2023,1,1),Günlük!$A$2:$A$1535,"&lt;="&amp;B8)</f>
        <v>-0.01614038</v>
      </c>
    </row>
    <row r="9" customFormat="false" ht="15" hidden="false" customHeight="false" outlineLevel="0" collapsed="false">
      <c r="A9" s="2" t="s">
        <v>28</v>
      </c>
      <c r="B9" s="3" t="n">
        <v>44985</v>
      </c>
      <c r="C9" s="2" t="n">
        <f aca="false">COUNTIFS(Günlük!$A$2:$A$1535,"&gt;="&amp;DATE(2023,2,1),Günlük!$A$2:$A$1535,"&lt;="&amp;B9)</f>
        <v>28</v>
      </c>
      <c r="D9" s="4" t="n">
        <f aca="false">E9/E8-1</f>
        <v>-0.0595636071261141</v>
      </c>
      <c r="E9" s="5" t="n">
        <f aca="false">INDEX(Günlük!$C$2:$C$1535,MATCH(B9,Günlük!$A$2:$A$1535,1))</f>
        <v>2280.81594878352</v>
      </c>
      <c r="F9" s="4" t="n">
        <f aca="false">G9/G8-1</f>
        <v>-0.0932814400786423</v>
      </c>
      <c r="G9" s="5" t="n">
        <f aca="false">INDEX(Günlük!$E$2:$E$1535,MATCH(B9,Günlük!$A$2:$A$1535,1))</f>
        <v>2328.26125650127</v>
      </c>
      <c r="H9" s="4" t="n">
        <f aca="false">I9/I8-1</f>
        <v>-0.115780385628331</v>
      </c>
      <c r="I9" s="5" t="n">
        <f aca="false">INDEX(Günlük!$G$2:$G$1535,MATCH(B9,Günlük!$A$2:$A$1535,1))</f>
        <v>2393.2597753975</v>
      </c>
      <c r="J9" s="2" t="n">
        <f aca="false">COUNTIFS(Günlük!$A$2:$A$1535,"&gt;="&amp;DATE(2023,2,1),Günlük!$A$2:$A$1535,"&lt;="&amp;B9,Günlük!$B$2:$B$1535,"&lt;0")</f>
        <v>17</v>
      </c>
      <c r="K9" s="2" t="n">
        <f aca="false">COUNTIFS(Günlük!$A$2:$A$1535,"&gt;="&amp;DATE(2023,2,1),Günlük!$A$2:$A$1535,"&lt;="&amp;B9,Günlük!$D$2:$D$1535,"&lt;0")</f>
        <v>16</v>
      </c>
      <c r="L9" s="4" t="n">
        <f aca="false">_xlfn.MINIFS(Günlük!$D$2:$D$1535,Günlük!$A$2:$A$1535,"&gt;="&amp;DATE(2023,2,1),Günlük!$A$2:$A$1535,"&lt;="&amp;B9)</f>
        <v>-0.03773948</v>
      </c>
    </row>
    <row r="10" customFormat="false" ht="15" hidden="false" customHeight="false" outlineLevel="0" collapsed="false">
      <c r="A10" s="2" t="s">
        <v>29</v>
      </c>
      <c r="B10" s="3" t="n">
        <v>45016</v>
      </c>
      <c r="C10" s="2" t="n">
        <f aca="false">COUNTIFS(Günlük!$A$2:$A$1535,"&gt;="&amp;DATE(2023,3,1),Günlük!$A$2:$A$1535,"&lt;="&amp;B10)</f>
        <v>31</v>
      </c>
      <c r="D10" s="4" t="n">
        <f aca="false">E10/E9-1</f>
        <v>0.0299126255937894</v>
      </c>
      <c r="E10" s="5" t="n">
        <f aca="false">INDEX(Günlük!$C$2:$C$1535,MATCH(B10,Günlük!$A$2:$A$1535,1))</f>
        <v>2349.04114230783</v>
      </c>
      <c r="F10" s="4" t="n">
        <f aca="false">G10/G9-1</f>
        <v>0.0792258131693997</v>
      </c>
      <c r="G10" s="5" t="n">
        <f aca="false">INDEX(Günlük!$E$2:$E$1535,MATCH(B10,Günlük!$A$2:$A$1535,1))</f>
        <v>2512.71964781839</v>
      </c>
      <c r="H10" s="4" t="n">
        <f aca="false">I10/I9-1</f>
        <v>0.0989118317970754</v>
      </c>
      <c r="I10" s="5" t="n">
        <f aca="false">INDEX(Günlük!$G$2:$G$1535,MATCH(B10,Günlük!$A$2:$A$1535,1))</f>
        <v>2629.98148374833</v>
      </c>
      <c r="J10" s="2" t="n">
        <f aca="false">COUNTIFS(Günlük!$A$2:$A$1535,"&gt;="&amp;DATE(2023,3,1),Günlük!$A$2:$A$1535,"&lt;="&amp;B10,Günlük!$B$2:$B$1535,"&lt;0")</f>
        <v>14</v>
      </c>
      <c r="K10" s="2" t="n">
        <f aca="false">COUNTIFS(Günlük!$A$2:$A$1535,"&gt;="&amp;DATE(2023,3,1),Günlük!$A$2:$A$1535,"&lt;="&amp;B10,Günlük!$D$2:$D$1535,"&lt;0")</f>
        <v>11</v>
      </c>
      <c r="L10" s="4" t="n">
        <f aca="false">_xlfn.MINIFS(Günlük!$D$2:$D$1535,Günlük!$A$2:$A$1535,"&gt;="&amp;DATE(2023,3,1),Günlük!$A$2:$A$1535,"&lt;="&amp;B10)</f>
        <v>-0.0337768</v>
      </c>
    </row>
    <row r="11" customFormat="false" ht="15" hidden="false" customHeight="false" outlineLevel="0" collapsed="false">
      <c r="A11" s="2" t="s">
        <v>30</v>
      </c>
      <c r="B11" s="3" t="n">
        <v>45046</v>
      </c>
      <c r="C11" s="2" t="n">
        <f aca="false">COUNTIFS(Günlük!$A$2:$A$1535,"&gt;="&amp;DATE(2023,4,1),Günlük!$A$2:$A$1535,"&lt;="&amp;B11)</f>
        <v>30</v>
      </c>
      <c r="D11" s="4" t="n">
        <f aca="false">E11/E10-1</f>
        <v>0.0254710269999257</v>
      </c>
      <c r="E11" s="5" t="n">
        <f aca="false">INDEX(Günlük!$C$2:$C$1535,MATCH(B11,Günlük!$A$2:$A$1535,1))</f>
        <v>2408.87363266749</v>
      </c>
      <c r="F11" s="4" t="n">
        <f aca="false">G11/G10-1</f>
        <v>0.0810438267044604</v>
      </c>
      <c r="G11" s="5" t="n">
        <f aca="false">INDEX(Günlük!$E$2:$E$1535,MATCH(B11,Günlük!$A$2:$A$1535,1))</f>
        <v>2716.36006351308</v>
      </c>
      <c r="H11" s="4" t="n">
        <f aca="false">I11/I10-1</f>
        <v>0.101390191759268</v>
      </c>
      <c r="I11" s="5" t="n">
        <f aca="false">INDEX(Günlük!$G$2:$G$1535,MATCH(B11,Günlük!$A$2:$A$1535,1))</f>
        <v>2896.63581070889</v>
      </c>
      <c r="J11" s="2" t="n">
        <f aca="false">COUNTIFS(Günlük!$A$2:$A$1535,"&gt;="&amp;DATE(2023,4,1),Günlük!$A$2:$A$1535,"&lt;="&amp;B11,Günlük!$B$2:$B$1535,"&lt;0")</f>
        <v>17</v>
      </c>
      <c r="K11" s="2" t="n">
        <f aca="false">COUNTIFS(Günlük!$A$2:$A$1535,"&gt;="&amp;DATE(2023,4,1),Günlük!$A$2:$A$1535,"&lt;="&amp;B11,Günlük!$D$2:$D$1535,"&lt;0")</f>
        <v>15</v>
      </c>
      <c r="L11" s="4" t="n">
        <f aca="false">_xlfn.MINIFS(Günlük!$D$2:$D$1535,Günlük!$A$2:$A$1535,"&gt;="&amp;DATE(2023,4,1),Günlük!$A$2:$A$1535,"&lt;="&amp;B11)</f>
        <v>-0.02024781</v>
      </c>
    </row>
    <row r="12" customFormat="false" ht="15" hidden="false" customHeight="false" outlineLevel="0" collapsed="false">
      <c r="A12" s="2" t="s">
        <v>31</v>
      </c>
      <c r="B12" s="3" t="n">
        <v>45077</v>
      </c>
      <c r="C12" s="2" t="n">
        <f aca="false">COUNTIFS(Günlük!$A$2:$A$1535,"&gt;="&amp;DATE(2023,5,1),Günlük!$A$2:$A$1535,"&lt;="&amp;B12)</f>
        <v>31</v>
      </c>
      <c r="D12" s="4" t="n">
        <f aca="false">E12/E11-1</f>
        <v>0.200722390366176</v>
      </c>
      <c r="E12" s="5" t="n">
        <f aca="false">INDEX(Günlük!$C$2:$C$1535,MATCH(B12,Günlük!$A$2:$A$1535,1))</f>
        <v>2892.38850630656</v>
      </c>
      <c r="F12" s="4" t="n">
        <f aca="false">G12/G11-1</f>
        <v>0.203634099479153</v>
      </c>
      <c r="G12" s="5" t="n">
        <f aca="false">INDEX(Günlük!$E$2:$E$1535,MATCH(B12,Günlük!$A$2:$A$1535,1))</f>
        <v>3269.5035989077</v>
      </c>
      <c r="H12" s="4" t="n">
        <f aca="false">I12/I11-1</f>
        <v>0.259054465904219</v>
      </c>
      <c r="I12" s="5" t="n">
        <f aca="false">INDEX(Günlük!$G$2:$G$1535,MATCH(B12,Günlük!$A$2:$A$1535,1))</f>
        <v>3647.02225357112</v>
      </c>
      <c r="J12" s="2" t="n">
        <f aca="false">COUNTIFS(Günlük!$A$2:$A$1535,"&gt;="&amp;DATE(2023,5,1),Günlük!$A$2:$A$1535,"&lt;="&amp;B12,Günlük!$B$2:$B$1535,"&lt;0")</f>
        <v>8</v>
      </c>
      <c r="K12" s="2" t="n">
        <f aca="false">COUNTIFS(Günlük!$A$2:$A$1535,"&gt;="&amp;DATE(2023,5,1),Günlük!$A$2:$A$1535,"&lt;="&amp;B12,Günlük!$D$2:$D$1535,"&lt;0")</f>
        <v>10</v>
      </c>
      <c r="L12" s="4" t="n">
        <f aca="false">_xlfn.MINIFS(Günlük!$D$2:$D$1535,Günlük!$A$2:$A$1535,"&gt;="&amp;DATE(2023,5,1),Günlük!$A$2:$A$1535,"&lt;="&amp;B12)</f>
        <v>-0.02033543</v>
      </c>
    </row>
    <row r="13" customFormat="false" ht="15" hidden="false" customHeight="false" outlineLevel="0" collapsed="false">
      <c r="A13" s="2" t="s">
        <v>32</v>
      </c>
      <c r="B13" s="3" t="n">
        <v>45107</v>
      </c>
      <c r="C13" s="2" t="n">
        <f aca="false">COUNTIFS(Günlük!$A$2:$A$1535,"&gt;="&amp;DATE(2023,6,1),Günlük!$A$2:$A$1535,"&lt;="&amp;B13)</f>
        <v>30</v>
      </c>
      <c r="D13" s="4" t="n">
        <f aca="false">E13/E12-1</f>
        <v>0.00650728032744641</v>
      </c>
      <c r="E13" s="5" t="n">
        <f aca="false">INDEX(Günlük!$C$2:$C$1535,MATCH(B13,Günlük!$A$2:$A$1535,1))</f>
        <v>2911.21008913298</v>
      </c>
      <c r="F13" s="4" t="n">
        <f aca="false">G13/G12-1</f>
        <v>-0.00628425513509812</v>
      </c>
      <c r="G13" s="5" t="n">
        <f aca="false">INDEX(Günlük!$E$2:$E$1535,MATCH(B13,Günlük!$A$2:$A$1535,1))</f>
        <v>3248.95720412704</v>
      </c>
      <c r="H13" s="4" t="n">
        <f aca="false">I13/I12-1</f>
        <v>-0.00827758652034205</v>
      </c>
      <c r="I13" s="5" t="n">
        <f aca="false">INDEX(Günlük!$G$2:$G$1535,MATCH(B13,Günlük!$A$2:$A$1535,1))</f>
        <v>3616.83371132557</v>
      </c>
      <c r="J13" s="2" t="n">
        <f aca="false">COUNTIFS(Günlük!$A$2:$A$1535,"&gt;="&amp;DATE(2023,6,1),Günlük!$A$2:$A$1535,"&lt;="&amp;B13,Günlük!$B$2:$B$1535,"&lt;0")</f>
        <v>15</v>
      </c>
      <c r="K13" s="2" t="n">
        <f aca="false">COUNTIFS(Günlük!$A$2:$A$1535,"&gt;="&amp;DATE(2023,6,1),Günlük!$A$2:$A$1535,"&lt;="&amp;B13,Günlük!$D$2:$D$1535,"&lt;0")</f>
        <v>17</v>
      </c>
      <c r="L13" s="4" t="n">
        <f aca="false">_xlfn.MINIFS(Günlük!$D$2:$D$1535,Günlük!$A$2:$A$1535,"&gt;="&amp;DATE(2023,6,1),Günlük!$A$2:$A$1535,"&lt;="&amp;B13)</f>
        <v>-0.01761483</v>
      </c>
    </row>
    <row r="14" customFormat="false" ht="15" hidden="false" customHeight="false" outlineLevel="0" collapsed="false">
      <c r="A14" s="2" t="s">
        <v>33</v>
      </c>
      <c r="B14" s="3" t="n">
        <v>45138</v>
      </c>
      <c r="C14" s="2" t="n">
        <f aca="false">COUNTIFS(Günlük!$A$2:$A$1535,"&gt;="&amp;DATE(2023,7,1),Günlük!$A$2:$A$1535,"&lt;="&amp;B14)</f>
        <v>31</v>
      </c>
      <c r="D14" s="4" t="n">
        <f aca="false">E14/E13-1</f>
        <v>0.0114017261178678</v>
      </c>
      <c r="E14" s="5" t="n">
        <f aca="false">INDEX(Günlük!$C$2:$C$1535,MATCH(B14,Günlük!$A$2:$A$1535,1))</f>
        <v>2944.40290924085</v>
      </c>
      <c r="F14" s="4" t="n">
        <f aca="false">G14/G13-1</f>
        <v>0.0404886377304667</v>
      </c>
      <c r="G14" s="5" t="n">
        <f aca="false">INDEX(Günlük!$E$2:$E$1535,MATCH(B14,Günlük!$A$2:$A$1535,1))</f>
        <v>3380.50305536673</v>
      </c>
      <c r="H14" s="4" t="n">
        <f aca="false">I14/I13-1</f>
        <v>0.049616042492427</v>
      </c>
      <c r="I14" s="5" t="n">
        <f aca="false">INDEX(Günlük!$G$2:$G$1535,MATCH(B14,Günlük!$A$2:$A$1535,1))</f>
        <v>3796.28668643475</v>
      </c>
      <c r="J14" s="2" t="n">
        <f aca="false">COUNTIFS(Günlük!$A$2:$A$1535,"&gt;="&amp;DATE(2023,7,1),Günlük!$A$2:$A$1535,"&lt;="&amp;B14,Günlük!$B$2:$B$1535,"&lt;0")</f>
        <v>16</v>
      </c>
      <c r="K14" s="2" t="n">
        <f aca="false">COUNTIFS(Günlük!$A$2:$A$1535,"&gt;="&amp;DATE(2023,7,1),Günlük!$A$2:$A$1535,"&lt;="&amp;B14,Günlük!$D$2:$D$1535,"&lt;0")</f>
        <v>15</v>
      </c>
      <c r="L14" s="4" t="n">
        <f aca="false">_xlfn.MINIFS(Günlük!$D$2:$D$1535,Günlük!$A$2:$A$1535,"&gt;="&amp;DATE(2023,7,1),Günlük!$A$2:$A$1535,"&lt;="&amp;B14)</f>
        <v>-0.04343677</v>
      </c>
    </row>
    <row r="15" customFormat="false" ht="15" hidden="false" customHeight="false" outlineLevel="0" collapsed="false">
      <c r="A15" s="2" t="s">
        <v>34</v>
      </c>
      <c r="B15" s="3" t="n">
        <v>45169</v>
      </c>
      <c r="C15" s="2" t="n">
        <f aca="false">COUNTIFS(Günlük!$A$2:$A$1535,"&gt;="&amp;DATE(2023,8,1),Günlük!$A$2:$A$1535,"&lt;="&amp;B15)</f>
        <v>31</v>
      </c>
      <c r="D15" s="4" t="n">
        <f aca="false">E15/E14-1</f>
        <v>0.314938766808496</v>
      </c>
      <c r="E15" s="5" t="n">
        <f aca="false">INDEX(Günlük!$C$2:$C$1535,MATCH(B15,Günlük!$A$2:$A$1535,1))</f>
        <v>3871.70953046451</v>
      </c>
      <c r="F15" s="4" t="n">
        <f aca="false">G15/G14-1</f>
        <v>0.344193091845171</v>
      </c>
      <c r="G15" s="5" t="n">
        <f aca="false">INDEX(Günlük!$E$2:$E$1535,MATCH(B15,Günlük!$A$2:$A$1535,1))</f>
        <v>4544.04885398545</v>
      </c>
      <c r="H15" s="4" t="n">
        <f aca="false">I15/I14-1</f>
        <v>0.44418557492835</v>
      </c>
      <c r="I15" s="5" t="n">
        <f aca="false">INDEX(Günlük!$G$2:$G$1535,MATCH(B15,Günlük!$A$2:$A$1535,1))</f>
        <v>5482.5424708416</v>
      </c>
      <c r="J15" s="2" t="n">
        <f aca="false">COUNTIFS(Günlük!$A$2:$A$1535,"&gt;="&amp;DATE(2023,8,1),Günlük!$A$2:$A$1535,"&lt;="&amp;B15,Günlük!$B$2:$B$1535,"&lt;0")</f>
        <v>10</v>
      </c>
      <c r="K15" s="2" t="n">
        <f aca="false">COUNTIFS(Günlük!$A$2:$A$1535,"&gt;="&amp;DATE(2023,8,1),Günlük!$A$2:$A$1535,"&lt;="&amp;B15,Günlük!$D$2:$D$1535,"&lt;0")</f>
        <v>12</v>
      </c>
      <c r="L15" s="4" t="n">
        <f aca="false">_xlfn.MINIFS(Günlük!$D$2:$D$1535,Günlük!$A$2:$A$1535,"&gt;="&amp;DATE(2023,8,1),Günlük!$A$2:$A$1535,"&lt;="&amp;B15)</f>
        <v>-0.0268687</v>
      </c>
    </row>
    <row r="16" customFormat="false" ht="15" hidden="false" customHeight="false" outlineLevel="0" collapsed="false">
      <c r="A16" s="2" t="s">
        <v>35</v>
      </c>
      <c r="B16" s="3" t="n">
        <v>45199</v>
      </c>
      <c r="C16" s="2" t="n">
        <f aca="false">COUNTIFS(Günlük!$A$2:$A$1535,"&gt;="&amp;DATE(2023,9,1),Günlük!$A$2:$A$1535,"&lt;="&amp;B16)</f>
        <v>30</v>
      </c>
      <c r="D16" s="4" t="n">
        <f aca="false">E16/E15-1</f>
        <v>0.426338097118686</v>
      </c>
      <c r="E16" s="5" t="n">
        <f aca="false">INDEX(Günlük!$C$2:$C$1535,MATCH(B16,Günlük!$A$2:$A$1535,1))</f>
        <v>5522.36680427902</v>
      </c>
      <c r="F16" s="4" t="n">
        <f aca="false">G16/G15-1</f>
        <v>0.52471266844912</v>
      </c>
      <c r="G16" s="5" t="n">
        <f aca="false">INDEX(Günlük!$E$2:$E$1535,MATCH(B16,Günlük!$A$2:$A$1535,1))</f>
        <v>6928.36885372332</v>
      </c>
      <c r="H16" s="4" t="n">
        <f aca="false">I16/I15-1</f>
        <v>0.686779435172436</v>
      </c>
      <c r="I16" s="5" t="n">
        <f aca="false">INDEX(Günlük!$G$2:$G$1535,MATCH(B16,Günlük!$A$2:$A$1535,1))</f>
        <v>9247.83989227509</v>
      </c>
      <c r="J16" s="2" t="n">
        <f aca="false">COUNTIFS(Günlük!$A$2:$A$1535,"&gt;="&amp;DATE(2023,9,1),Günlük!$A$2:$A$1535,"&lt;="&amp;B16,Günlük!$B$2:$B$1535,"&lt;0")</f>
        <v>11</v>
      </c>
      <c r="K16" s="2" t="n">
        <f aca="false">COUNTIFS(Günlük!$A$2:$A$1535,"&gt;="&amp;DATE(2023,9,1),Günlük!$A$2:$A$1535,"&lt;="&amp;B16,Günlük!$D$2:$D$1535,"&lt;0")</f>
        <v>10</v>
      </c>
      <c r="L16" s="4" t="n">
        <f aca="false">_xlfn.MINIFS(Günlük!$D$2:$D$1535,Günlük!$A$2:$A$1535,"&gt;="&amp;DATE(2023,9,1),Günlük!$A$2:$A$1535,"&lt;="&amp;B16)</f>
        <v>-0.03110893</v>
      </c>
    </row>
    <row r="17" customFormat="false" ht="15" hidden="false" customHeight="false" outlineLevel="0" collapsed="false">
      <c r="A17" s="2" t="s">
        <v>36</v>
      </c>
      <c r="B17" s="3" t="n">
        <v>45230</v>
      </c>
      <c r="C17" s="2" t="n">
        <f aca="false">COUNTIFS(Günlük!$A$2:$A$1535,"&gt;="&amp;DATE(2023,10,1),Günlük!$A$2:$A$1535,"&lt;="&amp;B17)</f>
        <v>31</v>
      </c>
      <c r="D17" s="4" t="n">
        <f aca="false">E17/E16-1</f>
        <v>0.0542494244292335</v>
      </c>
      <c r="E17" s="5" t="n">
        <f aca="false">INDEX(Günlük!$C$2:$C$1535,MATCH(B17,Günlük!$A$2:$A$1535,1))</f>
        <v>5821.95202489827</v>
      </c>
      <c r="F17" s="4" t="n">
        <f aca="false">G17/G16-1</f>
        <v>0.0695325218557916</v>
      </c>
      <c r="G17" s="5" t="n">
        <f aca="false">INDEX(Günlük!$E$2:$E$1535,MATCH(B17,Günlük!$A$2:$A$1535,1))</f>
        <v>7410.11581246982</v>
      </c>
      <c r="H17" s="4" t="n">
        <f aca="false">I17/I16-1</f>
        <v>0.0857877297883953</v>
      </c>
      <c r="I17" s="5" t="n">
        <f aca="false">INDEX(Günlük!$G$2:$G$1535,MATCH(B17,Günlük!$A$2:$A$1535,1))</f>
        <v>10041.1910820799</v>
      </c>
      <c r="J17" s="2" t="n">
        <f aca="false">COUNTIFS(Günlük!$A$2:$A$1535,"&gt;="&amp;DATE(2023,10,1),Günlük!$A$2:$A$1535,"&lt;="&amp;B17,Günlük!$B$2:$B$1535,"&lt;0")</f>
        <v>14</v>
      </c>
      <c r="K17" s="2" t="n">
        <f aca="false">COUNTIFS(Günlük!$A$2:$A$1535,"&gt;="&amp;DATE(2023,10,1),Günlük!$A$2:$A$1535,"&lt;="&amp;B17,Günlük!$D$2:$D$1535,"&lt;0")</f>
        <v>14</v>
      </c>
      <c r="L17" s="4" t="n">
        <f aca="false">_xlfn.MINIFS(Günlük!$D$2:$D$1535,Günlük!$A$2:$A$1535,"&gt;="&amp;DATE(2023,10,1),Günlük!$A$2:$A$1535,"&lt;="&amp;B17)</f>
        <v>-0.03735486</v>
      </c>
    </row>
    <row r="18" customFormat="false" ht="15" hidden="false" customHeight="false" outlineLevel="0" collapsed="false">
      <c r="A18" s="2" t="s">
        <v>37</v>
      </c>
      <c r="B18" s="3" t="n">
        <v>45260</v>
      </c>
      <c r="C18" s="2" t="n">
        <f aca="false">COUNTIFS(Günlük!$A$2:$A$1535,"&gt;="&amp;DATE(2023,11,1),Günlük!$A$2:$A$1535,"&lt;="&amp;B18)</f>
        <v>30</v>
      </c>
      <c r="D18" s="4" t="n">
        <f aca="false">E18/E17-1</f>
        <v>0.0427295327919357</v>
      </c>
      <c r="E18" s="5" t="n">
        <f aca="false">INDEX(Günlük!$C$2:$C$1535,MATCH(B18,Günlük!$A$2:$A$1535,1))</f>
        <v>6070.72131485923</v>
      </c>
      <c r="F18" s="4" t="n">
        <f aca="false">G18/G17-1</f>
        <v>0.0666131218501291</v>
      </c>
      <c r="G18" s="5" t="n">
        <f aca="false">INDEX(Günlük!$E$2:$E$1535,MATCH(B18,Günlük!$A$2:$A$1535,1))</f>
        <v>7903.72676000945</v>
      </c>
      <c r="H18" s="4" t="n">
        <f aca="false">I18/I17-1</f>
        <v>0.0833698126901392</v>
      </c>
      <c r="I18" s="5" t="n">
        <f aca="false">INDEX(Günlük!$G$2:$G$1535,MATCH(B18,Günlük!$A$2:$A$1535,1))</f>
        <v>10878.3233017788</v>
      </c>
      <c r="J18" s="2" t="n">
        <f aca="false">COUNTIFS(Günlük!$A$2:$A$1535,"&gt;="&amp;DATE(2023,11,1),Günlük!$A$2:$A$1535,"&lt;="&amp;B18,Günlük!$B$2:$B$1535,"&lt;0")</f>
        <v>16</v>
      </c>
      <c r="K18" s="2" t="n">
        <f aca="false">COUNTIFS(Günlük!$A$2:$A$1535,"&gt;="&amp;DATE(2023,11,1),Günlük!$A$2:$A$1535,"&lt;="&amp;B18,Günlük!$D$2:$D$1535,"&lt;0")</f>
        <v>14</v>
      </c>
      <c r="L18" s="4" t="n">
        <f aca="false">_xlfn.MINIFS(Günlük!$D$2:$D$1535,Günlük!$A$2:$A$1535,"&gt;="&amp;DATE(2023,11,1),Günlük!$A$2:$A$1535,"&lt;="&amp;B18)</f>
        <v>-0.01195122</v>
      </c>
    </row>
    <row r="19" customFormat="false" ht="15" hidden="false" customHeight="false" outlineLevel="0" collapsed="false">
      <c r="A19" s="2" t="s">
        <v>38</v>
      </c>
      <c r="B19" s="3" t="n">
        <v>45291</v>
      </c>
      <c r="C19" s="2" t="n">
        <f aca="false">COUNTIFS(Günlük!$A$2:$A$1535,"&gt;="&amp;DATE(2023,12,1),Günlük!$A$2:$A$1535,"&lt;="&amp;B19)</f>
        <v>31</v>
      </c>
      <c r="D19" s="4" t="n">
        <f aca="false">E19/E18-1</f>
        <v>0.0729932807587783</v>
      </c>
      <c r="E19" s="5" t="n">
        <f aca="false">INDEX(Günlük!$C$2:$C$1535,MATCH(B19,Günlük!$A$2:$A$1535,1))</f>
        <v>6513.84318020305</v>
      </c>
      <c r="F19" s="4" t="n">
        <f aca="false">G19/G18-1</f>
        <v>0.122392086909761</v>
      </c>
      <c r="G19" s="5" t="n">
        <f aca="false">INDEX(Günlük!$E$2:$E$1535,MATCH(B19,Günlük!$A$2:$A$1535,1))</f>
        <v>8871.08037253152</v>
      </c>
      <c r="H19" s="4" t="n">
        <f aca="false">I19/I18-1</f>
        <v>0.152689998411413</v>
      </c>
      <c r="I19" s="5" t="n">
        <f aca="false">INDEX(Günlük!$G$2:$G$1535,MATCH(B19,Günlük!$A$2:$A$1535,1))</f>
        <v>12539.3344694463</v>
      </c>
      <c r="J19" s="2" t="n">
        <f aca="false">COUNTIFS(Günlük!$A$2:$A$1535,"&gt;="&amp;DATE(2023,12,1),Günlük!$A$2:$A$1535,"&lt;="&amp;B19,Günlük!$B$2:$B$1535,"&lt;0")</f>
        <v>12</v>
      </c>
      <c r="K19" s="2" t="n">
        <f aca="false">COUNTIFS(Günlük!$A$2:$A$1535,"&gt;="&amp;DATE(2023,12,1),Günlük!$A$2:$A$1535,"&lt;="&amp;B19,Günlük!$D$2:$D$1535,"&lt;0")</f>
        <v>11</v>
      </c>
      <c r="L19" s="4" t="n">
        <f aca="false">_xlfn.MINIFS(Günlük!$D$2:$D$1535,Günlük!$A$2:$A$1535,"&gt;="&amp;DATE(2023,12,1),Günlük!$A$2:$A$1535,"&lt;="&amp;B19)</f>
        <v>-0.04214302</v>
      </c>
    </row>
    <row r="20" customFormat="false" ht="15" hidden="false" customHeight="false" outlineLevel="0" collapsed="false">
      <c r="A20" s="2" t="s">
        <v>39</v>
      </c>
      <c r="B20" s="3" t="n">
        <v>45322</v>
      </c>
      <c r="C20" s="2" t="n">
        <f aca="false">COUNTIFS(Günlük!$A$2:$A$1535,"&gt;="&amp;DATE(2024,1,1),Günlük!$A$2:$A$1535,"&lt;="&amp;B20)</f>
        <v>31</v>
      </c>
      <c r="D20" s="4" t="n">
        <f aca="false">E20/E19-1</f>
        <v>-0.010115988841109</v>
      </c>
      <c r="E20" s="5" t="n">
        <f aca="false">INDEX(Günlük!$C$2:$C$1535,MATCH(B20,Günlük!$A$2:$A$1535,1))</f>
        <v>6447.94921527939</v>
      </c>
      <c r="F20" s="4" t="n">
        <f aca="false">G20/G19-1</f>
        <v>-0.00827256231427354</v>
      </c>
      <c r="G20" s="5" t="n">
        <f aca="false">INDEX(Günlük!$E$2:$E$1535,MATCH(B20,Günlük!$A$2:$A$1535,1))</f>
        <v>8797.69380735483</v>
      </c>
      <c r="H20" s="4" t="n">
        <f aca="false">I20/I19-1</f>
        <v>-0.0114485621565406</v>
      </c>
      <c r="I20" s="5" t="n">
        <f aca="false">INDEX(Günlük!$G$2:$G$1535,MATCH(B20,Günlük!$A$2:$A$1535,1))</f>
        <v>12395.7771193712</v>
      </c>
      <c r="J20" s="2" t="n">
        <f aca="false">COUNTIFS(Günlük!$A$2:$A$1535,"&gt;="&amp;DATE(2024,1,1),Günlük!$A$2:$A$1535,"&lt;="&amp;B20,Günlük!$B$2:$B$1535,"&lt;0")</f>
        <v>19</v>
      </c>
      <c r="K20" s="2" t="n">
        <f aca="false">COUNTIFS(Günlük!$A$2:$A$1535,"&gt;="&amp;DATE(2024,1,1),Günlük!$A$2:$A$1535,"&lt;="&amp;B20,Günlük!$D$2:$D$1535,"&lt;0")</f>
        <v>19</v>
      </c>
      <c r="L20" s="4" t="n">
        <f aca="false">_xlfn.MINIFS(Günlük!$D$2:$D$1535,Günlük!$A$2:$A$1535,"&gt;="&amp;DATE(2024,1,1),Günlük!$A$2:$A$1535,"&lt;="&amp;B20)</f>
        <v>-0.02326514</v>
      </c>
    </row>
    <row r="21" customFormat="false" ht="15" hidden="false" customHeight="false" outlineLevel="0" collapsed="false">
      <c r="A21" s="2" t="s">
        <v>40</v>
      </c>
      <c r="B21" s="3" t="n">
        <v>45351</v>
      </c>
      <c r="C21" s="2" t="n">
        <f aca="false">COUNTIFS(Günlük!$A$2:$A$1535,"&gt;="&amp;DATE(2024,2,1),Günlük!$A$2:$A$1535,"&lt;="&amp;B21)</f>
        <v>29</v>
      </c>
      <c r="D21" s="4" t="n">
        <f aca="false">E21/E20-1</f>
        <v>-0.0954868655140109</v>
      </c>
      <c r="E21" s="5" t="n">
        <f aca="false">INDEX(Günlük!$C$2:$C$1535,MATCH(B21,Günlük!$A$2:$A$1535,1))</f>
        <v>5832.25475571883</v>
      </c>
      <c r="F21" s="4" t="n">
        <f aca="false">G21/G20-1</f>
        <v>-0.0397572808365019</v>
      </c>
      <c r="G21" s="5" t="n">
        <f aca="false">INDEX(Günlük!$E$2:$E$1535,MATCH(B21,Günlük!$A$2:$A$1535,1))</f>
        <v>8447.92142394227</v>
      </c>
      <c r="H21" s="4" t="n">
        <f aca="false">I21/I20-1</f>
        <v>-0.0502551000255425</v>
      </c>
      <c r="I21" s="5" t="n">
        <f aca="false">INDEX(Günlük!$G$2:$G$1535,MATCH(B21,Günlük!$A$2:$A$1535,1))</f>
        <v>11772.8261003428</v>
      </c>
      <c r="J21" s="2" t="n">
        <f aca="false">COUNTIFS(Günlük!$A$2:$A$1535,"&gt;="&amp;DATE(2024,2,1),Günlük!$A$2:$A$1535,"&lt;="&amp;B21,Günlük!$B$2:$B$1535,"&lt;0")</f>
        <v>14</v>
      </c>
      <c r="K21" s="2" t="n">
        <f aca="false">COUNTIFS(Günlük!$A$2:$A$1535,"&gt;="&amp;DATE(2024,2,1),Günlük!$A$2:$A$1535,"&lt;="&amp;B21,Günlük!$D$2:$D$1535,"&lt;0")</f>
        <v>15</v>
      </c>
      <c r="L21" s="4" t="n">
        <f aca="false">_xlfn.MINIFS(Günlük!$D$2:$D$1535,Günlük!$A$2:$A$1535,"&gt;="&amp;DATE(2024,2,1),Günlük!$A$2:$A$1535,"&lt;="&amp;B21)</f>
        <v>-0.04239721</v>
      </c>
    </row>
    <row r="22" customFormat="false" ht="15" hidden="false" customHeight="false" outlineLevel="0" collapsed="false">
      <c r="A22" s="2" t="s">
        <v>41</v>
      </c>
      <c r="B22" s="3" t="n">
        <v>45382</v>
      </c>
      <c r="C22" s="2" t="n">
        <f aca="false">COUNTIFS(Günlük!$A$2:$A$1535,"&gt;="&amp;DATE(2024,3,1),Günlük!$A$2:$A$1535,"&lt;="&amp;B22)</f>
        <v>31</v>
      </c>
      <c r="D22" s="4" t="n">
        <f aca="false">E22/E21-1</f>
        <v>0.156825843082258</v>
      </c>
      <c r="E22" s="5" t="n">
        <f aca="false">INDEX(Günlük!$C$2:$C$1535,MATCH(B22,Günlük!$A$2:$A$1535,1))</f>
        <v>6746.90302485495</v>
      </c>
      <c r="F22" s="4" t="n">
        <f aca="false">G22/G21-1</f>
        <v>0.230970074033396</v>
      </c>
      <c r="G22" s="5" t="n">
        <f aca="false">INDEX(Günlük!$E$2:$E$1535,MATCH(B22,Günlük!$A$2:$A$1535,1))</f>
        <v>10399.1384606585</v>
      </c>
      <c r="H22" s="4" t="n">
        <f aca="false">I22/I21-1</f>
        <v>0.292712436540975</v>
      </c>
      <c r="I22" s="5" t="n">
        <f aca="false">INDEX(Günlük!$G$2:$G$1535,MATCH(B22,Günlük!$A$2:$A$1535,1))</f>
        <v>15218.8787131474</v>
      </c>
      <c r="J22" s="2" t="n">
        <f aca="false">COUNTIFS(Günlük!$A$2:$A$1535,"&gt;="&amp;DATE(2024,3,1),Günlük!$A$2:$A$1535,"&lt;="&amp;B22,Günlük!$B$2:$B$1535,"&lt;0")</f>
        <v>13</v>
      </c>
      <c r="K22" s="2" t="n">
        <f aca="false">COUNTIFS(Günlük!$A$2:$A$1535,"&gt;="&amp;DATE(2024,3,1),Günlük!$A$2:$A$1535,"&lt;="&amp;B22,Günlük!$D$2:$D$1535,"&lt;0")</f>
        <v>13</v>
      </c>
      <c r="L22" s="4" t="n">
        <f aca="false">_xlfn.MINIFS(Günlük!$D$2:$D$1535,Günlük!$A$2:$A$1535,"&gt;="&amp;DATE(2024,3,1),Günlük!$A$2:$A$1535,"&lt;="&amp;B22)</f>
        <v>-0.04502792</v>
      </c>
    </row>
    <row r="23" customFormat="false" ht="15" hidden="false" customHeight="false" outlineLevel="0" collapsed="false">
      <c r="A23" s="2" t="s">
        <v>42</v>
      </c>
      <c r="B23" s="3" t="n">
        <v>45412</v>
      </c>
      <c r="C23" s="2" t="n">
        <f aca="false">COUNTIFS(Günlük!$A$2:$A$1535,"&gt;="&amp;DATE(2024,4,1),Günlük!$A$2:$A$1535,"&lt;="&amp;B23)</f>
        <v>30</v>
      </c>
      <c r="D23" s="4" t="n">
        <f aca="false">E23/E22-1</f>
        <v>0.082701462661616</v>
      </c>
      <c r="E23" s="5" t="n">
        <f aca="false">INDEX(Günlük!$C$2:$C$1535,MATCH(B23,Günlük!$A$2:$A$1535,1))</f>
        <v>7304.88177344653</v>
      </c>
      <c r="F23" s="4" t="n">
        <f aca="false">G23/G22-1</f>
        <v>0.0932126224327996</v>
      </c>
      <c r="G23" s="5" t="n">
        <f aca="false">INDEX(Günlük!$E$2:$E$1535,MATCH(B23,Günlük!$A$2:$A$1535,1))</f>
        <v>11368.4694276183</v>
      </c>
      <c r="H23" s="4" t="n">
        <f aca="false">I23/I22-1</f>
        <v>0.116067215076843</v>
      </c>
      <c r="I23" s="5" t="n">
        <f aca="false">INDEX(Günlük!$G$2:$G$1535,MATCH(B23,Günlük!$A$2:$A$1535,1))</f>
        <v>16985.2915819747</v>
      </c>
      <c r="J23" s="2" t="n">
        <f aca="false">COUNTIFS(Günlük!$A$2:$A$1535,"&gt;="&amp;DATE(2024,4,1),Günlük!$A$2:$A$1535,"&lt;="&amp;B23,Günlük!$B$2:$B$1535,"&lt;0")</f>
        <v>11</v>
      </c>
      <c r="K23" s="2" t="n">
        <f aca="false">COUNTIFS(Günlük!$A$2:$A$1535,"&gt;="&amp;DATE(2024,4,1),Günlük!$A$2:$A$1535,"&lt;="&amp;B23,Günlük!$D$2:$D$1535,"&lt;0")</f>
        <v>12</v>
      </c>
      <c r="L23" s="4" t="n">
        <f aca="false">_xlfn.MINIFS(Günlük!$D$2:$D$1535,Günlük!$A$2:$A$1535,"&gt;="&amp;DATE(2024,4,1),Günlük!$A$2:$A$1535,"&lt;="&amp;B23)</f>
        <v>-0.04993554</v>
      </c>
    </row>
    <row r="24" customFormat="false" ht="15" hidden="false" customHeight="false" outlineLevel="0" collapsed="false">
      <c r="A24" s="2" t="s">
        <v>43</v>
      </c>
      <c r="B24" s="3" t="n">
        <v>45443</v>
      </c>
      <c r="C24" s="2" t="n">
        <f aca="false">COUNTIFS(Günlük!$A$2:$A$1535,"&gt;="&amp;DATE(2024,5,1),Günlük!$A$2:$A$1535,"&lt;="&amp;B24)</f>
        <v>31</v>
      </c>
      <c r="D24" s="4" t="n">
        <f aca="false">E24/E23-1</f>
        <v>0.0209218294619771</v>
      </c>
      <c r="E24" s="5" t="n">
        <f aca="false">INDEX(Günlük!$C$2:$C$1535,MATCH(B24,Günlük!$A$2:$A$1535,1))</f>
        <v>7457.71326415048</v>
      </c>
      <c r="F24" s="4" t="n">
        <f aca="false">G24/G23-1</f>
        <v>-0.0291382095562197</v>
      </c>
      <c r="G24" s="5" t="n">
        <f aca="false">INDEX(Günlük!$E$2:$E$1535,MATCH(B24,Günlük!$A$2:$A$1535,1))</f>
        <v>11037.2125831029</v>
      </c>
      <c r="H24" s="4" t="n">
        <f aca="false">I24/I23-1</f>
        <v>-0.0371491426746022</v>
      </c>
      <c r="I24" s="5" t="n">
        <f aca="false">INDEX(Günlük!$G$2:$G$1535,MATCH(B24,Günlük!$A$2:$A$1535,1))</f>
        <v>16354.3025616262</v>
      </c>
      <c r="J24" s="2" t="n">
        <f aca="false">COUNTIFS(Günlük!$A$2:$A$1535,"&gt;="&amp;DATE(2024,5,1),Günlük!$A$2:$A$1535,"&lt;="&amp;B24,Günlük!$B$2:$B$1535,"&lt;0")</f>
        <v>14</v>
      </c>
      <c r="K24" s="2" t="n">
        <f aca="false">COUNTIFS(Günlük!$A$2:$A$1535,"&gt;="&amp;DATE(2024,5,1),Günlük!$A$2:$A$1535,"&lt;="&amp;B24,Günlük!$D$2:$D$1535,"&lt;0")</f>
        <v>19</v>
      </c>
      <c r="L24" s="4" t="n">
        <f aca="false">_xlfn.MINIFS(Günlük!$D$2:$D$1535,Günlük!$A$2:$A$1535,"&gt;="&amp;DATE(2024,5,1),Günlük!$A$2:$A$1535,"&lt;="&amp;B24)</f>
        <v>-0.02608972</v>
      </c>
    </row>
    <row r="25" customFormat="false" ht="15" hidden="false" customHeight="false" outlineLevel="0" collapsed="false">
      <c r="A25" s="2" t="s">
        <v>44</v>
      </c>
      <c r="B25" s="3" t="n">
        <v>45473</v>
      </c>
      <c r="C25" s="2" t="n">
        <f aca="false">COUNTIFS(Günlük!$A$2:$A$1535,"&gt;="&amp;DATE(2024,6,1),Günlük!$A$2:$A$1535,"&lt;="&amp;B25)</f>
        <v>30</v>
      </c>
      <c r="D25" s="4" t="n">
        <f aca="false">E25/E24-1</f>
        <v>0.00924212208067199</v>
      </c>
      <c r="E25" s="5" t="n">
        <f aca="false">INDEX(Günlük!$C$2:$C$1535,MATCH(B25,Günlük!$A$2:$A$1535,1))</f>
        <v>7526.63836058041</v>
      </c>
      <c r="F25" s="4" t="n">
        <f aca="false">G25/G24-1</f>
        <v>-0.0394277759236779</v>
      </c>
      <c r="G25" s="5" t="n">
        <f aca="false">INDEX(Günlük!$E$2:$E$1535,MATCH(B25,Günlük!$A$2:$A$1535,1))</f>
        <v>10602.0398385543</v>
      </c>
      <c r="H25" s="4" t="n">
        <f aca="false">I25/I24-1</f>
        <v>-0.0503329397444907</v>
      </c>
      <c r="I25" s="5" t="n">
        <f aca="false">INDEX(Günlük!$G$2:$G$1535,MATCH(B25,Günlük!$A$2:$A$1535,1))</f>
        <v>15531.1424362287</v>
      </c>
      <c r="J25" s="2" t="n">
        <f aca="false">COUNTIFS(Günlük!$A$2:$A$1535,"&gt;="&amp;DATE(2024,6,1),Günlük!$A$2:$A$1535,"&lt;="&amp;B25,Günlük!$B$2:$B$1535,"&lt;0")</f>
        <v>15</v>
      </c>
      <c r="K25" s="2" t="n">
        <f aca="false">COUNTIFS(Günlük!$A$2:$A$1535,"&gt;="&amp;DATE(2024,6,1),Günlük!$A$2:$A$1535,"&lt;="&amp;B25,Günlük!$D$2:$D$1535,"&lt;0")</f>
        <v>16</v>
      </c>
      <c r="L25" s="4" t="n">
        <f aca="false">_xlfn.MINIFS(Günlük!$D$2:$D$1535,Günlük!$A$2:$A$1535,"&gt;="&amp;DATE(2024,6,1),Günlük!$A$2:$A$1535,"&lt;="&amp;B25)</f>
        <v>-0.03611868</v>
      </c>
    </row>
    <row r="26" customFormat="false" ht="15" hidden="false" customHeight="false" outlineLevel="0" collapsed="false">
      <c r="A26" s="2" t="s">
        <v>45</v>
      </c>
      <c r="B26" s="3" t="n">
        <v>45504</v>
      </c>
      <c r="C26" s="2" t="n">
        <f aca="false">COUNTIFS(Günlük!$A$2:$A$1535,"&gt;="&amp;DATE(2024,7,1),Günlük!$A$2:$A$1535,"&lt;="&amp;B26)</f>
        <v>31</v>
      </c>
      <c r="D26" s="4" t="n">
        <f aca="false">E26/E25-1</f>
        <v>0.0777581305834521</v>
      </c>
      <c r="E26" s="5" t="n">
        <f aca="false">INDEX(Günlük!$C$2:$C$1535,MATCH(B26,Günlük!$A$2:$A$1535,1))</f>
        <v>8111.89568907684</v>
      </c>
      <c r="F26" s="4" t="n">
        <f aca="false">G26/G25-1</f>
        <v>0.0895284879601297</v>
      </c>
      <c r="G26" s="5" t="n">
        <f aca="false">INDEX(Günlük!$E$2:$E$1535,MATCH(B26,Günlük!$A$2:$A$1535,1))</f>
        <v>11551.2244345931</v>
      </c>
      <c r="H26" s="4" t="n">
        <f aca="false">I26/I25-1</f>
        <v>0.111798940300633</v>
      </c>
      <c r="I26" s="5" t="n">
        <f aca="false">INDEX(Günlük!$G$2:$G$1535,MATCH(B26,Günlük!$A$2:$A$1535,1))</f>
        <v>17267.5077022572</v>
      </c>
      <c r="J26" s="2" t="n">
        <f aca="false">COUNTIFS(Günlük!$A$2:$A$1535,"&gt;="&amp;DATE(2024,7,1),Günlük!$A$2:$A$1535,"&lt;="&amp;B26,Günlük!$B$2:$B$1535,"&lt;0")</f>
        <v>16</v>
      </c>
      <c r="K26" s="2" t="n">
        <f aca="false">COUNTIFS(Günlük!$A$2:$A$1535,"&gt;="&amp;DATE(2024,7,1),Günlük!$A$2:$A$1535,"&lt;="&amp;B26,Günlük!$D$2:$D$1535,"&lt;0")</f>
        <v>13</v>
      </c>
      <c r="L26" s="4" t="n">
        <f aca="false">_xlfn.MINIFS(Günlük!$D$2:$D$1535,Günlük!$A$2:$A$1535,"&gt;="&amp;DATE(2024,7,1),Günlük!$A$2:$A$1535,"&lt;="&amp;B26)</f>
        <v>-0.02934143</v>
      </c>
    </row>
    <row r="27" customFormat="false" ht="15" hidden="false" customHeight="false" outlineLevel="0" collapsed="false">
      <c r="A27" s="2" t="s">
        <v>46</v>
      </c>
      <c r="B27" s="3" t="n">
        <v>45535</v>
      </c>
      <c r="C27" s="2" t="n">
        <f aca="false">COUNTIFS(Günlük!$A$2:$A$1535,"&gt;="&amp;DATE(2024,8,1),Günlük!$A$2:$A$1535,"&lt;="&amp;B27)</f>
        <v>31</v>
      </c>
      <c r="D27" s="4" t="n">
        <f aca="false">E27/E26-1</f>
        <v>-0.00599345899126946</v>
      </c>
      <c r="E27" s="5" t="n">
        <f aca="false">INDEX(Günlük!$C$2:$C$1535,MATCH(B27,Günlük!$A$2:$A$1535,1))</f>
        <v>8063.2773749229</v>
      </c>
      <c r="F27" s="4" t="n">
        <f aca="false">G27/G26-1</f>
        <v>-0.0185742634333039</v>
      </c>
      <c r="G27" s="5" t="n">
        <f aca="false">INDEX(Günlük!$E$2:$E$1535,MATCH(B27,Günlük!$A$2:$A$1535,1))</f>
        <v>11336.6689489678</v>
      </c>
      <c r="H27" s="4" t="n">
        <f aca="false">I27/I26-1</f>
        <v>-0.0234503544613385</v>
      </c>
      <c r="I27" s="5" t="n">
        <f aca="false">INDEX(Günlük!$G$2:$G$1535,MATCH(B27,Günlük!$A$2:$A$1535,1))</f>
        <v>16862.5785259754</v>
      </c>
      <c r="J27" s="2" t="n">
        <f aca="false">COUNTIFS(Günlük!$A$2:$A$1535,"&gt;="&amp;DATE(2024,8,1),Günlük!$A$2:$A$1535,"&lt;="&amp;B27,Günlük!$B$2:$B$1535,"&lt;0")</f>
        <v>18</v>
      </c>
      <c r="K27" s="2" t="n">
        <f aca="false">COUNTIFS(Günlük!$A$2:$A$1535,"&gt;="&amp;DATE(2024,8,1),Günlük!$A$2:$A$1535,"&lt;="&amp;B27,Günlük!$D$2:$D$1535,"&lt;0")</f>
        <v>18</v>
      </c>
      <c r="L27" s="4" t="n">
        <f aca="false">_xlfn.MINIFS(Günlük!$D$2:$D$1535,Günlük!$A$2:$A$1535,"&gt;="&amp;DATE(2024,8,1),Günlük!$A$2:$A$1535,"&lt;="&amp;B27)</f>
        <v>-0.01524829</v>
      </c>
    </row>
    <row r="28" customFormat="false" ht="15" hidden="false" customHeight="false" outlineLevel="0" collapsed="false">
      <c r="A28" s="2" t="s">
        <v>47</v>
      </c>
      <c r="B28" s="3" t="n">
        <v>45565</v>
      </c>
      <c r="C28" s="2" t="n">
        <f aca="false">COUNTIFS(Günlük!$A$2:$A$1535,"&gt;="&amp;DATE(2024,9,1),Günlük!$A$2:$A$1535,"&lt;="&amp;B28)</f>
        <v>30</v>
      </c>
      <c r="D28" s="4" t="n">
        <f aca="false">E28/E27-1</f>
        <v>0.0723599091389511</v>
      </c>
      <c r="E28" s="5" t="n">
        <f aca="false">INDEX(Günlük!$C$2:$C$1535,MATCH(B28,Günlük!$A$2:$A$1535,1))</f>
        <v>8646.73539313448</v>
      </c>
      <c r="F28" s="4" t="n">
        <f aca="false">G28/G27-1</f>
        <v>0.0892708879817692</v>
      </c>
      <c r="G28" s="5" t="n">
        <f aca="false">INDEX(Günlük!$E$2:$E$1535,MATCH(B28,Günlük!$A$2:$A$1535,1))</f>
        <v>12348.7034527975</v>
      </c>
      <c r="H28" s="4" t="n">
        <f aca="false">I28/I27-1</f>
        <v>0.111456447833358</v>
      </c>
      <c r="I28" s="5" t="n">
        <f aca="false">INDEX(Günlük!$G$2:$G$1535,MATCH(B28,Günlük!$A$2:$A$1535,1))</f>
        <v>18742.0216297917</v>
      </c>
      <c r="J28" s="2" t="n">
        <f aca="false">COUNTIFS(Günlük!$A$2:$A$1535,"&gt;="&amp;DATE(2024,9,1),Günlük!$A$2:$A$1535,"&lt;="&amp;B28,Günlük!$B$2:$B$1535,"&lt;0")</f>
        <v>15</v>
      </c>
      <c r="K28" s="2" t="n">
        <f aca="false">COUNTIFS(Günlük!$A$2:$A$1535,"&gt;="&amp;DATE(2024,9,1),Günlük!$A$2:$A$1535,"&lt;="&amp;B28,Günlük!$D$2:$D$1535,"&lt;0")</f>
        <v>13</v>
      </c>
      <c r="L28" s="4" t="n">
        <f aca="false">_xlfn.MINIFS(Günlük!$D$2:$D$1535,Günlük!$A$2:$A$1535,"&gt;="&amp;DATE(2024,9,1),Günlük!$A$2:$A$1535,"&lt;="&amp;B28)</f>
        <v>-0.03339318</v>
      </c>
    </row>
    <row r="29" customFormat="false" ht="15" hidden="false" customHeight="false" outlineLevel="0" collapsed="false">
      <c r="A29" s="2" t="s">
        <v>48</v>
      </c>
      <c r="B29" s="3" t="n">
        <v>45596</v>
      </c>
      <c r="C29" s="2" t="n">
        <f aca="false">COUNTIFS(Günlük!$A$2:$A$1535,"&gt;="&amp;DATE(2024,10,1),Günlük!$A$2:$A$1535,"&lt;="&amp;B29)</f>
        <v>31</v>
      </c>
      <c r="D29" s="4" t="n">
        <f aca="false">E29/E28-1</f>
        <v>0.0472866980181683</v>
      </c>
      <c r="E29" s="5" t="n">
        <f aca="false">INDEX(Günlük!$C$2:$C$1535,MATCH(B29,Günlük!$A$2:$A$1535,1))</f>
        <v>9055.61095851264</v>
      </c>
      <c r="F29" s="4" t="n">
        <f aca="false">G29/G28-1</f>
        <v>-0.0189679015441636</v>
      </c>
      <c r="G29" s="5" t="n">
        <f aca="false">INDEX(Günlük!$E$2:$E$1535,MATCH(B29,Günlük!$A$2:$A$1535,1))</f>
        <v>12114.4744615067</v>
      </c>
      <c r="H29" s="4" t="n">
        <f aca="false">I29/I28-1</f>
        <v>-0.0247606591309498</v>
      </c>
      <c r="I29" s="5" t="n">
        <f aca="false">INDEX(Günlük!$G$2:$G$1535,MATCH(B29,Günlük!$A$2:$A$1535,1))</f>
        <v>18277.9568207915</v>
      </c>
      <c r="J29" s="2" t="n">
        <f aca="false">COUNTIFS(Günlük!$A$2:$A$1535,"&gt;="&amp;DATE(2024,10,1),Günlük!$A$2:$A$1535,"&lt;="&amp;B29,Günlük!$B$2:$B$1535,"&lt;0")</f>
        <v>14</v>
      </c>
      <c r="K29" s="2" t="n">
        <f aca="false">COUNTIFS(Günlük!$A$2:$A$1535,"&gt;="&amp;DATE(2024,10,1),Günlük!$A$2:$A$1535,"&lt;="&amp;B29,Günlük!$D$2:$D$1535,"&lt;0")</f>
        <v>14</v>
      </c>
      <c r="L29" s="4" t="n">
        <f aca="false">_xlfn.MINIFS(Günlük!$D$2:$D$1535,Günlük!$A$2:$A$1535,"&gt;="&amp;DATE(2024,10,1),Günlük!$A$2:$A$1535,"&lt;="&amp;B29)</f>
        <v>-0.06768454</v>
      </c>
    </row>
    <row r="30" customFormat="false" ht="15" hidden="false" customHeight="false" outlineLevel="0" collapsed="false">
      <c r="A30" s="2" t="s">
        <v>49</v>
      </c>
      <c r="B30" s="3" t="n">
        <v>45626</v>
      </c>
      <c r="C30" s="2" t="n">
        <f aca="false">COUNTIFS(Günlük!$A$2:$A$1535,"&gt;="&amp;DATE(2024,11,1),Günlük!$A$2:$A$1535,"&lt;="&amp;B30)</f>
        <v>30</v>
      </c>
      <c r="D30" s="4" t="n">
        <f aca="false">E30/E29-1</f>
        <v>0.128144094135295</v>
      </c>
      <c r="E30" s="5" t="n">
        <f aca="false">INDEX(Günlük!$C$2:$C$1535,MATCH(B30,Günlük!$A$2:$A$1535,1))</f>
        <v>10216.0340216329</v>
      </c>
      <c r="F30" s="4" t="n">
        <f aca="false">G30/G29-1</f>
        <v>0.223220083570684</v>
      </c>
      <c r="G30" s="5" t="n">
        <f aca="false">INDEX(Günlük!$E$2:$E$1535,MATCH(B30,Günlük!$A$2:$A$1535,1))</f>
        <v>14818.6684632192</v>
      </c>
      <c r="H30" s="4" t="n">
        <f aca="false">I30/I29-1</f>
        <v>0.284601919372984</v>
      </c>
      <c r="I30" s="5" t="n">
        <f aca="false">INDEX(Günlük!$G$2:$G$1535,MATCH(B30,Günlük!$A$2:$A$1535,1))</f>
        <v>23479.8984142053</v>
      </c>
      <c r="J30" s="2" t="n">
        <f aca="false">COUNTIFS(Günlük!$A$2:$A$1535,"&gt;="&amp;DATE(2024,11,1),Günlük!$A$2:$A$1535,"&lt;="&amp;B30,Günlük!$B$2:$B$1535,"&lt;0")</f>
        <v>10</v>
      </c>
      <c r="K30" s="2" t="n">
        <f aca="false">COUNTIFS(Günlük!$A$2:$A$1535,"&gt;="&amp;DATE(2024,11,1),Günlük!$A$2:$A$1535,"&lt;="&amp;B30,Günlük!$D$2:$D$1535,"&lt;0")</f>
        <v>9</v>
      </c>
      <c r="L30" s="4" t="n">
        <f aca="false">_xlfn.MINIFS(Günlük!$D$2:$D$1535,Günlük!$A$2:$A$1535,"&gt;="&amp;DATE(2024,11,1),Günlük!$A$2:$A$1535,"&lt;="&amp;B30)</f>
        <v>-0.03328895</v>
      </c>
    </row>
    <row r="31" customFormat="false" ht="15" hidden="false" customHeight="false" outlineLevel="0" collapsed="false">
      <c r="A31" s="2" t="s">
        <v>50</v>
      </c>
      <c r="B31" s="3" t="n">
        <v>45657</v>
      </c>
      <c r="C31" s="2" t="n">
        <f aca="false">COUNTIFS(Günlük!$A$2:$A$1535,"&gt;="&amp;DATE(2024,12,1),Günlük!$A$2:$A$1535,"&lt;="&amp;B31)</f>
        <v>31</v>
      </c>
      <c r="D31" s="4" t="n">
        <f aca="false">E31/E30-1</f>
        <v>0.278270110123878</v>
      </c>
      <c r="E31" s="5" t="n">
        <f aca="false">INDEX(Günlük!$C$2:$C$1535,MATCH(B31,Günlük!$A$2:$A$1535,1))</f>
        <v>13058.850933862</v>
      </c>
      <c r="F31" s="4" t="n">
        <f aca="false">G31/G30-1</f>
        <v>0.348213603951659</v>
      </c>
      <c r="G31" s="5" t="n">
        <f aca="false">INDEX(Günlük!$E$2:$E$1535,MATCH(B31,Günlük!$A$2:$A$1535,1))</f>
        <v>19978.7304145615</v>
      </c>
      <c r="H31" s="4" t="n">
        <f aca="false">I31/I30-1</f>
        <v>0.448961306465073</v>
      </c>
      <c r="I31" s="5" t="n">
        <f aca="false">INDEX(Günlük!$G$2:$G$1535,MATCH(B31,Günlük!$A$2:$A$1535,1))</f>
        <v>34021.4642819141</v>
      </c>
      <c r="J31" s="2" t="n">
        <f aca="false">COUNTIFS(Günlük!$A$2:$A$1535,"&gt;="&amp;DATE(2024,12,1),Günlük!$A$2:$A$1535,"&lt;="&amp;B31,Günlük!$B$2:$B$1535,"&lt;0")</f>
        <v>10</v>
      </c>
      <c r="K31" s="2" t="n">
        <f aca="false">COUNTIFS(Günlük!$A$2:$A$1535,"&gt;="&amp;DATE(2024,12,1),Günlük!$A$2:$A$1535,"&lt;="&amp;B31,Günlük!$D$2:$D$1535,"&lt;0")</f>
        <v>10</v>
      </c>
      <c r="L31" s="4" t="n">
        <f aca="false">_xlfn.MINIFS(Günlük!$D$2:$D$1535,Günlük!$A$2:$A$1535,"&gt;="&amp;DATE(2024,12,1),Günlük!$A$2:$A$1535,"&lt;="&amp;B31)</f>
        <v>-0.03281926</v>
      </c>
    </row>
    <row r="32" customFormat="false" ht="15" hidden="false" customHeight="false" outlineLevel="0" collapsed="false">
      <c r="A32" s="2" t="s">
        <v>51</v>
      </c>
      <c r="B32" s="3" t="n">
        <v>45688</v>
      </c>
      <c r="C32" s="2" t="n">
        <f aca="false">COUNTIFS(Günlük!$A$2:$A$1535,"&gt;="&amp;DATE(2025,1,1),Günlük!$A$2:$A$1535,"&lt;="&amp;B32)</f>
        <v>31</v>
      </c>
      <c r="D32" s="4" t="n">
        <f aca="false">E32/E31-1</f>
        <v>0.0408325052952883</v>
      </c>
      <c r="E32" s="5" t="n">
        <f aca="false">INDEX(Günlük!$C$2:$C$1535,MATCH(B32,Günlük!$A$2:$A$1535,1))</f>
        <v>13592.0765337693</v>
      </c>
      <c r="F32" s="4" t="n">
        <f aca="false">G32/G31-1</f>
        <v>0.116994085120672</v>
      </c>
      <c r="G32" s="5" t="n">
        <f aca="false">INDEX(Günlük!$E$2:$E$1535,MATCH(B32,Günlük!$A$2:$A$1535,1))</f>
        <v>22316.1237012857</v>
      </c>
      <c r="H32" s="4" t="n">
        <f aca="false">I32/I31-1</f>
        <v>0.146133344183157</v>
      </c>
      <c r="I32" s="5" t="n">
        <f aca="false">INDEX(Günlük!$G$2:$G$1535,MATCH(B32,Günlük!$A$2:$A$1535,1))</f>
        <v>38993.134631438</v>
      </c>
      <c r="J32" s="2" t="n">
        <f aca="false">COUNTIFS(Günlük!$A$2:$A$1535,"&gt;="&amp;DATE(2025,1,1),Günlük!$A$2:$A$1535,"&lt;="&amp;B32,Günlük!$B$2:$B$1535,"&lt;0")</f>
        <v>14</v>
      </c>
      <c r="K32" s="2" t="n">
        <f aca="false">COUNTIFS(Günlük!$A$2:$A$1535,"&gt;="&amp;DATE(2025,1,1),Günlük!$A$2:$A$1535,"&lt;="&amp;B32,Günlük!$D$2:$D$1535,"&lt;0")</f>
        <v>13</v>
      </c>
      <c r="L32" s="4" t="n">
        <f aca="false">_xlfn.MINIFS(Günlük!$D$2:$D$1535,Günlük!$A$2:$A$1535,"&gt;="&amp;DATE(2025,1,1),Günlük!$A$2:$A$1535,"&lt;="&amp;B32)</f>
        <v>-0.03556087</v>
      </c>
    </row>
    <row r="33" customFormat="false" ht="15" hidden="false" customHeight="false" outlineLevel="0" collapsed="false">
      <c r="A33" s="2" t="s">
        <v>52</v>
      </c>
      <c r="B33" s="3" t="n">
        <v>45716</v>
      </c>
      <c r="C33" s="2" t="n">
        <f aca="false">COUNTIFS(Günlük!$A$2:$A$1535,"&gt;="&amp;DATE(2025,2,1),Günlük!$A$2:$A$1535,"&lt;="&amp;B33)</f>
        <v>28</v>
      </c>
      <c r="D33" s="4" t="n">
        <f aca="false">E33/E32-1</f>
        <v>0.10110719175758</v>
      </c>
      <c r="E33" s="5" t="n">
        <f aca="false">INDEX(Günlük!$C$2:$C$1535,MATCH(B33,Günlük!$A$2:$A$1535,1))</f>
        <v>14966.3332222528</v>
      </c>
      <c r="F33" s="4" t="n">
        <f aca="false">G33/G32-1</f>
        <v>0.064240291275526</v>
      </c>
      <c r="G33" s="5" t="n">
        <f aca="false">INDEX(Günlük!$E$2:$E$1535,MATCH(B33,Günlük!$A$2:$A$1535,1))</f>
        <v>23749.717987997</v>
      </c>
      <c r="H33" s="4" t="n">
        <f aca="false">I33/I32-1</f>
        <v>0.0793825873513923</v>
      </c>
      <c r="I33" s="5" t="n">
        <f aca="false">INDEX(Günlük!$G$2:$G$1535,MATCH(B33,Günlük!$A$2:$A$1535,1))</f>
        <v>42088.5105474227</v>
      </c>
      <c r="J33" s="2" t="n">
        <f aca="false">COUNTIFS(Günlük!$A$2:$A$1535,"&gt;="&amp;DATE(2025,2,1),Günlük!$A$2:$A$1535,"&lt;="&amp;B33,Günlük!$B$2:$B$1535,"&lt;0")</f>
        <v>14</v>
      </c>
      <c r="K33" s="2" t="n">
        <f aca="false">COUNTIFS(Günlük!$A$2:$A$1535,"&gt;="&amp;DATE(2025,2,1),Günlük!$A$2:$A$1535,"&lt;="&amp;B33,Günlük!$D$2:$D$1535,"&lt;0")</f>
        <v>11</v>
      </c>
      <c r="L33" s="4" t="n">
        <f aca="false">_xlfn.MINIFS(Günlük!$D$2:$D$1535,Günlük!$A$2:$A$1535,"&gt;="&amp;DATE(2025,2,1),Günlük!$A$2:$A$1535,"&lt;="&amp;B33)</f>
        <v>-0.03427738</v>
      </c>
    </row>
    <row r="34" customFormat="false" ht="15" hidden="false" customHeight="false" outlineLevel="0" collapsed="false">
      <c r="A34" s="2" t="s">
        <v>53</v>
      </c>
      <c r="B34" s="3" t="n">
        <v>45747</v>
      </c>
      <c r="C34" s="2" t="n">
        <f aca="false">COUNTIFS(Günlük!$A$2:$A$1535,"&gt;="&amp;DATE(2025,3,1),Günlük!$A$2:$A$1535,"&lt;="&amp;B34)</f>
        <v>31</v>
      </c>
      <c r="D34" s="4" t="n">
        <f aca="false">E34/E33-1</f>
        <v>0.136215716767796</v>
      </c>
      <c r="E34" s="5" t="n">
        <f aca="false">INDEX(Günlük!$C$2:$C$1535,MATCH(B34,Günlük!$A$2:$A$1535,1))</f>
        <v>17004.9830295076</v>
      </c>
      <c r="F34" s="4" t="n">
        <f aca="false">G34/G33-1</f>
        <v>0.1922670251351</v>
      </c>
      <c r="G34" s="5" t="n">
        <f aca="false">INDEX(Günlük!$E$2:$E$1535,MATCH(B34,Günlük!$A$2:$A$1535,1))</f>
        <v>28316.0056133467</v>
      </c>
      <c r="H34" s="4" t="n">
        <f aca="false">I34/I33-1</f>
        <v>0.241585107537679</v>
      </c>
      <c r="I34" s="5" t="n">
        <f aca="false">INDEX(Günlük!$G$2:$G$1535,MATCH(B34,Günlük!$A$2:$A$1535,1))</f>
        <v>52256.4678941226</v>
      </c>
      <c r="J34" s="2" t="n">
        <f aca="false">COUNTIFS(Günlük!$A$2:$A$1535,"&gt;="&amp;DATE(2025,3,1),Günlük!$A$2:$A$1535,"&lt;="&amp;B34,Günlük!$B$2:$B$1535,"&lt;0")</f>
        <v>10</v>
      </c>
      <c r="K34" s="2" t="n">
        <f aca="false">COUNTIFS(Günlük!$A$2:$A$1535,"&gt;="&amp;DATE(2025,3,1),Günlük!$A$2:$A$1535,"&lt;="&amp;B34,Günlük!$D$2:$D$1535,"&lt;0")</f>
        <v>11</v>
      </c>
      <c r="L34" s="4" t="n">
        <f aca="false">_xlfn.MINIFS(Günlük!$D$2:$D$1535,Günlük!$A$2:$A$1535,"&gt;="&amp;DATE(2025,3,1),Günlük!$A$2:$A$1535,"&lt;="&amp;B34)</f>
        <v>-0.05314096</v>
      </c>
    </row>
    <row r="35" customFormat="false" ht="15" hidden="false" customHeight="false" outlineLevel="0" collapsed="false">
      <c r="A35" s="2" t="s">
        <v>54</v>
      </c>
      <c r="B35" s="3" t="n">
        <v>45777</v>
      </c>
      <c r="C35" s="2" t="n">
        <f aca="false">COUNTIFS(Günlük!$A$2:$A$1535,"&gt;="&amp;DATE(2025,4,1),Günlük!$A$2:$A$1535,"&lt;="&amp;B35)</f>
        <v>30</v>
      </c>
      <c r="D35" s="4" t="n">
        <f aca="false">E35/E34-1</f>
        <v>0.0543689515520927</v>
      </c>
      <c r="E35" s="5" t="n">
        <f aca="false">INDEX(Günlük!$C$2:$C$1535,MATCH(B35,Günlük!$A$2:$A$1535,1))</f>
        <v>17929.5261279831</v>
      </c>
      <c r="F35" s="4" t="n">
        <f aca="false">G35/G34-1</f>
        <v>0.10341403062231</v>
      </c>
      <c r="G35" s="5" t="n">
        <f aca="false">INDEX(Günlük!$E$2:$E$1535,MATCH(B35,Günlük!$A$2:$A$1535,1))</f>
        <v>31244.2778849469</v>
      </c>
      <c r="H35" s="4" t="n">
        <f aca="false">I35/I34-1</f>
        <v>0.126695542018915</v>
      </c>
      <c r="I35" s="5" t="n">
        <f aca="false">INDEX(Günlük!$G$2:$G$1535,MATCH(B35,Günlük!$A$2:$A$1535,1))</f>
        <v>58877.1294179624</v>
      </c>
      <c r="J35" s="2" t="n">
        <f aca="false">COUNTIFS(Günlük!$A$2:$A$1535,"&gt;="&amp;DATE(2025,4,1),Günlük!$A$2:$A$1535,"&lt;="&amp;B35,Günlük!$B$2:$B$1535,"&lt;0")</f>
        <v>17</v>
      </c>
      <c r="K35" s="2" t="n">
        <f aca="false">COUNTIFS(Günlük!$A$2:$A$1535,"&gt;="&amp;DATE(2025,4,1),Günlük!$A$2:$A$1535,"&lt;="&amp;B35,Günlük!$D$2:$D$1535,"&lt;0")</f>
        <v>14</v>
      </c>
      <c r="L35" s="4" t="n">
        <f aca="false">_xlfn.MINIFS(Günlük!$D$2:$D$1535,Günlük!$A$2:$A$1535,"&gt;="&amp;DATE(2025,4,1),Günlük!$A$2:$A$1535,"&lt;="&amp;B35)</f>
        <v>-0.06580859</v>
      </c>
    </row>
    <row r="36" customFormat="false" ht="15" hidden="false" customHeight="false" outlineLevel="0" collapsed="false">
      <c r="A36" s="2" t="s">
        <v>55</v>
      </c>
      <c r="B36" s="3" t="n">
        <v>45808</v>
      </c>
      <c r="C36" s="2" t="n">
        <f aca="false">COUNTIFS(Günlük!$A$2:$A$1535,"&gt;="&amp;DATE(2025,5,1),Günlük!$A$2:$A$1535,"&lt;="&amp;B36)</f>
        <v>31</v>
      </c>
      <c r="D36" s="4" t="n">
        <f aca="false">E36/E35-1</f>
        <v>-0.0136351119255859</v>
      </c>
      <c r="E36" s="5" t="n">
        <f aca="false">INDEX(Günlük!$C$2:$C$1535,MATCH(B36,Günlük!$A$2:$A$1535,1))</f>
        <v>17685.0550324553</v>
      </c>
      <c r="F36" s="4" t="n">
        <f aca="false">G36/G35-1</f>
        <v>-0.0104548141650617</v>
      </c>
      <c r="G36" s="5" t="n">
        <f aca="false">INDEX(Günlük!$E$2:$E$1535,MATCH(B36,Günlük!$A$2:$A$1535,1))</f>
        <v>30917.6247659382</v>
      </c>
      <c r="H36" s="4" t="n">
        <f aca="false">I36/I35-1</f>
        <v>-0.0138855317086093</v>
      </c>
      <c r="I36" s="5" t="n">
        <f aca="false">INDEX(Günlük!$G$2:$G$1535,MATCH(B36,Günlük!$A$2:$A$1535,1))</f>
        <v>58059.5891705174</v>
      </c>
      <c r="J36" s="2" t="n">
        <f aca="false">COUNTIFS(Günlük!$A$2:$A$1535,"&gt;="&amp;DATE(2025,5,1),Günlük!$A$2:$A$1535,"&lt;="&amp;B36,Günlük!$B$2:$B$1535,"&lt;0")</f>
        <v>18</v>
      </c>
      <c r="K36" s="2" t="n">
        <f aca="false">COUNTIFS(Günlük!$A$2:$A$1535,"&gt;="&amp;DATE(2025,5,1),Günlük!$A$2:$A$1535,"&lt;="&amp;B36,Günlük!$D$2:$D$1535,"&lt;0")</f>
        <v>16</v>
      </c>
      <c r="L36" s="4" t="n">
        <f aca="false">_xlfn.MINIFS(Günlük!$D$2:$D$1535,Günlük!$A$2:$A$1535,"&gt;="&amp;DATE(2025,5,1),Günlük!$A$2:$A$1535,"&lt;="&amp;B36)</f>
        <v>-0.03864233</v>
      </c>
    </row>
    <row r="37" customFormat="false" ht="15" hidden="false" customHeight="false" outlineLevel="0" collapsed="false">
      <c r="A37" s="2" t="s">
        <v>56</v>
      </c>
      <c r="B37" s="3" t="n">
        <v>45838</v>
      </c>
      <c r="C37" s="2" t="n">
        <f aca="false">COUNTIFS(Günlük!$A$2:$A$1535,"&gt;="&amp;DATE(2025,6,1),Günlük!$A$2:$A$1535,"&lt;="&amp;B37)</f>
        <v>30</v>
      </c>
      <c r="D37" s="4" t="n">
        <f aca="false">E37/E36-1</f>
        <v>0.0523440252299725</v>
      </c>
      <c r="E37" s="5" t="n">
        <f aca="false">INDEX(Günlük!$C$2:$C$1535,MATCH(B37,Günlük!$A$2:$A$1535,1))</f>
        <v>18610.7619992676</v>
      </c>
      <c r="F37" s="4" t="n">
        <f aca="false">G37/G36-1</f>
        <v>0.138717709427429</v>
      </c>
      <c r="G37" s="5" t="n">
        <f aca="false">INDEX(Günlük!$E$2:$E$1535,MATCH(B37,Günlük!$A$2:$A$1535,1))</f>
        <v>35206.4468544059</v>
      </c>
      <c r="H37" s="4" t="n">
        <f aca="false">I37/I36-1</f>
        <v>0.174676461713345</v>
      </c>
      <c r="I37" s="5" t="n">
        <f aca="false">INDEX(Günlük!$G$2:$G$1535,MATCH(B37,Günlük!$A$2:$A$1535,1))</f>
        <v>68201.2327753538</v>
      </c>
      <c r="J37" s="2" t="n">
        <f aca="false">COUNTIFS(Günlük!$A$2:$A$1535,"&gt;="&amp;DATE(2025,6,1),Günlük!$A$2:$A$1535,"&lt;="&amp;B37,Günlük!$B$2:$B$1535,"&lt;0")</f>
        <v>13</v>
      </c>
      <c r="K37" s="2" t="n">
        <f aca="false">COUNTIFS(Günlük!$A$2:$A$1535,"&gt;="&amp;DATE(2025,6,1),Günlük!$A$2:$A$1535,"&lt;="&amp;B37,Günlük!$D$2:$D$1535,"&lt;0")</f>
        <v>12</v>
      </c>
      <c r="L37" s="4" t="n">
        <f aca="false">_xlfn.MINIFS(Günlük!$D$2:$D$1535,Günlük!$A$2:$A$1535,"&gt;="&amp;DATE(2025,6,1),Günlük!$A$2:$A$1535,"&lt;="&amp;B37)</f>
        <v>-0.03253493</v>
      </c>
    </row>
    <row r="38" customFormat="false" ht="15" hidden="false" customHeight="false" outlineLevel="0" collapsed="false">
      <c r="A38" s="2" t="s">
        <v>57</v>
      </c>
      <c r="B38" s="3" t="n">
        <v>45869</v>
      </c>
      <c r="C38" s="2" t="n">
        <f aca="false">COUNTIFS(Günlük!$A$2:$A$1535,"&gt;="&amp;DATE(2025,7,1),Günlük!$A$2:$A$1535,"&lt;="&amp;B38)</f>
        <v>31</v>
      </c>
      <c r="D38" s="4" t="n">
        <f aca="false">E38/E37-1</f>
        <v>0.0109837972651929</v>
      </c>
      <c r="E38" s="5" t="n">
        <f aca="false">INDEX(Günlük!$C$2:$C$1535,MATCH(B38,Günlük!$A$2:$A$1535,1))</f>
        <v>18815.1788360183</v>
      </c>
      <c r="F38" s="4" t="n">
        <f aca="false">G38/G37-1</f>
        <v>-0.00660755141022595</v>
      </c>
      <c r="G38" s="5" t="n">
        <f aca="false">INDEX(Günlük!$E$2:$E$1535,MATCH(B38,Günlük!$A$2:$A$1535,1))</f>
        <v>34973.818446844</v>
      </c>
      <c r="H38" s="4" t="n">
        <f aca="false">I38/I37-1</f>
        <v>-0.00970039488727903</v>
      </c>
      <c r="I38" s="5" t="n">
        <f aca="false">INDEX(Günlük!$G$2:$G$1535,MATCH(B38,Günlük!$A$2:$A$1535,1))</f>
        <v>67539.6538856337</v>
      </c>
      <c r="J38" s="2" t="n">
        <f aca="false">COUNTIFS(Günlük!$A$2:$A$1535,"&gt;="&amp;DATE(2025,7,1),Günlük!$A$2:$A$1535,"&lt;="&amp;B38,Günlük!$B$2:$B$1535,"&lt;0")</f>
        <v>14</v>
      </c>
      <c r="K38" s="2" t="n">
        <f aca="false">COUNTIFS(Günlük!$A$2:$A$1535,"&gt;="&amp;DATE(2025,7,1),Günlük!$A$2:$A$1535,"&lt;="&amp;B38,Günlük!$D$2:$D$1535,"&lt;0")</f>
        <v>17</v>
      </c>
      <c r="L38" s="4" t="n">
        <f aca="false">_xlfn.MINIFS(Günlük!$D$2:$D$1535,Günlük!$A$2:$A$1535,"&gt;="&amp;DATE(2025,7,1),Günlük!$A$2:$A$1535,"&lt;="&amp;B38)</f>
        <v>-0.03064381</v>
      </c>
    </row>
    <row r="39" customFormat="false" ht="15" hidden="false" customHeight="false" outlineLevel="0" collapsed="false">
      <c r="A39" s="2" t="s">
        <v>58</v>
      </c>
      <c r="B39" s="3" t="n">
        <v>45900</v>
      </c>
      <c r="C39" s="2" t="n">
        <f aca="false">COUNTIFS(Günlük!$A$2:$A$1535,"&gt;="&amp;DATE(2025,8,1),Günlük!$A$2:$A$1535,"&lt;="&amp;B39)</f>
        <v>31</v>
      </c>
      <c r="D39" s="4" t="n">
        <f aca="false">E39/E38-1</f>
        <v>-0.0133294120105373</v>
      </c>
      <c r="E39" s="5" t="n">
        <f aca="false">INDEX(Günlük!$C$2:$C$1535,MATCH(B39,Günlük!$A$2:$A$1535,1))</f>
        <v>18564.3835652611</v>
      </c>
      <c r="F39" s="4" t="n">
        <f aca="false">G39/G38-1</f>
        <v>0.0539143997023597</v>
      </c>
      <c r="G39" s="5" t="n">
        <f aca="false">INDEX(Günlük!$E$2:$E$1535,MATCH(B39,Günlük!$A$2:$A$1535,1))</f>
        <v>36859.4108737049</v>
      </c>
      <c r="H39" s="4" t="n">
        <f aca="false">I39/I38-1</f>
        <v>0.0670449243696512</v>
      </c>
      <c r="I39" s="5" t="n">
        <f aca="false">INDEX(Günlük!$G$2:$G$1535,MATCH(B39,Günlük!$A$2:$A$1535,1))</f>
        <v>72067.8448723484</v>
      </c>
      <c r="J39" s="2" t="n">
        <f aca="false">COUNTIFS(Günlük!$A$2:$A$1535,"&gt;="&amp;DATE(2025,8,1),Günlük!$A$2:$A$1535,"&lt;="&amp;B39,Günlük!$B$2:$B$1535,"&lt;0")</f>
        <v>19</v>
      </c>
      <c r="K39" s="2" t="n">
        <f aca="false">COUNTIFS(Günlük!$A$2:$A$1535,"&gt;="&amp;DATE(2025,8,1),Günlük!$A$2:$A$1535,"&lt;="&amp;B39,Günlük!$D$2:$D$1535,"&lt;0")</f>
        <v>16</v>
      </c>
      <c r="L39" s="4" t="n">
        <f aca="false">_xlfn.MINIFS(Günlük!$D$2:$D$1535,Günlük!$A$2:$A$1535,"&gt;="&amp;DATE(2025,8,1),Günlük!$A$2:$A$1535,"&lt;="&amp;B39)</f>
        <v>-0.02256977</v>
      </c>
    </row>
    <row r="40" customFormat="false" ht="15" hidden="false" customHeight="false" outlineLevel="0" collapsed="false">
      <c r="A40" s="2" t="s">
        <v>59</v>
      </c>
      <c r="B40" s="3" t="n">
        <v>45930</v>
      </c>
      <c r="C40" s="2" t="n">
        <f aca="false">COUNTIFS(Günlük!$A$2:$A$1535,"&gt;="&amp;DATE(2025,9,1),Günlük!$A$2:$A$1535,"&lt;="&amp;B40)</f>
        <v>30</v>
      </c>
      <c r="D40" s="4" t="n">
        <f aca="false">E40/E39-1</f>
        <v>-0.0204212964607271</v>
      </c>
      <c r="E40" s="5" t="n">
        <f aca="false">INDEX(Günlük!$C$2:$C$1535,MATCH(B40,Günlük!$A$2:$A$1535,1))</f>
        <v>18185.2747848642</v>
      </c>
      <c r="F40" s="4" t="n">
        <f aca="false">G40/G39-1</f>
        <v>0.0365377227179249</v>
      </c>
      <c r="G40" s="5" t="n">
        <f aca="false">INDEX(Günlük!$E$2:$E$1535,MATCH(B40,Günlük!$A$2:$A$1535,1))</f>
        <v>38206.1698077544</v>
      </c>
      <c r="H40" s="4" t="n">
        <f aca="false">I40/I39-1</f>
        <v>0.0448840255508847</v>
      </c>
      <c r="I40" s="5" t="n">
        <f aca="false">INDEX(Günlük!$G$2:$G$1535,MATCH(B40,Günlük!$A$2:$A$1535,1))</f>
        <v>75302.5398629961</v>
      </c>
      <c r="J40" s="2" t="n">
        <f aca="false">COUNTIFS(Günlük!$A$2:$A$1535,"&gt;="&amp;DATE(2025,9,1),Günlük!$A$2:$A$1535,"&lt;="&amp;B40,Günlük!$B$2:$B$1535,"&lt;0")</f>
        <v>15</v>
      </c>
      <c r="K40" s="2" t="n">
        <f aca="false">COUNTIFS(Günlük!$A$2:$A$1535,"&gt;="&amp;DATE(2025,9,1),Günlük!$A$2:$A$1535,"&lt;="&amp;B40,Günlük!$D$2:$D$1535,"&lt;0")</f>
        <v>14</v>
      </c>
      <c r="L40" s="4" t="n">
        <f aca="false">_xlfn.MINIFS(Günlük!$D$2:$D$1535,Günlük!$A$2:$A$1535,"&gt;="&amp;DATE(2025,9,1),Günlük!$A$2:$A$1535,"&lt;="&amp;B40)</f>
        <v>-0.03739119</v>
      </c>
    </row>
    <row r="41" customFormat="false" ht="15" hidden="false" customHeight="false" outlineLevel="0" collapsed="false">
      <c r="A41" s="2" t="s">
        <v>60</v>
      </c>
      <c r="B41" s="3" t="n">
        <v>45961</v>
      </c>
      <c r="C41" s="2" t="n">
        <f aca="false">COUNTIFS(Günlük!$A$2:$A$1535,"&gt;="&amp;DATE(2025,10,1),Günlük!$A$2:$A$1535,"&lt;="&amp;B41)</f>
        <v>31</v>
      </c>
      <c r="D41" s="4" t="n">
        <f aca="false">E41/E40-1</f>
        <v>0.0487810182095119</v>
      </c>
      <c r="E41" s="5" t="n">
        <f aca="false">INDEX(Günlük!$C$2:$C$1535,MATCH(B41,Günlük!$A$2:$A$1535,1))</f>
        <v>19072.3710052897</v>
      </c>
      <c r="F41" s="4" t="n">
        <f aca="false">G41/G40-1</f>
        <v>0.000222415609131277</v>
      </c>
      <c r="G41" s="5" t="n">
        <f aca="false">INDEX(Günlük!$E$2:$E$1535,MATCH(B41,Günlük!$A$2:$A$1535,1))</f>
        <v>38214.6674562848</v>
      </c>
      <c r="H41" s="4" t="n">
        <f aca="false">I41/I40-1</f>
        <v>-0.000638055270015259</v>
      </c>
      <c r="I41" s="5" t="n">
        <f aca="false">INDEX(Günlük!$G$2:$G$1535,MATCH(B41,Günlük!$A$2:$A$1535,1))</f>
        <v>75254.4926805909</v>
      </c>
      <c r="J41" s="2" t="n">
        <f aca="false">COUNTIFS(Günlük!$A$2:$A$1535,"&gt;="&amp;DATE(2025,10,1),Günlük!$A$2:$A$1535,"&lt;="&amp;B41,Günlük!$B$2:$B$1535,"&lt;0")</f>
        <v>15</v>
      </c>
      <c r="K41" s="2" t="n">
        <f aca="false">COUNTIFS(Günlük!$A$2:$A$1535,"&gt;="&amp;DATE(2025,10,1),Günlük!$A$2:$A$1535,"&lt;="&amp;B41,Günlük!$D$2:$D$1535,"&lt;0")</f>
        <v>16</v>
      </c>
      <c r="L41" s="4" t="n">
        <f aca="false">_xlfn.MINIFS(Günlük!$D$2:$D$1535,Günlük!$A$2:$A$1535,"&gt;="&amp;DATE(2025,10,1),Günlük!$A$2:$A$1535,"&lt;="&amp;B41)</f>
        <v>-0.02898035</v>
      </c>
    </row>
    <row r="42" customFormat="false" ht="15" hidden="false" customHeight="false" outlineLevel="0" collapsed="false">
      <c r="A42" s="2" t="s">
        <v>61</v>
      </c>
      <c r="B42" s="3" t="n">
        <v>45991</v>
      </c>
      <c r="C42" s="2" t="n">
        <f aca="false">COUNTIFS(Günlük!$A$2:$A$1535,"&gt;="&amp;DATE(2025,11,1),Günlük!$A$2:$A$1535,"&lt;="&amp;B42)</f>
        <v>30</v>
      </c>
      <c r="D42" s="4" t="n">
        <f aca="false">E42/E41-1</f>
        <v>0.129116940929096</v>
      </c>
      <c r="E42" s="5" t="n">
        <f aca="false">INDEX(Günlük!$C$2:$C$1535,MATCH(B42,Günlük!$A$2:$A$1535,1))</f>
        <v>21534.9372057575</v>
      </c>
      <c r="F42" s="4" t="n">
        <f aca="false">G42/G41-1</f>
        <v>0.244462067901601</v>
      </c>
      <c r="G42" s="5" t="n">
        <f aca="false">INDEX(Günlük!$E$2:$E$1535,MATCH(B42,Günlük!$A$2:$A$1535,1))</f>
        <v>47556.7040868202</v>
      </c>
      <c r="H42" s="4" t="n">
        <f aca="false">I42/I41-1</f>
        <v>0.311737381939136</v>
      </c>
      <c r="I42" s="5" t="n">
        <f aca="false">INDEX(Günlük!$G$2:$G$1535,MATCH(B42,Günlük!$A$2:$A$1535,1))</f>
        <v>98714.1312079962</v>
      </c>
      <c r="J42" s="2" t="n">
        <f aca="false">COUNTIFS(Günlük!$A$2:$A$1535,"&gt;="&amp;DATE(2025,11,1),Günlük!$A$2:$A$1535,"&lt;="&amp;B42,Günlük!$B$2:$B$1535,"&lt;0")</f>
        <v>12</v>
      </c>
      <c r="K42" s="2" t="n">
        <f aca="false">COUNTIFS(Günlük!$A$2:$A$1535,"&gt;="&amp;DATE(2025,11,1),Günlük!$A$2:$A$1535,"&lt;="&amp;B42,Günlük!$D$2:$D$1535,"&lt;0")</f>
        <v>11</v>
      </c>
      <c r="L42" s="4" t="n">
        <f aca="false">_xlfn.MINIFS(Günlük!$D$2:$D$1535,Günlük!$A$2:$A$1535,"&gt;="&amp;DATE(2025,11,1),Günlük!$A$2:$A$1535,"&lt;="&amp;B42)</f>
        <v>-0.03180648</v>
      </c>
    </row>
    <row r="43" customFormat="false" ht="15" hidden="false" customHeight="false" outlineLevel="0" collapsed="false">
      <c r="A43" s="2" t="s">
        <v>62</v>
      </c>
      <c r="B43" s="3" t="n">
        <v>46022</v>
      </c>
      <c r="C43" s="2" t="n">
        <f aca="false">COUNTIFS(Günlük!$A$2:$A$1535,"&gt;="&amp;DATE(2025,12,1),Günlük!$A$2:$A$1535,"&lt;="&amp;B43)</f>
        <v>31</v>
      </c>
      <c r="D43" s="4" t="n">
        <f aca="false">E43/E42-1</f>
        <v>0.231146747868179</v>
      </c>
      <c r="E43" s="5" t="n">
        <f aca="false">INDEX(Günlük!$C$2:$C$1535,MATCH(B43,Günlük!$A$2:$A$1535,1))</f>
        <v>26512.6679064138</v>
      </c>
      <c r="F43" s="4" t="n">
        <f aca="false">G43/G42-1</f>
        <v>0.481133523645709</v>
      </c>
      <c r="G43" s="5" t="n">
        <f aca="false">INDEX(Günlük!$E$2:$E$1535,MATCH(B43,Günlük!$A$2:$A$1535,1))</f>
        <v>70437.8286970883</v>
      </c>
      <c r="H43" s="4" t="n">
        <f aca="false">I43/I42-1</f>
        <v>0.627118881882722</v>
      </c>
      <c r="I43" s="5" t="n">
        <f aca="false">INDEX(Günlük!$G$2:$G$1535,MATCH(B43,Günlük!$A$2:$A$1535,1))</f>
        <v>160619.626797179</v>
      </c>
      <c r="J43" s="2" t="n">
        <f aca="false">COUNTIFS(Günlük!$A$2:$A$1535,"&gt;="&amp;DATE(2025,12,1),Günlük!$A$2:$A$1535,"&lt;="&amp;B43,Günlük!$B$2:$B$1535,"&lt;0")</f>
        <v>12</v>
      </c>
      <c r="K43" s="2" t="n">
        <f aca="false">COUNTIFS(Günlük!$A$2:$A$1535,"&gt;="&amp;DATE(2025,12,1),Günlük!$A$2:$A$1535,"&lt;="&amp;B43,Günlük!$D$2:$D$1535,"&lt;0")</f>
        <v>11</v>
      </c>
      <c r="L43" s="4" t="n">
        <f aca="false">_xlfn.MINIFS(Günlük!$D$2:$D$1535,Günlük!$A$2:$A$1535,"&gt;="&amp;DATE(2025,12,1),Günlük!$A$2:$A$1535,"&lt;="&amp;B43)</f>
        <v>-0.03165711</v>
      </c>
    </row>
    <row r="44" customFormat="false" ht="15" hidden="false" customHeight="false" outlineLevel="0" collapsed="false">
      <c r="A44" s="2" t="s">
        <v>63</v>
      </c>
      <c r="B44" s="3" t="n">
        <v>46053</v>
      </c>
      <c r="C44" s="2" t="n">
        <f aca="false">COUNTIFS(Günlük!$A$2:$A$1535,"&gt;="&amp;DATE(2026,1,1),Günlük!$A$2:$A$1535,"&lt;="&amp;B44)</f>
        <v>31</v>
      </c>
      <c r="D44" s="4" t="n">
        <f aca="false">E44/E43-1</f>
        <v>0.109839861793507</v>
      </c>
      <c r="E44" s="5" t="n">
        <f aca="false">INDEX(Günlük!$C$2:$C$1535,MATCH(B44,Günlük!$A$2:$A$1535,1))</f>
        <v>29424.8156850314</v>
      </c>
      <c r="F44" s="4" t="n">
        <f aca="false">G44/G43-1</f>
        <v>0.432119845473549</v>
      </c>
      <c r="G44" s="5" t="n">
        <f aca="false">INDEX(Günlük!$E$2:$E$1535,MATCH(B44,Günlük!$A$2:$A$1535,1))</f>
        <v>100875.412349166</v>
      </c>
      <c r="H44" s="4" t="n">
        <f aca="false">I44/I43-1</f>
        <v>0.561641283512237</v>
      </c>
      <c r="I44" s="5" t="n">
        <f aca="false">INDEX(Günlük!$G$2:$G$1535,MATCH(B44,Günlük!$A$2:$A$1535,1))</f>
        <v>250830.240148803</v>
      </c>
      <c r="J44" s="2" t="n">
        <f aca="false">COUNTIFS(Günlük!$A$2:$A$1535,"&gt;="&amp;DATE(2026,1,1),Günlük!$A$2:$A$1535,"&lt;="&amp;B44,Günlük!$B$2:$B$1535,"&lt;0")</f>
        <v>12</v>
      </c>
      <c r="K44" s="2" t="n">
        <f aca="false">COUNTIFS(Günlük!$A$2:$A$1535,"&gt;="&amp;DATE(2026,1,1),Günlük!$A$2:$A$1535,"&lt;="&amp;B44,Günlük!$D$2:$D$1535,"&lt;0")</f>
        <v>11</v>
      </c>
      <c r="L44" s="4" t="n">
        <f aca="false">_xlfn.MINIFS(Günlük!$D$2:$D$1535,Günlük!$A$2:$A$1535,"&gt;="&amp;DATE(2026,1,1),Günlük!$A$2:$A$1535,"&lt;="&amp;B44)</f>
        <v>-0.03981718</v>
      </c>
    </row>
    <row r="45" customFormat="false" ht="15" hidden="false" customHeight="false" outlineLevel="0" collapsed="false">
      <c r="A45" s="2" t="s">
        <v>64</v>
      </c>
      <c r="B45" s="3" t="n">
        <v>46081</v>
      </c>
      <c r="C45" s="2" t="n">
        <f aca="false">COUNTIFS(Günlük!$A$2:$A$1535,"&gt;="&amp;DATE(2026,2,1),Günlük!$A$2:$A$1535,"&lt;="&amp;B45)</f>
        <v>28</v>
      </c>
      <c r="D45" s="4" t="n">
        <f aca="false">E45/E44-1</f>
        <v>0.0769287825807541</v>
      </c>
      <c r="E45" s="5" t="n">
        <f aca="false">INDEX(Günlük!$C$2:$C$1535,MATCH(B45,Günlük!$A$2:$A$1535,1))</f>
        <v>31688.4309333439</v>
      </c>
      <c r="F45" s="4" t="n">
        <f aca="false">G45/G44-1</f>
        <v>0.221157816399538</v>
      </c>
      <c r="G45" s="5" t="n">
        <f aca="false">INDEX(Günlük!$E$2:$E$1535,MATCH(B45,Günlük!$A$2:$A$1535,1))</f>
        <v>123184.798272711</v>
      </c>
      <c r="H45" s="4" t="n">
        <f aca="false">I45/I44-1</f>
        <v>0.280319501275734</v>
      </c>
      <c r="I45" s="5" t="n">
        <f aca="false">INDEX(Günlük!$G$2:$G$1535,MATCH(B45,Günlük!$A$2:$A$1535,1))</f>
        <v>321142.847972188</v>
      </c>
      <c r="J45" s="2" t="n">
        <f aca="false">COUNTIFS(Günlük!$A$2:$A$1535,"&gt;="&amp;DATE(2026,2,1),Günlük!$A$2:$A$1535,"&lt;="&amp;B45,Günlük!$B$2:$B$1535,"&lt;0")</f>
        <v>13</v>
      </c>
      <c r="K45" s="2" t="n">
        <f aca="false">COUNTIFS(Günlük!$A$2:$A$1535,"&gt;="&amp;DATE(2026,2,1),Günlük!$A$2:$A$1535,"&lt;="&amp;B45,Günlük!$D$2:$D$1535,"&lt;0")</f>
        <v>10</v>
      </c>
      <c r="L45" s="4" t="n">
        <f aca="false">_xlfn.MINIFS(Günlük!$D$2:$D$1535,Günlük!$A$2:$A$1535,"&gt;="&amp;DATE(2026,2,1),Günlük!$A$2:$A$1535,"&lt;="&amp;B45)</f>
        <v>-0.03854876</v>
      </c>
    </row>
    <row r="46" customFormat="false" ht="15" hidden="false" customHeight="false" outlineLevel="0" collapsed="false">
      <c r="A46" s="2" t="s">
        <v>65</v>
      </c>
      <c r="B46" s="3" t="n">
        <v>46112</v>
      </c>
      <c r="C46" s="2" t="n">
        <f aca="false">COUNTIFS(Günlük!$A$2:$A$1535,"&gt;="&amp;DATE(2026,3,1),Günlük!$A$2:$A$1535,"&lt;="&amp;B46)</f>
        <v>31</v>
      </c>
      <c r="D46" s="4" t="n">
        <f aca="false">E46/E45-1</f>
        <v>0.0576649021995481</v>
      </c>
      <c r="E46" s="5" t="n">
        <f aca="false">INDEX(Günlük!$C$2:$C$1535,MATCH(B46,Günlük!$A$2:$A$1535,1))</f>
        <v>33515.7412039724</v>
      </c>
      <c r="F46" s="4" t="n">
        <f aca="false">G46/G45-1</f>
        <v>0.0072045181032292</v>
      </c>
      <c r="G46" s="5" t="n">
        <f aca="false">INDEX(Günlük!$E$2:$E$1535,MATCH(B46,Günlük!$A$2:$A$1535,1))</f>
        <v>124072.285381909</v>
      </c>
      <c r="H46" s="4" t="n">
        <f aca="false">I46/I45-1</f>
        <v>0.00354845679889371</v>
      </c>
      <c r="I46" s="5" t="n">
        <f aca="false">INDEX(Günlük!$G$2:$G$1535,MATCH(B46,Günlük!$A$2:$A$1535,1))</f>
        <v>322282.409494491</v>
      </c>
      <c r="J46" s="2" t="n">
        <f aca="false">COUNTIFS(Günlük!$A$2:$A$1535,"&gt;="&amp;DATE(2026,3,1),Günlük!$A$2:$A$1535,"&lt;="&amp;B46,Günlük!$B$2:$B$1535,"&lt;0")</f>
        <v>17</v>
      </c>
      <c r="K46" s="2" t="n">
        <f aca="false">COUNTIFS(Günlük!$A$2:$A$1535,"&gt;="&amp;DATE(2026,3,1),Günlük!$A$2:$A$1535,"&lt;="&amp;B46,Günlük!$D$2:$D$1535,"&lt;0")</f>
        <v>17</v>
      </c>
      <c r="L46" s="4" t="n">
        <f aca="false">_xlfn.MINIFS(Günlük!$D$2:$D$1535,Günlük!$A$2:$A$1535,"&gt;="&amp;DATE(2026,3,1),Günlük!$A$2:$A$1535,"&lt;="&amp;B46)</f>
        <v>-0.08608767</v>
      </c>
    </row>
    <row r="47" customFormat="false" ht="15" hidden="false" customHeight="false" outlineLevel="0" collapsed="false">
      <c r="A47" s="2" t="s">
        <v>66</v>
      </c>
      <c r="B47" s="3" t="n">
        <v>46142</v>
      </c>
      <c r="C47" s="2" t="n">
        <f aca="false">COUNTIFS(Günlük!$A$2:$A$1535,"&gt;="&amp;DATE(2026,4,1),Günlük!$A$2:$A$1535,"&lt;="&amp;B47)</f>
        <v>30</v>
      </c>
      <c r="D47" s="4" t="n">
        <f aca="false">E47/E46-1</f>
        <v>0.154527055947541</v>
      </c>
      <c r="E47" s="5" t="n">
        <f aca="false">INDEX(Günlük!$C$2:$C$1535,MATCH(B47,Günlük!$A$2:$A$1535,1))</f>
        <v>38694.8300201219</v>
      </c>
      <c r="F47" s="4" t="n">
        <f aca="false">G47/G46-1</f>
        <v>0.293298069719696</v>
      </c>
      <c r="G47" s="5" t="n">
        <f aca="false">INDEX(Günlük!$E$2:$E$1535,MATCH(B47,Günlük!$A$2:$A$1535,1))</f>
        <v>160462.447190135</v>
      </c>
      <c r="H47" s="4" t="n">
        <f aca="false">I47/I46-1</f>
        <v>0.376484744951134</v>
      </c>
      <c r="I47" s="5" t="n">
        <f aca="false">INDEX(Günlük!$G$2:$G$1535,MATCH(B47,Günlük!$A$2:$A$1535,1))</f>
        <v>443616.820235262</v>
      </c>
      <c r="J47" s="2" t="n">
        <f aca="false">COUNTIFS(Günlük!$A$2:$A$1535,"&gt;="&amp;DATE(2026,4,1),Günlük!$A$2:$A$1535,"&lt;="&amp;B47,Günlük!$B$2:$B$1535,"&lt;0")</f>
        <v>12</v>
      </c>
      <c r="K47" s="2" t="n">
        <f aca="false">COUNTIFS(Günlük!$A$2:$A$1535,"&gt;="&amp;DATE(2026,4,1),Günlük!$A$2:$A$1535,"&lt;="&amp;B47,Günlük!$D$2:$D$1535,"&lt;0")</f>
        <v>10</v>
      </c>
      <c r="L47" s="4" t="n">
        <f aca="false">_xlfn.MINIFS(Günlük!$D$2:$D$1535,Günlük!$A$2:$A$1535,"&gt;="&amp;DATE(2026,4,1),Günlük!$A$2:$A$1535,"&lt;="&amp;B47)</f>
        <v>-0.0286951</v>
      </c>
    </row>
    <row r="48" customFormat="false" ht="15" hidden="false" customHeight="false" outlineLevel="0" collapsed="false">
      <c r="A48" s="2" t="s">
        <v>67</v>
      </c>
      <c r="B48" s="3" t="n">
        <v>46173</v>
      </c>
      <c r="C48" s="2" t="n">
        <f aca="false">COUNTIFS(Günlük!$A$2:$A$1535,"&gt;="&amp;DATE(2026,5,1),Günlük!$A$2:$A$1535,"&lt;="&amp;B48)</f>
        <v>31</v>
      </c>
      <c r="D48" s="4" t="n">
        <f aca="false">E48/E47-1</f>
        <v>0.0603583157416379</v>
      </c>
      <c r="E48" s="5" t="n">
        <f aca="false">INDEX(Günlük!$C$2:$C$1535,MATCH(B48,Günlük!$A$2:$A$1535,1))</f>
        <v>41030.3847880454</v>
      </c>
      <c r="F48" s="4" t="n">
        <f aca="false">G48/G47-1</f>
        <v>0.144525372227858</v>
      </c>
      <c r="G48" s="5" t="n">
        <f aca="false">INDEX(Günlük!$E$2:$E$1535,MATCH(B48,Günlük!$A$2:$A$1535,1))</f>
        <v>183653.342098882</v>
      </c>
      <c r="H48" s="4" t="n">
        <f aca="false">I48/I47-1</f>
        <v>0.182199425757996</v>
      </c>
      <c r="I48" s="5" t="n">
        <f aca="false">INDEX(Günlük!$G$2:$G$1535,MATCH(B48,Günlük!$A$2:$A$1535,1))</f>
        <v>524443.550138715</v>
      </c>
      <c r="J48" s="2" t="n">
        <f aca="false">COUNTIFS(Günlük!$A$2:$A$1535,"&gt;="&amp;DATE(2026,5,1),Günlük!$A$2:$A$1535,"&lt;="&amp;B48,Günlük!$B$2:$B$1535,"&lt;0")</f>
        <v>15</v>
      </c>
      <c r="K48" s="2" t="n">
        <f aca="false">COUNTIFS(Günlük!$A$2:$A$1535,"&gt;="&amp;DATE(2026,5,1),Günlük!$A$2:$A$1535,"&lt;="&amp;B48,Günlük!$D$2:$D$1535,"&lt;0")</f>
        <v>12</v>
      </c>
      <c r="L48" s="4" t="n">
        <f aca="false">_xlfn.MINIFS(Günlük!$D$2:$D$1535,Günlük!$A$2:$A$1535,"&gt;="&amp;DATE(2026,5,1),Günlük!$A$2:$A$1535,"&lt;="&amp;B48)</f>
        <v>-0.0286081</v>
      </c>
    </row>
    <row r="49" customFormat="false" ht="15" hidden="false" customHeight="false" outlineLevel="0" collapsed="false">
      <c r="A49" s="2" t="s">
        <v>68</v>
      </c>
      <c r="B49" s="3" t="n">
        <v>46203</v>
      </c>
      <c r="C49" s="2" t="n">
        <f aca="false">COUNTIFS(Günlük!$A$2:$A$1535,"&gt;="&amp;DATE(2026,6,1),Günlük!$A$2:$A$1535,"&lt;="&amp;B49)</f>
        <v>30</v>
      </c>
      <c r="D49" s="4" t="n">
        <f aca="false">E49/E48-1</f>
        <v>0.198047498618015</v>
      </c>
      <c r="E49" s="5" t="n">
        <f aca="false">INDEX(Günlük!$C$2:$C$1535,MATCH(B49,Günlük!$A$2:$A$1535,1))</f>
        <v>49156.3498626525</v>
      </c>
      <c r="F49" s="4" t="n">
        <f aca="false">G49/G48-1</f>
        <v>0.299141953844015</v>
      </c>
      <c r="G49" s="5" t="n">
        <f aca="false">INDEX(Günlük!$E$2:$E$1535,MATCH(B49,Günlük!$A$2:$A$1535,1))</f>
        <v>238591.761684325</v>
      </c>
      <c r="H49" s="4" t="n">
        <f aca="false">I49/I48-1</f>
        <v>0.383513264981223</v>
      </c>
      <c r="I49" s="5" t="n">
        <f aca="false">INDEX(Günlük!$G$2:$G$1535,MATCH(B49,Günlük!$A$2:$A$1535,1))</f>
        <v>725574.608350758</v>
      </c>
      <c r="J49" s="2" t="n">
        <f aca="false">COUNTIFS(Günlük!$A$2:$A$1535,"&gt;="&amp;DATE(2026,6,1),Günlük!$A$2:$A$1535,"&lt;="&amp;B49,Günlük!$B$2:$B$1535,"&lt;0")</f>
        <v>10</v>
      </c>
      <c r="K49" s="2" t="n">
        <f aca="false">COUNTIFS(Günlük!$A$2:$A$1535,"&gt;="&amp;DATE(2026,6,1),Günlük!$A$2:$A$1535,"&lt;="&amp;B49,Günlük!$D$2:$D$1535,"&lt;0")</f>
        <v>11</v>
      </c>
      <c r="L49" s="4" t="n">
        <f aca="false">_xlfn.MINIFS(Günlük!$D$2:$D$1535,Günlük!$A$2:$A$1535,"&gt;="&amp;DATE(2026,6,1),Günlük!$A$2:$A$1535,"&lt;="&amp;B49)</f>
        <v>-0.03623887</v>
      </c>
    </row>
    <row r="50" customFormat="false" ht="15" hidden="false" customHeight="false" outlineLevel="0" collapsed="false">
      <c r="A50" s="2" t="s">
        <v>69</v>
      </c>
      <c r="B50" s="3" t="n">
        <v>46234</v>
      </c>
      <c r="C50" s="2" t="n">
        <f aca="false">COUNTIFS(Günlük!$A$2:$A$1535,"&gt;="&amp;DATE(2026,7,1),Günlük!$A$2:$A$1535,"&lt;="&amp;B50)</f>
        <v>31</v>
      </c>
      <c r="D50" s="4" t="n">
        <f aca="false">E50/E49-1</f>
        <v>0.0663145153597029</v>
      </c>
      <c r="E50" s="5" t="n">
        <f aca="false">INDEX(Günlük!$C$2:$C$1535,MATCH(B50,Günlük!$A$2:$A$1535,1))</f>
        <v>52416.1293806463</v>
      </c>
      <c r="F50" s="4" t="n">
        <f aca="false">G50/G49-1</f>
        <v>-0.0133802848015363</v>
      </c>
      <c r="G50" s="5" t="n">
        <f aca="false">INDEX(Günlük!$E$2:$E$1535,MATCH(B50,Günlük!$A$2:$A$1535,1))</f>
        <v>235399.335961688</v>
      </c>
      <c r="H50" s="4" t="n">
        <f aca="false">I50/I49-1</f>
        <v>-0.0184627362851517</v>
      </c>
      <c r="I50" s="5" t="n">
        <f aca="false">INDEX(Günlük!$G$2:$G$1535,MATCH(B50,Günlük!$A$2:$A$1535,1))</f>
        <v>712178.515701575</v>
      </c>
      <c r="J50" s="2" t="n">
        <f aca="false">COUNTIFS(Günlük!$A$2:$A$1535,"&gt;="&amp;DATE(2026,7,1),Günlük!$A$2:$A$1535,"&lt;="&amp;B50,Günlük!$B$2:$B$1535,"&lt;0")</f>
        <v>13</v>
      </c>
      <c r="K50" s="2" t="n">
        <f aca="false">COUNTIFS(Günlük!$A$2:$A$1535,"&gt;="&amp;DATE(2026,7,1),Günlük!$A$2:$A$1535,"&lt;="&amp;B50,Günlük!$D$2:$D$1535,"&lt;0")</f>
        <v>14</v>
      </c>
      <c r="L50" s="4" t="n">
        <f aca="false">_xlfn.MINIFS(Günlük!$D$2:$D$1535,Günlük!$A$2:$A$1535,"&gt;="&amp;DATE(2026,7,1),Günlük!$A$2:$A$1535,"&lt;="&amp;B50)</f>
        <v>-0.03959414</v>
      </c>
    </row>
    <row r="51" customFormat="false" ht="15" hidden="false" customHeight="false" outlineLevel="0" collapsed="false">
      <c r="A51" s="2" t="s">
        <v>70</v>
      </c>
      <c r="B51" s="3" t="n">
        <v>46265</v>
      </c>
      <c r="C51" s="2" t="n">
        <f aca="false">COUNTIFS(Günlük!$A$2:$A$1535,"&gt;="&amp;DATE(2026,8,1),Günlük!$A$2:$A$1535,"&lt;="&amp;B51)</f>
        <v>31</v>
      </c>
      <c r="D51" s="4" t="n">
        <f aca="false">E51/E50-1</f>
        <v>0.158672017009711</v>
      </c>
      <c r="E51" s="5" t="n">
        <f aca="false">INDEX(Günlük!$C$2:$C$1535,MATCH(B51,Günlük!$A$2:$A$1535,1))</f>
        <v>60733.1023533154</v>
      </c>
      <c r="F51" s="4" t="n">
        <f aca="false">G51/G50-1</f>
        <v>0.091636323401308</v>
      </c>
      <c r="G51" s="5" t="n">
        <f aca="false">INDEX(Günlük!$E$2:$E$1535,MATCH(B51,Günlük!$A$2:$A$1535,1))</f>
        <v>256970.465640326</v>
      </c>
      <c r="H51" s="4" t="n">
        <f aca="false">I51/I50-1</f>
        <v>0.112869920977889</v>
      </c>
      <c r="I51" s="5" t="n">
        <f aca="false">INDEX(Günlük!$G$2:$G$1535,MATCH(B51,Günlük!$A$2:$A$1535,1))</f>
        <v>792562.048490962</v>
      </c>
      <c r="J51" s="2" t="n">
        <f aca="false">COUNTIFS(Günlük!$A$2:$A$1535,"&gt;="&amp;DATE(2026,8,1),Günlük!$A$2:$A$1535,"&lt;="&amp;B51,Günlük!$B$2:$B$1535,"&lt;0")</f>
        <v>11</v>
      </c>
      <c r="K51" s="2" t="n">
        <f aca="false">COUNTIFS(Günlük!$A$2:$A$1535,"&gt;="&amp;DATE(2026,8,1),Günlük!$A$2:$A$1535,"&lt;="&amp;B51,Günlük!$D$2:$D$1535,"&lt;0")</f>
        <v>14</v>
      </c>
      <c r="L51" s="4" t="n">
        <f aca="false">_xlfn.MINIFS(Günlük!$D$2:$D$1535,Günlük!$A$2:$A$1535,"&gt;="&amp;DATE(2026,8,1),Günlük!$A$2:$A$1535,"&lt;="&amp;B51)</f>
        <v>-0.03458908</v>
      </c>
    </row>
    <row r="52" customFormat="false" ht="15" hidden="false" customHeight="false" outlineLevel="0" collapsed="false">
      <c r="A52" s="2" t="s">
        <v>71</v>
      </c>
      <c r="B52" s="3" t="n">
        <v>46295</v>
      </c>
      <c r="C52" s="2" t="n">
        <f aca="false">COUNTIFS(Günlük!$A$2:$A$1535,"&gt;="&amp;DATE(2026,9,1),Günlük!$A$2:$A$1535,"&lt;="&amp;B52)</f>
        <v>30</v>
      </c>
      <c r="D52" s="4" t="n">
        <f aca="false">E52/E51-1</f>
        <v>0.058541792959514</v>
      </c>
      <c r="E52" s="5" t="n">
        <f aca="false">INDEX(Günlük!$C$2:$C$1535,MATCH(B52,Günlük!$A$2:$A$1535,1))</f>
        <v>64288.5270570721</v>
      </c>
      <c r="F52" s="4" t="n">
        <f aca="false">G52/G51-1</f>
        <v>0.0581354475722373</v>
      </c>
      <c r="G52" s="5" t="n">
        <f aca="false">INDEX(Günlük!$E$2:$E$1535,MATCH(B52,Günlük!$A$2:$A$1535,1))</f>
        <v>271909.558673173</v>
      </c>
      <c r="H52" s="4" t="n">
        <f aca="false">I52/I51-1</f>
        <v>0.0716873346273401</v>
      </c>
      <c r="I52" s="5" t="n">
        <f aca="false">INDEX(Günlük!$G$2:$G$1535,MATCH(B52,Günlük!$A$2:$A$1535,1))</f>
        <v>849378.709274064</v>
      </c>
      <c r="J52" s="2" t="n">
        <f aca="false">COUNTIFS(Günlük!$A$2:$A$1535,"&gt;="&amp;DATE(2026,9,1),Günlük!$A$2:$A$1535,"&lt;="&amp;B52,Günlük!$B$2:$B$1535,"&lt;0")</f>
        <v>11</v>
      </c>
      <c r="K52" s="2" t="n">
        <f aca="false">COUNTIFS(Günlük!$A$2:$A$1535,"&gt;="&amp;DATE(2026,9,1),Günlük!$A$2:$A$1535,"&lt;="&amp;B52,Günlük!$D$2:$D$1535,"&lt;0")</f>
        <v>10</v>
      </c>
      <c r="L52" s="4" t="n">
        <f aca="false">_xlfn.MINIFS(Günlük!$D$2:$D$1535,Günlük!$A$2:$A$1535,"&gt;="&amp;DATE(2026,9,1),Günlük!$A$2:$A$1535,"&lt;="&amp;B52)</f>
        <v>-0.05799941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6" min="5" style="0" width="15"/>
    <col collapsed="false" customWidth="true" hidden="false" outlineLevel="0" max="7" min="7" style="0" width="17"/>
  </cols>
  <sheetData>
    <row r="1" customFormat="false" ht="26.85" hidden="false" customHeight="false" outlineLevel="0" collapsed="false">
      <c r="A1" s="1" t="s">
        <v>72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customFormat="false" ht="15" hidden="false" customHeight="false" outlineLevel="0" collapsed="false">
      <c r="A2" s="3" t="n">
        <v>44762</v>
      </c>
      <c r="B2" s="10" t="n">
        <v>0.00429279</v>
      </c>
      <c r="C2" s="5" t="n">
        <f aca="false">Varsayımlar!$B$2*(1+B2)</f>
        <v>2008.58558</v>
      </c>
      <c r="D2" s="10" t="n">
        <v>0.00639425</v>
      </c>
      <c r="E2" s="5" t="n">
        <f aca="false">Varsayımlar!$B$2*(1+D2)</f>
        <v>2012.7885</v>
      </c>
      <c r="F2" s="4" t="n">
        <f aca="false">D2*Varsayımlar!$B$3</f>
        <v>0.0079928125</v>
      </c>
      <c r="G2" s="5" t="n">
        <f aca="false">Varsayımlar!$B$2*(1+F2)</f>
        <v>2015.985625</v>
      </c>
    </row>
    <row r="3" customFormat="false" ht="15" hidden="false" customHeight="false" outlineLevel="0" collapsed="false">
      <c r="A3" s="3" t="n">
        <v>44763</v>
      </c>
      <c r="B3" s="10" t="n">
        <v>0.01368384</v>
      </c>
      <c r="C3" s="5" t="n">
        <f aca="false">C2*(1+B3)</f>
        <v>2036.07074370303</v>
      </c>
      <c r="D3" s="10" t="n">
        <v>0.01114971</v>
      </c>
      <c r="E3" s="5" t="n">
        <f aca="false">E2*(1+D3)</f>
        <v>2035.23050806634</v>
      </c>
      <c r="F3" s="4" t="n">
        <f aca="false">D3*Varsayımlar!$B$3</f>
        <v>0.0139371375</v>
      </c>
      <c r="G3" s="5" t="n">
        <f aca="false">G2*(1+F3)</f>
        <v>2044.08269385365</v>
      </c>
    </row>
    <row r="4" customFormat="false" ht="15" hidden="false" customHeight="false" outlineLevel="0" collapsed="false">
      <c r="A4" s="3" t="n">
        <v>44764</v>
      </c>
      <c r="B4" s="10" t="n">
        <v>-0.00345545</v>
      </c>
      <c r="C4" s="5" t="n">
        <f aca="false">C3*(1+B4)</f>
        <v>2029.0352030517</v>
      </c>
      <c r="D4" s="10" t="n">
        <v>-0.00191173</v>
      </c>
      <c r="E4" s="5" t="n">
        <f aca="false">E3*(1+D4)</f>
        <v>2031.33969684715</v>
      </c>
      <c r="F4" s="4" t="n">
        <f aca="false">D4*Varsayımlar!$B$3</f>
        <v>-0.0023896625</v>
      </c>
      <c r="G4" s="5" t="n">
        <f aca="false">G3*(1+F4)</f>
        <v>2039.19802609325</v>
      </c>
    </row>
    <row r="5" customFormat="false" ht="15" hidden="false" customHeight="false" outlineLevel="0" collapsed="false">
      <c r="A5" s="3" t="n">
        <v>44765</v>
      </c>
      <c r="B5" s="10" t="n">
        <v>-0.0057255</v>
      </c>
      <c r="C5" s="5" t="n">
        <f aca="false">C4*(1+B5)</f>
        <v>2017.41796199663</v>
      </c>
      <c r="D5" s="10" t="n">
        <v>-0.00674468</v>
      </c>
      <c r="E5" s="5" t="n">
        <f aca="false">E4*(1+D5)</f>
        <v>2017.63896062062</v>
      </c>
      <c r="F5" s="4" t="n">
        <f aca="false">D5*Varsayımlar!$B$3</f>
        <v>-0.00843085</v>
      </c>
      <c r="G5" s="5" t="n">
        <f aca="false">G4*(1+F5)</f>
        <v>2022.00585341496</v>
      </c>
    </row>
    <row r="6" customFormat="false" ht="15" hidden="false" customHeight="false" outlineLevel="0" collapsed="false">
      <c r="A6" s="3" t="n">
        <v>44766</v>
      </c>
      <c r="B6" s="10" t="n">
        <v>0.00505254</v>
      </c>
      <c r="C6" s="5" t="n">
        <f aca="false">C5*(1+B6)</f>
        <v>2027.61104694633</v>
      </c>
      <c r="D6" s="10" t="n">
        <v>0.00594902</v>
      </c>
      <c r="E6" s="5" t="n">
        <f aca="false">E5*(1+D6)</f>
        <v>2029.64193515013</v>
      </c>
      <c r="F6" s="4" t="n">
        <f aca="false">D6*Varsayımlar!$B$3</f>
        <v>0.007436275</v>
      </c>
      <c r="G6" s="5" t="n">
        <f aca="false">G5*(1+F6)</f>
        <v>2037.04204499256</v>
      </c>
    </row>
    <row r="7" customFormat="false" ht="15" hidden="false" customHeight="false" outlineLevel="0" collapsed="false">
      <c r="A7" s="3" t="n">
        <v>44767</v>
      </c>
      <c r="B7" s="10" t="n">
        <v>-0.00860304</v>
      </c>
      <c r="C7" s="5" t="n">
        <f aca="false">C6*(1+B7)</f>
        <v>2010.16742800501</v>
      </c>
      <c r="D7" s="10" t="n">
        <v>-0.00541731</v>
      </c>
      <c r="E7" s="5" t="n">
        <f aca="false">E6*(1+D7)</f>
        <v>2018.64673559842</v>
      </c>
      <c r="F7" s="4" t="n">
        <f aca="false">D7*Varsayımlar!$B$3</f>
        <v>-0.0067716375</v>
      </c>
      <c r="G7" s="5" t="n">
        <f aca="false">G6*(1+F7)</f>
        <v>2023.24793469161</v>
      </c>
    </row>
    <row r="8" customFormat="false" ht="15" hidden="false" customHeight="false" outlineLevel="0" collapsed="false">
      <c r="A8" s="3" t="n">
        <v>44768</v>
      </c>
      <c r="B8" s="10" t="n">
        <v>0.00069356</v>
      </c>
      <c r="C8" s="5" t="n">
        <f aca="false">C7*(1+B8)</f>
        <v>2011.56159972638</v>
      </c>
      <c r="D8" s="10" t="n">
        <v>-0.00123293</v>
      </c>
      <c r="E8" s="5" t="n">
        <f aca="false">E7*(1+D8)</f>
        <v>2016.1578854787</v>
      </c>
      <c r="F8" s="4" t="n">
        <f aca="false">D8*Varsayımlar!$B$3</f>
        <v>-0.0015411625</v>
      </c>
      <c r="G8" s="5" t="n">
        <f aca="false">G7*(1+F8)</f>
        <v>2020.12978084647</v>
      </c>
    </row>
    <row r="9" customFormat="false" ht="15" hidden="false" customHeight="false" outlineLevel="0" collapsed="false">
      <c r="A9" s="3" t="n">
        <v>44769</v>
      </c>
      <c r="B9" s="10" t="n">
        <v>0.0221779</v>
      </c>
      <c r="C9" s="5" t="n">
        <f aca="false">C8*(1+B9)</f>
        <v>2056.17381172895</v>
      </c>
      <c r="D9" s="10" t="n">
        <v>0.02555709</v>
      </c>
      <c r="E9" s="5" t="n">
        <f aca="false">E8*(1+D9)</f>
        <v>2067.68501401209</v>
      </c>
      <c r="F9" s="4" t="n">
        <f aca="false">D9*Varsayımlar!$B$3</f>
        <v>0.0319463625</v>
      </c>
      <c r="G9" s="5" t="n">
        <f aca="false">G8*(1+F9)</f>
        <v>2084.66557912243</v>
      </c>
    </row>
    <row r="10" customFormat="false" ht="15" hidden="false" customHeight="false" outlineLevel="0" collapsed="false">
      <c r="A10" s="3" t="n">
        <v>44770</v>
      </c>
      <c r="B10" s="10" t="n">
        <v>0.01566171</v>
      </c>
      <c r="C10" s="5" t="n">
        <f aca="false">C9*(1+B10)</f>
        <v>2088.37700967784</v>
      </c>
      <c r="D10" s="10" t="n">
        <v>0.01778834</v>
      </c>
      <c r="E10" s="5" t="n">
        <f aca="false">E9*(1+D10)</f>
        <v>2104.46569805424</v>
      </c>
      <c r="F10" s="4" t="n">
        <f aca="false">D10*Varsayımlar!$B$3</f>
        <v>0.022235425</v>
      </c>
      <c r="G10" s="5" t="n">
        <f aca="false">G9*(1+F10)</f>
        <v>2131.01900425709</v>
      </c>
    </row>
    <row r="11" customFormat="false" ht="15" hidden="false" customHeight="false" outlineLevel="0" collapsed="false">
      <c r="A11" s="3" t="n">
        <v>44771</v>
      </c>
      <c r="B11" s="10" t="n">
        <v>-0.00318778</v>
      </c>
      <c r="C11" s="5" t="n">
        <f aca="false">C10*(1+B11)</f>
        <v>2081.71972321393</v>
      </c>
      <c r="D11" s="10" t="n">
        <v>-0.01180606</v>
      </c>
      <c r="E11" s="5" t="n">
        <f aca="false">E10*(1+D11)</f>
        <v>2079.62024975507</v>
      </c>
      <c r="F11" s="4" t="n">
        <f aca="false">D11*Varsayımlar!$B$3</f>
        <v>-0.014757575</v>
      </c>
      <c r="G11" s="5" t="n">
        <f aca="false">G10*(1+F11)</f>
        <v>2099.57033147534</v>
      </c>
    </row>
    <row r="12" customFormat="false" ht="15" hidden="false" customHeight="false" outlineLevel="0" collapsed="false">
      <c r="A12" s="3" t="n">
        <v>44772</v>
      </c>
      <c r="B12" s="10" t="n">
        <v>-0.02299613</v>
      </c>
      <c r="C12" s="5" t="n">
        <f aca="false">C11*(1+B12)</f>
        <v>2033.84822583534</v>
      </c>
      <c r="D12" s="10" t="n">
        <v>-0.05470949</v>
      </c>
      <c r="E12" s="5" t="n">
        <f aca="false">E11*(1+D12)</f>
        <v>1965.8452864973</v>
      </c>
      <c r="F12" s="4" t="n">
        <f aca="false">D12*Varsayımlar!$B$3</f>
        <v>-0.0683868625</v>
      </c>
      <c r="G12" s="5" t="n">
        <f aca="false">G11*(1+F12)</f>
        <v>1955.98730390766</v>
      </c>
    </row>
    <row r="13" customFormat="false" ht="15" hidden="false" customHeight="false" outlineLevel="0" collapsed="false">
      <c r="A13" s="3" t="n">
        <v>44773</v>
      </c>
      <c r="B13" s="10" t="n">
        <v>-0.02014699</v>
      </c>
      <c r="C13" s="5" t="n">
        <f aca="false">C12*(1+B13)</f>
        <v>1992.87230596792</v>
      </c>
      <c r="D13" s="10" t="n">
        <v>-0.02880461</v>
      </c>
      <c r="E13" s="5" t="n">
        <f aca="false">E12*(1+D13)</f>
        <v>1909.21987969941</v>
      </c>
      <c r="F13" s="4" t="n">
        <f aca="false">D13*Varsayımlar!$B$3</f>
        <v>-0.0360057625</v>
      </c>
      <c r="G13" s="5" t="n">
        <f aca="false">G12*(1+F13)</f>
        <v>1885.56048959014</v>
      </c>
    </row>
    <row r="14" customFormat="false" ht="15" hidden="false" customHeight="false" outlineLevel="0" collapsed="false">
      <c r="A14" s="3" t="n">
        <v>44774</v>
      </c>
      <c r="B14" s="10" t="n">
        <v>-0.00341622</v>
      </c>
      <c r="C14" s="5" t="n">
        <f aca="false">C13*(1+B14)</f>
        <v>1986.06421573883</v>
      </c>
      <c r="D14" s="10" t="n">
        <v>0.00172134</v>
      </c>
      <c r="E14" s="5" t="n">
        <f aca="false">E13*(1+D14)</f>
        <v>1912.50629624713</v>
      </c>
      <c r="F14" s="4" t="n">
        <f aca="false">D14*Varsayımlar!$B$3</f>
        <v>0.002151675</v>
      </c>
      <c r="G14" s="5" t="n">
        <f aca="false">G13*(1+F14)</f>
        <v>1889.61760295658</v>
      </c>
    </row>
    <row r="15" customFormat="false" ht="15" hidden="false" customHeight="false" outlineLevel="0" collapsed="false">
      <c r="A15" s="3" t="n">
        <v>44775</v>
      </c>
      <c r="B15" s="10" t="n">
        <v>0.01308286</v>
      </c>
      <c r="C15" s="5" t="n">
        <f aca="false">C14*(1+B15)</f>
        <v>2012.04761582435</v>
      </c>
      <c r="D15" s="10" t="n">
        <v>0.01901328</v>
      </c>
      <c r="E15" s="5" t="n">
        <f aca="false">E14*(1+D15)</f>
        <v>1948.86931395944</v>
      </c>
      <c r="F15" s="4" t="n">
        <f aca="false">D15*Varsayımlar!$B$3</f>
        <v>0.0237666</v>
      </c>
      <c r="G15" s="5" t="n">
        <f aca="false">G14*(1+F15)</f>
        <v>1934.52738867901</v>
      </c>
    </row>
    <row r="16" customFormat="false" ht="15" hidden="false" customHeight="false" outlineLevel="0" collapsed="false">
      <c r="A16" s="3" t="n">
        <v>44776</v>
      </c>
      <c r="B16" s="10" t="n">
        <v>0.00484658</v>
      </c>
      <c r="C16" s="5" t="n">
        <f aca="false">C15*(1+B16)</f>
        <v>2021.79916555825</v>
      </c>
      <c r="D16" s="10" t="n">
        <v>-0.00051053</v>
      </c>
      <c r="E16" s="5" t="n">
        <f aca="false">E15*(1+D16)</f>
        <v>1947.87435770858</v>
      </c>
      <c r="F16" s="4" t="n">
        <f aca="false">D16*Varsayımlar!$B$3</f>
        <v>-0.0006381625</v>
      </c>
      <c r="G16" s="5" t="n">
        <f aca="false">G15*(1+F16)</f>
        <v>1933.29284584433</v>
      </c>
    </row>
    <row r="17" customFormat="false" ht="15" hidden="false" customHeight="false" outlineLevel="0" collapsed="false">
      <c r="A17" s="3" t="n">
        <v>44777</v>
      </c>
      <c r="B17" s="10" t="n">
        <v>0.00392955</v>
      </c>
      <c r="C17" s="5" t="n">
        <f aca="false">C16*(1+B17)</f>
        <v>2029.74392646927</v>
      </c>
      <c r="D17" s="10" t="n">
        <v>0.00104803</v>
      </c>
      <c r="E17" s="5" t="n">
        <f aca="false">E16*(1+D17)</f>
        <v>1949.91578847169</v>
      </c>
      <c r="F17" s="4" t="n">
        <f aca="false">D17*Varsayımlar!$B$3</f>
        <v>0.0013100375</v>
      </c>
      <c r="G17" s="5" t="n">
        <f aca="false">G16*(1+F17)</f>
        <v>1935.82553197087</v>
      </c>
    </row>
    <row r="18" customFormat="false" ht="15" hidden="false" customHeight="false" outlineLevel="0" collapsed="false">
      <c r="A18" s="3" t="n">
        <v>44778</v>
      </c>
      <c r="B18" s="10" t="n">
        <v>0.00621516</v>
      </c>
      <c r="C18" s="5" t="n">
        <f aca="false">C17*(1+B18)</f>
        <v>2042.3591097313</v>
      </c>
      <c r="D18" s="10" t="n">
        <v>0.00696925</v>
      </c>
      <c r="E18" s="5" t="n">
        <f aca="false">E17*(1+D18)</f>
        <v>1963.5052390805</v>
      </c>
      <c r="F18" s="4" t="n">
        <f aca="false">D18*Varsayımlar!$B$3</f>
        <v>0.0087115625</v>
      </c>
      <c r="G18" s="5" t="n">
        <f aca="false">G17*(1+F18)</f>
        <v>1952.68959708173</v>
      </c>
    </row>
    <row r="19" customFormat="false" ht="15" hidden="false" customHeight="false" outlineLevel="0" collapsed="false">
      <c r="A19" s="3" t="n">
        <v>44779</v>
      </c>
      <c r="B19" s="10" t="n">
        <v>-0.00728867</v>
      </c>
      <c r="C19" s="5" t="n">
        <f aca="false">C18*(1+B19)</f>
        <v>2027.47302815898</v>
      </c>
      <c r="D19" s="10" t="n">
        <v>-0.01153781</v>
      </c>
      <c r="E19" s="5" t="n">
        <f aca="false">E18*(1+D19)</f>
        <v>1940.85068869798</v>
      </c>
      <c r="F19" s="4" t="n">
        <f aca="false">D19*Varsayımlar!$B$3</f>
        <v>-0.0144222625</v>
      </c>
      <c r="G19" s="5" t="n">
        <f aca="false">G18*(1+F19)</f>
        <v>1924.5273951316</v>
      </c>
    </row>
    <row r="20" customFormat="false" ht="15" hidden="false" customHeight="false" outlineLevel="0" collapsed="false">
      <c r="A20" s="3" t="n">
        <v>44780</v>
      </c>
      <c r="B20" s="10" t="n">
        <v>-0.00247758</v>
      </c>
      <c r="C20" s="5" t="n">
        <f aca="false">C19*(1+B20)</f>
        <v>2022.44980153387</v>
      </c>
      <c r="D20" s="10" t="n">
        <v>-0.00047875</v>
      </c>
      <c r="E20" s="5" t="n">
        <f aca="false">E19*(1+D20)</f>
        <v>1939.92150643077</v>
      </c>
      <c r="F20" s="4" t="n">
        <f aca="false">D20*Varsayımlar!$B$3</f>
        <v>-0.0005984375</v>
      </c>
      <c r="G20" s="5" t="n">
        <f aca="false">G19*(1+F20)</f>
        <v>1923.37568576857</v>
      </c>
    </row>
    <row r="21" customFormat="false" ht="15" hidden="false" customHeight="false" outlineLevel="0" collapsed="false">
      <c r="A21" s="3" t="n">
        <v>44781</v>
      </c>
      <c r="B21" s="10" t="n">
        <v>0.00524644</v>
      </c>
      <c r="C21" s="5" t="n">
        <f aca="false">C20*(1+B21)</f>
        <v>2033.06046307063</v>
      </c>
      <c r="D21" s="10" t="n">
        <v>0.00444695</v>
      </c>
      <c r="E21" s="5" t="n">
        <f aca="false">E20*(1+D21)</f>
        <v>1948.54824037379</v>
      </c>
      <c r="F21" s="4" t="n">
        <f aca="false">D21*Varsayımlar!$B$3</f>
        <v>0.0055586875</v>
      </c>
      <c r="G21" s="5" t="n">
        <f aca="false">G20*(1+F21)</f>
        <v>1934.06713015086</v>
      </c>
    </row>
    <row r="22" customFormat="false" ht="15" hidden="false" customHeight="false" outlineLevel="0" collapsed="false">
      <c r="A22" s="3" t="n">
        <v>44782</v>
      </c>
      <c r="B22" s="10" t="n">
        <v>0.00357728</v>
      </c>
      <c r="C22" s="5" t="n">
        <f aca="false">C21*(1+B22)</f>
        <v>2040.33328960396</v>
      </c>
      <c r="D22" s="10" t="n">
        <v>-0.00826362</v>
      </c>
      <c r="E22" s="5" t="n">
        <f aca="false">E21*(1+D22)</f>
        <v>1932.44617816367</v>
      </c>
      <c r="F22" s="4" t="n">
        <f aca="false">D22*Varsayımlar!$B$3</f>
        <v>-0.010329525</v>
      </c>
      <c r="G22" s="5" t="n">
        <f aca="false">G21*(1+F22)</f>
        <v>1914.08913537829</v>
      </c>
    </row>
    <row r="23" customFormat="false" ht="15" hidden="false" customHeight="false" outlineLevel="0" collapsed="false">
      <c r="A23" s="3" t="n">
        <v>44783</v>
      </c>
      <c r="B23" s="10" t="n">
        <v>-0.00178644</v>
      </c>
      <c r="C23" s="5" t="n">
        <f aca="false">C22*(1+B23)</f>
        <v>2036.68835660208</v>
      </c>
      <c r="D23" s="10" t="n">
        <v>-0.00671176</v>
      </c>
      <c r="E23" s="5" t="n">
        <f aca="false">E22*(1+D23)</f>
        <v>1919.47606320292</v>
      </c>
      <c r="F23" s="4" t="n">
        <f aca="false">D23*Varsayımlar!$B$3</f>
        <v>-0.0083897</v>
      </c>
      <c r="G23" s="5" t="n">
        <f aca="false">G22*(1+F23)</f>
        <v>1898.0305017592</v>
      </c>
    </row>
    <row r="24" customFormat="false" ht="15" hidden="false" customHeight="false" outlineLevel="0" collapsed="false">
      <c r="A24" s="3" t="n">
        <v>44784</v>
      </c>
      <c r="B24" s="10" t="n">
        <v>-0.01240475</v>
      </c>
      <c r="C24" s="5" t="n">
        <f aca="false">C23*(1+B24)</f>
        <v>2011.42374671052</v>
      </c>
      <c r="D24" s="10" t="n">
        <v>-0.01405052</v>
      </c>
      <c r="E24" s="5" t="n">
        <f aca="false">E23*(1+D24)</f>
        <v>1892.50642638737</v>
      </c>
      <c r="F24" s="4" t="n">
        <f aca="false">D24*Varsayımlar!$B$3</f>
        <v>-0.01756315</v>
      </c>
      <c r="G24" s="5" t="n">
        <f aca="false">G23*(1+F24)</f>
        <v>1864.69510735223</v>
      </c>
    </row>
    <row r="25" customFormat="false" ht="15" hidden="false" customHeight="false" outlineLevel="0" collapsed="false">
      <c r="A25" s="3" t="n">
        <v>44785</v>
      </c>
      <c r="B25" s="10" t="n">
        <v>-0.01291985</v>
      </c>
      <c r="C25" s="5" t="n">
        <f aca="false">C24*(1+B25)</f>
        <v>1985.43645361659</v>
      </c>
      <c r="D25" s="10" t="n">
        <v>-0.01388254</v>
      </c>
      <c r="E25" s="5" t="n">
        <f aca="false">E24*(1+D25)</f>
        <v>1866.23363022279</v>
      </c>
      <c r="F25" s="4" t="n">
        <f aca="false">D25*Varsayımlar!$B$3</f>
        <v>-0.017353175</v>
      </c>
      <c r="G25" s="5" t="n">
        <f aca="false">G24*(1+F25)</f>
        <v>1832.33672683271</v>
      </c>
    </row>
    <row r="26" customFormat="false" ht="15" hidden="false" customHeight="false" outlineLevel="0" collapsed="false">
      <c r="A26" s="3" t="n">
        <v>44786</v>
      </c>
      <c r="B26" s="10" t="n">
        <v>0.00099856</v>
      </c>
      <c r="C26" s="5" t="n">
        <f aca="false">C25*(1+B26)</f>
        <v>1987.41903104171</v>
      </c>
      <c r="D26" s="10" t="n">
        <v>-0.00062388</v>
      </c>
      <c r="E26" s="5" t="n">
        <f aca="false">E25*(1+D26)</f>
        <v>1865.06932438556</v>
      </c>
      <c r="F26" s="4" t="n">
        <f aca="false">D26*Varsayımlar!$B$3</f>
        <v>-0.00077985</v>
      </c>
      <c r="G26" s="5" t="n">
        <f aca="false">G25*(1+F26)</f>
        <v>1830.90777903628</v>
      </c>
    </row>
    <row r="27" customFormat="false" ht="15" hidden="false" customHeight="false" outlineLevel="0" collapsed="false">
      <c r="A27" s="3" t="n">
        <v>44787</v>
      </c>
      <c r="B27" s="10" t="n">
        <v>-0.03134514</v>
      </c>
      <c r="C27" s="5" t="n">
        <f aca="false">C26*(1+B27)</f>
        <v>1925.12310327504</v>
      </c>
      <c r="D27" s="10" t="n">
        <v>-0.01947959</v>
      </c>
      <c r="E27" s="5" t="n">
        <f aca="false">E26*(1+D27)</f>
        <v>1828.73853862495</v>
      </c>
      <c r="F27" s="4" t="n">
        <f aca="false">D27*Varsayımlar!$B$3</f>
        <v>-0.0243494875</v>
      </c>
      <c r="G27" s="5" t="n">
        <f aca="false">G26*(1+F27)</f>
        <v>1786.32611295699</v>
      </c>
    </row>
    <row r="28" customFormat="false" ht="15" hidden="false" customHeight="false" outlineLevel="0" collapsed="false">
      <c r="A28" s="3" t="n">
        <v>44788</v>
      </c>
      <c r="B28" s="10" t="n">
        <v>0.00598619</v>
      </c>
      <c r="C28" s="5" t="n">
        <f aca="false">C27*(1+B28)</f>
        <v>1936.64725594464</v>
      </c>
      <c r="D28" s="10" t="n">
        <v>-0.00039808</v>
      </c>
      <c r="E28" s="5" t="n">
        <f aca="false">E27*(1+D28)</f>
        <v>1828.0105543875</v>
      </c>
      <c r="F28" s="4" t="n">
        <f aca="false">D28*Varsayımlar!$B$3</f>
        <v>-0.0004976</v>
      </c>
      <c r="G28" s="5" t="n">
        <f aca="false">G27*(1+F28)</f>
        <v>1785.43723708318</v>
      </c>
    </row>
    <row r="29" customFormat="false" ht="15" hidden="false" customHeight="false" outlineLevel="0" collapsed="false">
      <c r="A29" s="3" t="n">
        <v>44789</v>
      </c>
      <c r="B29" s="10" t="n">
        <v>-0.00875839</v>
      </c>
      <c r="C29" s="5" t="n">
        <f aca="false">C28*(1+B29)</f>
        <v>1919.68534398464</v>
      </c>
      <c r="D29" s="10" t="n">
        <v>-0.0019065</v>
      </c>
      <c r="E29" s="5" t="n">
        <f aca="false">E28*(1+D29)</f>
        <v>1824.52545226556</v>
      </c>
      <c r="F29" s="4" t="n">
        <f aca="false">D29*Varsayımlar!$B$3</f>
        <v>-0.002383125</v>
      </c>
      <c r="G29" s="5" t="n">
        <f aca="false">G28*(1+F29)</f>
        <v>1781.18231696756</v>
      </c>
    </row>
    <row r="30" customFormat="false" ht="15" hidden="false" customHeight="false" outlineLevel="0" collapsed="false">
      <c r="A30" s="3" t="n">
        <v>44790</v>
      </c>
      <c r="B30" s="10" t="n">
        <v>-0.00079707</v>
      </c>
      <c r="C30" s="5" t="n">
        <f aca="false">C29*(1+B30)</f>
        <v>1918.15522038751</v>
      </c>
      <c r="D30" s="10" t="n">
        <v>0.0037729</v>
      </c>
      <c r="E30" s="5" t="n">
        <f aca="false">E29*(1+D30)</f>
        <v>1831.40920434441</v>
      </c>
      <c r="F30" s="4" t="n">
        <f aca="false">D30*Varsayımlar!$B$3</f>
        <v>0.004716125</v>
      </c>
      <c r="G30" s="5" t="n">
        <f aca="false">G29*(1+F30)</f>
        <v>1789.58259542217</v>
      </c>
    </row>
    <row r="31" customFormat="false" ht="15" hidden="false" customHeight="false" outlineLevel="0" collapsed="false">
      <c r="A31" s="3" t="n">
        <v>44791</v>
      </c>
      <c r="B31" s="10" t="n">
        <v>0.01950587</v>
      </c>
      <c r="C31" s="5" t="n">
        <f aca="false">C30*(1+B31)</f>
        <v>1955.57050675621</v>
      </c>
      <c r="D31" s="10" t="n">
        <v>0.02598881</v>
      </c>
      <c r="E31" s="5" t="n">
        <f aca="false">E30*(1+D31)</f>
        <v>1879.00535018837</v>
      </c>
      <c r="F31" s="4" t="n">
        <f aca="false">D31*Varsayımlar!$B$3</f>
        <v>0.0324860125</v>
      </c>
      <c r="G31" s="5" t="n">
        <f aca="false">G30*(1+F31)</f>
        <v>1847.71899798683</v>
      </c>
    </row>
    <row r="32" customFormat="false" ht="15" hidden="false" customHeight="false" outlineLevel="0" collapsed="false">
      <c r="A32" s="3" t="n">
        <v>44792</v>
      </c>
      <c r="B32" s="10" t="n">
        <v>-0.0136356</v>
      </c>
      <c r="C32" s="5" t="n">
        <f aca="false">C31*(1+B32)</f>
        <v>1928.90512955429</v>
      </c>
      <c r="D32" s="10" t="n">
        <v>-0.02279533</v>
      </c>
      <c r="E32" s="5" t="n">
        <f aca="false">E31*(1+D32)</f>
        <v>1836.17280315906</v>
      </c>
      <c r="F32" s="4" t="n">
        <f aca="false">D32*Varsayımlar!$B$3</f>
        <v>-0.0284941625</v>
      </c>
      <c r="G32" s="5" t="n">
        <f aca="false">G31*(1+F32)</f>
        <v>1795.06979260386</v>
      </c>
    </row>
    <row r="33" customFormat="false" ht="15" hidden="false" customHeight="false" outlineLevel="0" collapsed="false">
      <c r="A33" s="3" t="n">
        <v>44793</v>
      </c>
      <c r="B33" s="10" t="n">
        <v>0.00587925</v>
      </c>
      <c r="C33" s="5" t="n">
        <f aca="false">C32*(1+B33)</f>
        <v>1940.24564503722</v>
      </c>
      <c r="D33" s="10" t="n">
        <v>0.01133559</v>
      </c>
      <c r="E33" s="5" t="n">
        <f aca="false">E32*(1+D33)</f>
        <v>1856.98690522482</v>
      </c>
      <c r="F33" s="4" t="n">
        <f aca="false">D33*Varsayımlar!$B$3</f>
        <v>0.0141694875</v>
      </c>
      <c r="G33" s="5" t="n">
        <f aca="false">G32*(1+F33)</f>
        <v>1820.50501159179</v>
      </c>
    </row>
    <row r="34" customFormat="false" ht="15" hidden="false" customHeight="false" outlineLevel="0" collapsed="false">
      <c r="A34" s="3" t="n">
        <v>44794</v>
      </c>
      <c r="B34" s="10" t="n">
        <v>0.00207637</v>
      </c>
      <c r="C34" s="5" t="n">
        <f aca="false">C33*(1+B34)</f>
        <v>1944.27431288721</v>
      </c>
      <c r="D34" s="10" t="n">
        <v>-0.00188466</v>
      </c>
      <c r="E34" s="5" t="n">
        <f aca="false">E33*(1+D34)</f>
        <v>1853.48711628402</v>
      </c>
      <c r="F34" s="4" t="n">
        <f aca="false">D34*Varsayımlar!$B$3</f>
        <v>-0.002355825</v>
      </c>
      <c r="G34" s="5" t="n">
        <f aca="false">G33*(1+F34)</f>
        <v>1816.21622037285</v>
      </c>
    </row>
    <row r="35" customFormat="false" ht="15" hidden="false" customHeight="false" outlineLevel="0" collapsed="false">
      <c r="A35" s="3" t="n">
        <v>44795</v>
      </c>
      <c r="B35" s="10" t="n">
        <v>0.01426107</v>
      </c>
      <c r="C35" s="5" t="n">
        <f aca="false">C34*(1+B35)</f>
        <v>1972.00174496249</v>
      </c>
      <c r="D35" s="10" t="n">
        <v>0.00988408</v>
      </c>
      <c r="E35" s="5" t="n">
        <f aca="false">E34*(1+D35)</f>
        <v>1871.80713122034</v>
      </c>
      <c r="F35" s="4" t="n">
        <f aca="false">D35*Varsayımlar!$B$3</f>
        <v>0.0123551</v>
      </c>
      <c r="G35" s="5" t="n">
        <f aca="false">G34*(1+F35)</f>
        <v>1838.65575339718</v>
      </c>
    </row>
    <row r="36" customFormat="false" ht="15" hidden="false" customHeight="false" outlineLevel="0" collapsed="false">
      <c r="A36" s="3" t="n">
        <v>44796</v>
      </c>
      <c r="B36" s="10" t="n">
        <v>0.004468</v>
      </c>
      <c r="C36" s="5" t="n">
        <f aca="false">C35*(1+B36)</f>
        <v>1980.81264875899</v>
      </c>
      <c r="D36" s="10" t="n">
        <v>-0.00274055</v>
      </c>
      <c r="E36" s="5" t="n">
        <f aca="false">E35*(1+D36)</f>
        <v>1866.67735018688</v>
      </c>
      <c r="F36" s="4" t="n">
        <f aca="false">D36*Varsayımlar!$B$3</f>
        <v>-0.0034256875</v>
      </c>
      <c r="G36" s="5" t="n">
        <f aca="false">G35*(1+F36)</f>
        <v>1832.35709336597</v>
      </c>
    </row>
    <row r="37" customFormat="false" ht="15" hidden="false" customHeight="false" outlineLevel="0" collapsed="false">
      <c r="A37" s="3" t="n">
        <v>44797</v>
      </c>
      <c r="B37" s="10" t="n">
        <v>0.0050306</v>
      </c>
      <c r="C37" s="5" t="n">
        <f aca="false">C36*(1+B37)</f>
        <v>1990.77732486983</v>
      </c>
      <c r="D37" s="10" t="n">
        <v>0.01484182</v>
      </c>
      <c r="E37" s="5" t="n">
        <f aca="false">E36*(1+D37)</f>
        <v>1894.38223941643</v>
      </c>
      <c r="F37" s="4" t="n">
        <f aca="false">D37*Varsayımlar!$B$3</f>
        <v>0.018552275</v>
      </c>
      <c r="G37" s="5" t="n">
        <f aca="false">G36*(1+F37)</f>
        <v>1866.35148606029</v>
      </c>
    </row>
    <row r="38" customFormat="false" ht="15" hidden="false" customHeight="false" outlineLevel="0" collapsed="false">
      <c r="A38" s="3" t="n">
        <v>44798</v>
      </c>
      <c r="B38" s="10" t="n">
        <v>-0.01102856</v>
      </c>
      <c r="C38" s="5" t="n">
        <f aca="false">C37*(1+B38)</f>
        <v>1968.82191769587</v>
      </c>
      <c r="D38" s="10" t="n">
        <v>-0.01735406</v>
      </c>
      <c r="E38" s="5" t="n">
        <f aca="false">E37*(1+D38)</f>
        <v>1861.50701637066</v>
      </c>
      <c r="F38" s="4" t="n">
        <f aca="false">D38*Varsayımlar!$B$3</f>
        <v>-0.021692575</v>
      </c>
      <c r="G38" s="5" t="n">
        <f aca="false">G37*(1+F38)</f>
        <v>1825.86551647257</v>
      </c>
    </row>
    <row r="39" customFormat="false" ht="15" hidden="false" customHeight="false" outlineLevel="0" collapsed="false">
      <c r="A39" s="3" t="n">
        <v>44799</v>
      </c>
      <c r="B39" s="10" t="n">
        <v>0.00374804</v>
      </c>
      <c r="C39" s="5" t="n">
        <f aca="false">C38*(1+B39)</f>
        <v>1976.20114099627</v>
      </c>
      <c r="D39" s="10" t="n">
        <v>0.00375082</v>
      </c>
      <c r="E39" s="5" t="n">
        <f aca="false">E38*(1+D39)</f>
        <v>1868.4891941178</v>
      </c>
      <c r="F39" s="4" t="n">
        <f aca="false">D39*Varsayımlar!$B$3</f>
        <v>0.004688525</v>
      </c>
      <c r="G39" s="5" t="n">
        <f aca="false">G38*(1+F39)</f>
        <v>1834.42613259319</v>
      </c>
    </row>
    <row r="40" customFormat="false" ht="15" hidden="false" customHeight="false" outlineLevel="0" collapsed="false">
      <c r="A40" s="3" t="n">
        <v>44800</v>
      </c>
      <c r="B40" s="10" t="n">
        <v>0.00154137</v>
      </c>
      <c r="C40" s="5" t="n">
        <f aca="false">C39*(1+B40)</f>
        <v>1979.24719814897</v>
      </c>
      <c r="D40" s="10" t="n">
        <v>0.00274047</v>
      </c>
      <c r="E40" s="5" t="n">
        <f aca="false">E39*(1+D40)</f>
        <v>1873.60973269961</v>
      </c>
      <c r="F40" s="4" t="n">
        <f aca="false">D40*Varsayımlar!$B$3</f>
        <v>0.0034255875</v>
      </c>
      <c r="G40" s="5" t="n">
        <f aca="false">G39*(1+F40)</f>
        <v>1840.71011982267</v>
      </c>
    </row>
    <row r="41" customFormat="false" ht="15" hidden="false" customHeight="false" outlineLevel="0" collapsed="false">
      <c r="A41" s="3" t="n">
        <v>44801</v>
      </c>
      <c r="B41" s="10" t="n">
        <v>-0.00100075</v>
      </c>
      <c r="C41" s="5" t="n">
        <f aca="false">C40*(1+B41)</f>
        <v>1977.26646651542</v>
      </c>
      <c r="D41" s="10" t="n">
        <v>-0.00279157</v>
      </c>
      <c r="E41" s="5" t="n">
        <f aca="false">E40*(1+D41)</f>
        <v>1868.3794199781</v>
      </c>
      <c r="F41" s="4" t="n">
        <f aca="false">D41*Varsayımlar!$B$3</f>
        <v>-0.0034894625</v>
      </c>
      <c r="G41" s="5" t="n">
        <f aca="false">G40*(1+F41)</f>
        <v>1834.28703088618</v>
      </c>
    </row>
    <row r="42" customFormat="false" ht="15" hidden="false" customHeight="false" outlineLevel="0" collapsed="false">
      <c r="A42" s="3" t="n">
        <v>44802</v>
      </c>
      <c r="B42" s="10" t="n">
        <v>0.00862407</v>
      </c>
      <c r="C42" s="5" t="n">
        <f aca="false">C41*(1+B42)</f>
        <v>1994.3185509313</v>
      </c>
      <c r="D42" s="10" t="n">
        <v>0.00846522</v>
      </c>
      <c r="E42" s="5" t="n">
        <f aca="false">E41*(1+D42)</f>
        <v>1884.19566281168</v>
      </c>
      <c r="F42" s="4" t="n">
        <f aca="false">D42*Varsayımlar!$B$3</f>
        <v>0.010581525</v>
      </c>
      <c r="G42" s="5" t="n">
        <f aca="false">G41*(1+F42)</f>
        <v>1853.69658496068</v>
      </c>
    </row>
    <row r="43" customFormat="false" ht="15" hidden="false" customHeight="false" outlineLevel="0" collapsed="false">
      <c r="A43" s="3" t="n">
        <v>44803</v>
      </c>
      <c r="B43" s="10" t="n">
        <v>-0.00137368</v>
      </c>
      <c r="C43" s="5" t="n">
        <f aca="false">C42*(1+B43)</f>
        <v>1991.57899542426</v>
      </c>
      <c r="D43" s="10" t="n">
        <v>-0.00477623</v>
      </c>
      <c r="E43" s="5" t="n">
        <f aca="false">E42*(1+D43)</f>
        <v>1875.19631096109</v>
      </c>
      <c r="F43" s="4" t="n">
        <f aca="false">D43*Varsayımlar!$B$3</f>
        <v>-0.0059702875</v>
      </c>
      <c r="G43" s="5" t="n">
        <f aca="false">G42*(1+F43)</f>
        <v>1842.62948341069</v>
      </c>
    </row>
    <row r="44" customFormat="false" ht="15" hidden="false" customHeight="false" outlineLevel="0" collapsed="false">
      <c r="A44" s="3" t="n">
        <v>44804</v>
      </c>
      <c r="B44" s="10" t="n">
        <v>-0.00036319</v>
      </c>
      <c r="C44" s="5" t="n">
        <f aca="false">C43*(1+B44)</f>
        <v>1990.85567384891</v>
      </c>
      <c r="D44" s="10" t="n">
        <v>-0.00254101</v>
      </c>
      <c r="E44" s="5" t="n">
        <f aca="false">E43*(1+D44)</f>
        <v>1870.43141838298</v>
      </c>
      <c r="F44" s="4" t="n">
        <f aca="false">D44*Varsayımlar!$B$3</f>
        <v>-0.0031762625</v>
      </c>
      <c r="G44" s="5" t="n">
        <f aca="false">G43*(1+F44)</f>
        <v>1836.77680848114</v>
      </c>
    </row>
    <row r="45" customFormat="false" ht="15" hidden="false" customHeight="false" outlineLevel="0" collapsed="false">
      <c r="A45" s="3" t="n">
        <v>44805</v>
      </c>
      <c r="B45" s="10" t="n">
        <v>0.01182782</v>
      </c>
      <c r="C45" s="5" t="n">
        <f aca="false">C44*(1+B45)</f>
        <v>2014.40315640517</v>
      </c>
      <c r="D45" s="10" t="n">
        <v>0.01396993</v>
      </c>
      <c r="E45" s="5" t="n">
        <f aca="false">E44*(1+D45)</f>
        <v>1896.56121436759</v>
      </c>
      <c r="F45" s="4" t="n">
        <f aca="false">D45*Varsayımlar!$B$3</f>
        <v>0.0174624125</v>
      </c>
      <c r="G45" s="5" t="n">
        <f aca="false">G44*(1+F45)</f>
        <v>1868.85136278127</v>
      </c>
    </row>
    <row r="46" customFormat="false" ht="15" hidden="false" customHeight="false" outlineLevel="0" collapsed="false">
      <c r="A46" s="3" t="n">
        <v>44806</v>
      </c>
      <c r="B46" s="10" t="n">
        <v>0.00113942</v>
      </c>
      <c r="C46" s="5" t="n">
        <f aca="false">C45*(1+B46)</f>
        <v>2016.69840764964</v>
      </c>
      <c r="D46" s="10" t="n">
        <v>0.00209358</v>
      </c>
      <c r="E46" s="5" t="n">
        <f aca="false">E45*(1+D46)</f>
        <v>1900.53181699476</v>
      </c>
      <c r="F46" s="4" t="n">
        <f aca="false">D46*Varsayımlar!$B$3</f>
        <v>0.002616975</v>
      </c>
      <c r="G46" s="5" t="n">
        <f aca="false">G45*(1+F46)</f>
        <v>1873.74210007639</v>
      </c>
    </row>
    <row r="47" customFormat="false" ht="15" hidden="false" customHeight="false" outlineLevel="0" collapsed="false">
      <c r="A47" s="3" t="n">
        <v>44807</v>
      </c>
      <c r="B47" s="10" t="n">
        <v>-0.02505186</v>
      </c>
      <c r="C47" s="5" t="n">
        <f aca="false">C46*(1+B47)</f>
        <v>1966.17636147898</v>
      </c>
      <c r="D47" s="10" t="n">
        <v>-0.02919857</v>
      </c>
      <c r="E47" s="5" t="n">
        <f aca="false">E46*(1+D47)</f>
        <v>1845.03900569901</v>
      </c>
      <c r="F47" s="4" t="n">
        <f aca="false">D47*Varsayımlar!$B$3</f>
        <v>-0.0364982125</v>
      </c>
      <c r="G47" s="5" t="n">
        <f aca="false">G46*(1+F47)</f>
        <v>1805.3538627376</v>
      </c>
    </row>
    <row r="48" customFormat="false" ht="15" hidden="false" customHeight="false" outlineLevel="0" collapsed="false">
      <c r="A48" s="3" t="n">
        <v>44808</v>
      </c>
      <c r="B48" s="10" t="n">
        <v>-0.00465977</v>
      </c>
      <c r="C48" s="5" t="n">
        <f aca="false">C47*(1+B48)</f>
        <v>1957.01443185505</v>
      </c>
      <c r="D48" s="10" t="n">
        <v>-0.00536893</v>
      </c>
      <c r="E48" s="5" t="n">
        <f aca="false">E47*(1+D48)</f>
        <v>1835.13312043015</v>
      </c>
      <c r="F48" s="4" t="n">
        <f aca="false">D48*Varsayımlar!$B$3</f>
        <v>-0.0067111625</v>
      </c>
      <c r="G48" s="5" t="n">
        <f aca="false">G47*(1+F48)</f>
        <v>1793.23783959477</v>
      </c>
    </row>
    <row r="49" customFormat="false" ht="15" hidden="false" customHeight="false" outlineLevel="0" collapsed="false">
      <c r="A49" s="3" t="n">
        <v>44809</v>
      </c>
      <c r="B49" s="10" t="n">
        <v>0.00329286</v>
      </c>
      <c r="C49" s="5" t="n">
        <f aca="false">C48*(1+B49)</f>
        <v>1963.45860639713</v>
      </c>
      <c r="D49" s="10" t="n">
        <v>0.00765957</v>
      </c>
      <c r="E49" s="5" t="n">
        <f aca="false">E48*(1+D49)</f>
        <v>1849.1894510254</v>
      </c>
      <c r="F49" s="4" t="n">
        <f aca="false">D49*Varsayımlar!$B$3</f>
        <v>0.0095744625</v>
      </c>
      <c r="G49" s="5" t="n">
        <f aca="false">G48*(1+F49)</f>
        <v>1810.40712804355</v>
      </c>
    </row>
    <row r="50" customFormat="false" ht="15" hidden="false" customHeight="false" outlineLevel="0" collapsed="false">
      <c r="A50" s="3" t="n">
        <v>44810</v>
      </c>
      <c r="B50" s="10" t="n">
        <v>0.00051806</v>
      </c>
      <c r="C50" s="5" t="n">
        <f aca="false">C49*(1+B50)</f>
        <v>1964.47579576276</v>
      </c>
      <c r="D50" s="10" t="n">
        <v>0.00346665</v>
      </c>
      <c r="E50" s="5" t="n">
        <f aca="false">E49*(1+D50)</f>
        <v>1855.5999436358</v>
      </c>
      <c r="F50" s="4" t="n">
        <f aca="false">D50*Varsayımlar!$B$3</f>
        <v>0.0043333125</v>
      </c>
      <c r="G50" s="5" t="n">
        <f aca="false">G49*(1+F50)</f>
        <v>1818.25218788159</v>
      </c>
    </row>
    <row r="51" customFormat="false" ht="15" hidden="false" customHeight="false" outlineLevel="0" collapsed="false">
      <c r="A51" s="3" t="n">
        <v>44811</v>
      </c>
      <c r="B51" s="10" t="n">
        <v>0.00571835</v>
      </c>
      <c r="C51" s="5" t="n">
        <f aca="false">C50*(1+B51)</f>
        <v>1975.70935592946</v>
      </c>
      <c r="D51" s="10" t="n">
        <v>0.00774124</v>
      </c>
      <c r="E51" s="5" t="n">
        <f aca="false">E50*(1+D51)</f>
        <v>1869.96458814347</v>
      </c>
      <c r="F51" s="4" t="n">
        <f aca="false">D51*Varsayımlar!$B$3</f>
        <v>0.00967655</v>
      </c>
      <c r="G51" s="5" t="n">
        <f aca="false">G50*(1+F51)</f>
        <v>1835.84659609024</v>
      </c>
    </row>
    <row r="52" customFormat="false" ht="15" hidden="false" customHeight="false" outlineLevel="0" collapsed="false">
      <c r="A52" s="3" t="n">
        <v>44812</v>
      </c>
      <c r="B52" s="10" t="n">
        <v>0.00281645</v>
      </c>
      <c r="C52" s="5" t="n">
        <f aca="false">C51*(1+B52)</f>
        <v>1981.27384254497</v>
      </c>
      <c r="D52" s="10" t="n">
        <v>0.00266665</v>
      </c>
      <c r="E52" s="5" t="n">
        <f aca="false">E51*(1+D52)</f>
        <v>1874.95112921244</v>
      </c>
      <c r="F52" s="4" t="n">
        <f aca="false">D52*Varsayımlar!$B$3</f>
        <v>0.0033333125</v>
      </c>
      <c r="G52" s="5" t="n">
        <f aca="false">G51*(1+F52)</f>
        <v>1841.96604649707</v>
      </c>
    </row>
    <row r="53" customFormat="false" ht="15" hidden="false" customHeight="false" outlineLevel="0" collapsed="false">
      <c r="A53" s="3" t="n">
        <v>44813</v>
      </c>
      <c r="B53" s="10" t="n">
        <v>0.02397713</v>
      </c>
      <c r="C53" s="5" t="n">
        <f aca="false">C52*(1+B53)</f>
        <v>2028.77910303327</v>
      </c>
      <c r="D53" s="10" t="n">
        <v>0.03805055</v>
      </c>
      <c r="E53" s="5" t="n">
        <f aca="false">E52*(1+D53)</f>
        <v>1946.29405090209</v>
      </c>
      <c r="F53" s="4" t="n">
        <f aca="false">D53*Varsayımlar!$B$3</f>
        <v>0.0475631875</v>
      </c>
      <c r="G53" s="5" t="n">
        <f aca="false">G52*(1+F53)</f>
        <v>1929.57582293524</v>
      </c>
    </row>
    <row r="54" customFormat="false" ht="15" hidden="false" customHeight="false" outlineLevel="0" collapsed="false">
      <c r="A54" s="3" t="n">
        <v>44814</v>
      </c>
      <c r="B54" s="10" t="n">
        <v>0.00687233</v>
      </c>
      <c r="C54" s="5" t="n">
        <f aca="false">C53*(1+B54)</f>
        <v>2042.72154252642</v>
      </c>
      <c r="D54" s="10" t="n">
        <v>0.0081146</v>
      </c>
      <c r="E54" s="5" t="n">
        <f aca="false">E53*(1+D54)</f>
        <v>1962.08744860754</v>
      </c>
      <c r="F54" s="4" t="n">
        <f aca="false">D54*Varsayımlar!$B$3</f>
        <v>0.01014325</v>
      </c>
      <c r="G54" s="5" t="n">
        <f aca="false">G53*(1+F54)</f>
        <v>1949.14799290123</v>
      </c>
    </row>
    <row r="55" customFormat="false" ht="15" hidden="false" customHeight="false" outlineLevel="0" collapsed="false">
      <c r="A55" s="3" t="n">
        <v>44815</v>
      </c>
      <c r="B55" s="10" t="n">
        <v>-0.00772386</v>
      </c>
      <c r="C55" s="5" t="n">
        <f aca="false">C54*(1+B55)</f>
        <v>2026.94384731296</v>
      </c>
      <c r="D55" s="10" t="n">
        <v>-0.00878418</v>
      </c>
      <c r="E55" s="5" t="n">
        <f aca="false">E54*(1+D55)</f>
        <v>1944.85211928324</v>
      </c>
      <c r="F55" s="4" t="n">
        <f aca="false">D55*Varsayımlar!$B$3</f>
        <v>-0.010980225</v>
      </c>
      <c r="G55" s="5" t="n">
        <f aca="false">G54*(1+F55)</f>
        <v>1927.74590938087</v>
      </c>
    </row>
    <row r="56" customFormat="false" ht="15" hidden="false" customHeight="false" outlineLevel="0" collapsed="false">
      <c r="A56" s="3" t="n">
        <v>44816</v>
      </c>
      <c r="B56" s="10" t="n">
        <v>0.00904589</v>
      </c>
      <c r="C56" s="5" t="n">
        <f aca="false">C55*(1+B56)</f>
        <v>2045.27935839193</v>
      </c>
      <c r="D56" s="10" t="n">
        <v>0.00565014</v>
      </c>
      <c r="E56" s="5" t="n">
        <f aca="false">E55*(1+D56)</f>
        <v>1955.84080603648</v>
      </c>
      <c r="F56" s="4" t="n">
        <f aca="false">D56*Varsayımlar!$B$3</f>
        <v>0.007062675</v>
      </c>
      <c r="G56" s="5" t="n">
        <f aca="false">G55*(1+F56)</f>
        <v>1941.36095222141</v>
      </c>
    </row>
    <row r="57" customFormat="false" ht="15" hidden="false" customHeight="false" outlineLevel="0" collapsed="false">
      <c r="A57" s="3" t="n">
        <v>44817</v>
      </c>
      <c r="B57" s="10" t="n">
        <v>0.00338873</v>
      </c>
      <c r="C57" s="5" t="n">
        <f aca="false">C56*(1+B57)</f>
        <v>2052.21025791209</v>
      </c>
      <c r="D57" s="10" t="n">
        <v>0.00342126</v>
      </c>
      <c r="E57" s="5" t="n">
        <f aca="false">E56*(1+D57)</f>
        <v>1962.53224595254</v>
      </c>
      <c r="F57" s="4" t="n">
        <f aca="false">D57*Varsayımlar!$B$3</f>
        <v>0.004276575</v>
      </c>
      <c r="G57" s="5" t="n">
        <f aca="false">G56*(1+F57)</f>
        <v>1949.66332793566</v>
      </c>
    </row>
    <row r="58" customFormat="false" ht="15" hidden="false" customHeight="false" outlineLevel="0" collapsed="false">
      <c r="A58" s="3" t="n">
        <v>44818</v>
      </c>
      <c r="B58" s="10" t="n">
        <v>-0.00206858</v>
      </c>
      <c r="C58" s="5" t="n">
        <f aca="false">C57*(1+B58)</f>
        <v>2047.96509681678</v>
      </c>
      <c r="D58" s="10" t="n">
        <v>-0.00123593</v>
      </c>
      <c r="E58" s="5" t="n">
        <f aca="false">E57*(1+D58)</f>
        <v>1960.1066934738</v>
      </c>
      <c r="F58" s="4" t="n">
        <f aca="false">D58*Varsayımlar!$B$3</f>
        <v>-0.0015449125</v>
      </c>
      <c r="G58" s="5" t="n">
        <f aca="false">G57*(1+F58)</f>
        <v>1946.65126868954</v>
      </c>
    </row>
    <row r="59" customFormat="false" ht="15" hidden="false" customHeight="false" outlineLevel="0" collapsed="false">
      <c r="A59" s="3" t="n">
        <v>44819</v>
      </c>
      <c r="B59" s="10" t="n">
        <v>0.00864627</v>
      </c>
      <c r="C59" s="5" t="n">
        <f aca="false">C58*(1+B59)</f>
        <v>2065.67235599443</v>
      </c>
      <c r="D59" s="10" t="n">
        <v>0.00713654</v>
      </c>
      <c r="E59" s="5" t="n">
        <f aca="false">E58*(1+D59)</f>
        <v>1974.09507329605</v>
      </c>
      <c r="F59" s="4" t="n">
        <f aca="false">D59*Varsayımlar!$B$3</f>
        <v>0.008920675</v>
      </c>
      <c r="G59" s="5" t="n">
        <f aca="false">G58*(1+F59)</f>
        <v>1964.01671199585</v>
      </c>
    </row>
    <row r="60" customFormat="false" ht="15" hidden="false" customHeight="false" outlineLevel="0" collapsed="false">
      <c r="A60" s="3" t="n">
        <v>44820</v>
      </c>
      <c r="B60" s="10" t="n">
        <v>0.00104409</v>
      </c>
      <c r="C60" s="5" t="n">
        <f aca="false">C59*(1+B60)</f>
        <v>2067.8291038446</v>
      </c>
      <c r="D60" s="10" t="n">
        <v>-0.00296654</v>
      </c>
      <c r="E60" s="5" t="n">
        <f aca="false">E59*(1+D60)</f>
        <v>1968.23884129731</v>
      </c>
      <c r="F60" s="4" t="n">
        <f aca="false">D60*Varsayımlar!$B$3</f>
        <v>-0.003708175</v>
      </c>
      <c r="G60" s="5" t="n">
        <f aca="false">G59*(1+F60)</f>
        <v>1956.73379432485</v>
      </c>
    </row>
    <row r="61" customFormat="false" ht="15" hidden="false" customHeight="false" outlineLevel="0" collapsed="false">
      <c r="A61" s="3" t="n">
        <v>44821</v>
      </c>
      <c r="B61" s="10" t="n">
        <v>0.00013513</v>
      </c>
      <c r="C61" s="5" t="n">
        <f aca="false">C60*(1+B61)</f>
        <v>2068.10852959141</v>
      </c>
      <c r="D61" s="10" t="n">
        <v>-0.00342291</v>
      </c>
      <c r="E61" s="5" t="n">
        <f aca="false">E60*(1+D61)</f>
        <v>1961.50173688505</v>
      </c>
      <c r="F61" s="4" t="n">
        <f aca="false">D61*Varsayımlar!$B$3</f>
        <v>-0.0042786375</v>
      </c>
      <c r="G61" s="5" t="n">
        <f aca="false">G60*(1+F61)</f>
        <v>1948.36163973493</v>
      </c>
    </row>
    <row r="62" customFormat="false" ht="15" hidden="false" customHeight="false" outlineLevel="0" collapsed="false">
      <c r="A62" s="3" t="n">
        <v>44822</v>
      </c>
      <c r="B62" s="10" t="n">
        <v>-0.00710802</v>
      </c>
      <c r="C62" s="5" t="n">
        <f aca="false">C61*(1+B62)</f>
        <v>2053.4083728009</v>
      </c>
      <c r="D62" s="10" t="n">
        <v>-0.00364544</v>
      </c>
      <c r="E62" s="5" t="n">
        <f aca="false">E61*(1+D62)</f>
        <v>1954.35119999334</v>
      </c>
      <c r="F62" s="4" t="n">
        <f aca="false">D62*Varsayımlar!$B$3</f>
        <v>-0.0045568</v>
      </c>
      <c r="G62" s="5" t="n">
        <f aca="false">G61*(1+F62)</f>
        <v>1939.48334541499</v>
      </c>
    </row>
    <row r="63" customFormat="false" ht="15" hidden="false" customHeight="false" outlineLevel="0" collapsed="false">
      <c r="A63" s="3" t="n">
        <v>44823</v>
      </c>
      <c r="B63" s="10" t="n">
        <v>-0.00050048</v>
      </c>
      <c r="C63" s="5" t="n">
        <f aca="false">C62*(1+B63)</f>
        <v>2052.38068297848</v>
      </c>
      <c r="D63" s="10" t="n">
        <v>-0.00021733</v>
      </c>
      <c r="E63" s="5" t="n">
        <f aca="false">E62*(1+D63)</f>
        <v>1953.92646084704</v>
      </c>
      <c r="F63" s="4" t="n">
        <f aca="false">D63*Varsayımlar!$B$3</f>
        <v>-0.0002716625</v>
      </c>
      <c r="G63" s="5" t="n">
        <f aca="false">G62*(1+F63)</f>
        <v>1938.95646052067</v>
      </c>
    </row>
    <row r="64" customFormat="false" ht="15" hidden="false" customHeight="false" outlineLevel="0" collapsed="false">
      <c r="A64" s="3" t="n">
        <v>44824</v>
      </c>
      <c r="B64" s="10" t="n">
        <v>-0.00962853</v>
      </c>
      <c r="C64" s="5" t="n">
        <f aca="false">C63*(1+B64)</f>
        <v>2032.619274001</v>
      </c>
      <c r="D64" s="10" t="n">
        <v>-0.00592954</v>
      </c>
      <c r="E64" s="5" t="n">
        <f aca="false">E63*(1+D64)</f>
        <v>1942.34057574039</v>
      </c>
      <c r="F64" s="4" t="n">
        <f aca="false">D64*Varsayımlar!$B$3</f>
        <v>-0.007411925</v>
      </c>
      <c r="G64" s="5" t="n">
        <f aca="false">G63*(1+F64)</f>
        <v>1924.58506065702</v>
      </c>
    </row>
    <row r="65" customFormat="false" ht="15" hidden="false" customHeight="false" outlineLevel="0" collapsed="false">
      <c r="A65" s="3" t="n">
        <v>44825</v>
      </c>
      <c r="B65" s="10" t="n">
        <v>0.00326487</v>
      </c>
      <c r="C65" s="5" t="n">
        <f aca="false">C64*(1+B65)</f>
        <v>2039.25551169011</v>
      </c>
      <c r="D65" s="10" t="n">
        <v>0.00403865</v>
      </c>
      <c r="E65" s="5" t="n">
        <f aca="false">E64*(1+D65)</f>
        <v>1950.1850095066</v>
      </c>
      <c r="F65" s="4" t="n">
        <f aca="false">D65*Varsayımlar!$B$3</f>
        <v>0.0050483125</v>
      </c>
      <c r="G65" s="5" t="n">
        <f aca="false">G64*(1+F65)</f>
        <v>1934.30096747605</v>
      </c>
    </row>
    <row r="66" customFormat="false" ht="15" hidden="false" customHeight="false" outlineLevel="0" collapsed="false">
      <c r="A66" s="3" t="n">
        <v>44826</v>
      </c>
      <c r="B66" s="10" t="n">
        <v>0.00599961</v>
      </c>
      <c r="C66" s="5" t="n">
        <f aca="false">C65*(1+B66)</f>
        <v>2051.4902494506</v>
      </c>
      <c r="D66" s="10" t="n">
        <v>0.00527805</v>
      </c>
      <c r="E66" s="5" t="n">
        <f aca="false">E65*(1+D66)</f>
        <v>1960.47818349603</v>
      </c>
      <c r="F66" s="4" t="n">
        <f aca="false">D66*Varsayımlar!$B$3</f>
        <v>0.0065975625</v>
      </c>
      <c r="G66" s="5" t="n">
        <f aca="false">G65*(1+F66)</f>
        <v>1947.06263900278</v>
      </c>
    </row>
    <row r="67" customFormat="false" ht="15" hidden="false" customHeight="false" outlineLevel="0" collapsed="false">
      <c r="A67" s="3" t="n">
        <v>44827</v>
      </c>
      <c r="B67" s="10" t="n">
        <v>-0.00852224</v>
      </c>
      <c r="C67" s="5" t="n">
        <f aca="false">C66*(1+B67)</f>
        <v>2034.00695718712</v>
      </c>
      <c r="D67" s="10" t="n">
        <v>-0.00680881</v>
      </c>
      <c r="E67" s="5" t="n">
        <f aca="false">E66*(1+D67)</f>
        <v>1947.12966003546</v>
      </c>
      <c r="F67" s="4" t="n">
        <f aca="false">D67*Varsayımlar!$B$3</f>
        <v>-0.0085110125</v>
      </c>
      <c r="G67" s="5" t="n">
        <f aca="false">G66*(1+F67)</f>
        <v>1930.49116454395</v>
      </c>
    </row>
    <row r="68" customFormat="false" ht="15" hidden="false" customHeight="false" outlineLevel="0" collapsed="false">
      <c r="A68" s="3" t="n">
        <v>44828</v>
      </c>
      <c r="B68" s="10" t="n">
        <v>0.00561998</v>
      </c>
      <c r="C68" s="5" t="n">
        <f aca="false">C67*(1+B68)</f>
        <v>2045.43803560638</v>
      </c>
      <c r="D68" s="10" t="n">
        <v>0.00436951</v>
      </c>
      <c r="E68" s="5" t="n">
        <f aca="false">E67*(1+D68)</f>
        <v>1955.63766255628</v>
      </c>
      <c r="F68" s="4" t="n">
        <f aca="false">D68*Varsayımlar!$B$3</f>
        <v>0.0054618875</v>
      </c>
      <c r="G68" s="5" t="n">
        <f aca="false">G67*(1+F68)</f>
        <v>1941.03529010443</v>
      </c>
    </row>
    <row r="69" customFormat="false" ht="15" hidden="false" customHeight="false" outlineLevel="0" collapsed="false">
      <c r="A69" s="3" t="n">
        <v>44829</v>
      </c>
      <c r="B69" s="10" t="n">
        <v>0.00183698</v>
      </c>
      <c r="C69" s="5" t="n">
        <f aca="false">C68*(1+B69)</f>
        <v>2049.19546436902</v>
      </c>
      <c r="D69" s="10" t="n">
        <v>0.00220789</v>
      </c>
      <c r="E69" s="5" t="n">
        <f aca="false">E68*(1+D69)</f>
        <v>1959.95549539506</v>
      </c>
      <c r="F69" s="4" t="n">
        <f aca="false">D69*Varsayımlar!$B$3</f>
        <v>0.0027598625</v>
      </c>
      <c r="G69" s="5" t="n">
        <f aca="false">G68*(1+F69)</f>
        <v>1946.39228061277</v>
      </c>
    </row>
    <row r="70" customFormat="false" ht="15" hidden="false" customHeight="false" outlineLevel="0" collapsed="false">
      <c r="A70" s="3" t="n">
        <v>44830</v>
      </c>
      <c r="B70" s="10" t="n">
        <v>-0.01158939</v>
      </c>
      <c r="C70" s="5" t="n">
        <f aca="false">C69*(1+B70)</f>
        <v>2025.44653894622</v>
      </c>
      <c r="D70" s="10" t="n">
        <v>-0.01357278</v>
      </c>
      <c r="E70" s="5" t="n">
        <f aca="false">E69*(1+D70)</f>
        <v>1933.35345064628</v>
      </c>
      <c r="F70" s="4" t="n">
        <f aca="false">D70*Varsayımlar!$B$3</f>
        <v>-0.016965975</v>
      </c>
      <c r="G70" s="5" t="n">
        <f aca="false">G69*(1+F70)</f>
        <v>1913.3698378397</v>
      </c>
    </row>
    <row r="71" customFormat="false" ht="15" hidden="false" customHeight="false" outlineLevel="0" collapsed="false">
      <c r="A71" s="3" t="n">
        <v>44831</v>
      </c>
      <c r="B71" s="10" t="n">
        <v>0.00688128</v>
      </c>
      <c r="C71" s="5" t="n">
        <f aca="false">C70*(1+B71)</f>
        <v>2039.38420370574</v>
      </c>
      <c r="D71" s="10" t="n">
        <v>0.00825939</v>
      </c>
      <c r="E71" s="5" t="n">
        <f aca="false">E70*(1+D71)</f>
        <v>1949.32177080301</v>
      </c>
      <c r="F71" s="4" t="n">
        <f aca="false">D71*Varsayımlar!$B$3</f>
        <v>0.0103242375</v>
      </c>
      <c r="G71" s="5" t="n">
        <f aca="false">G70*(1+F71)</f>
        <v>1933.12392247089</v>
      </c>
    </row>
    <row r="72" customFormat="false" ht="15" hidden="false" customHeight="false" outlineLevel="0" collapsed="false">
      <c r="A72" s="3" t="n">
        <v>44832</v>
      </c>
      <c r="B72" s="10" t="n">
        <v>-0.00149135</v>
      </c>
      <c r="C72" s="5" t="n">
        <f aca="false">C71*(1+B72)</f>
        <v>2036.34276807354</v>
      </c>
      <c r="D72" s="10" t="n">
        <v>-0.0020508</v>
      </c>
      <c r="E72" s="5" t="n">
        <f aca="false">E71*(1+D72)</f>
        <v>1945.32410171545</v>
      </c>
      <c r="F72" s="4" t="n">
        <f aca="false">D72*Varsayımlar!$B$3</f>
        <v>-0.0025635</v>
      </c>
      <c r="G72" s="5" t="n">
        <f aca="false">G71*(1+F72)</f>
        <v>1928.16835929564</v>
      </c>
    </row>
    <row r="73" customFormat="false" ht="15" hidden="false" customHeight="false" outlineLevel="0" collapsed="false">
      <c r="A73" s="3" t="n">
        <v>44833</v>
      </c>
      <c r="B73" s="10" t="n">
        <v>-0.00437157</v>
      </c>
      <c r="C73" s="5" t="n">
        <f aca="false">C72*(1+B73)</f>
        <v>2027.44075311892</v>
      </c>
      <c r="D73" s="10" t="n">
        <v>-0.00662943</v>
      </c>
      <c r="E73" s="5" t="n">
        <f aca="false">E72*(1+D73)</f>
        <v>1932.42771175581</v>
      </c>
      <c r="F73" s="4" t="n">
        <f aca="false">D73*Varsayımlar!$B$3</f>
        <v>-0.0082867875</v>
      </c>
      <c r="G73" s="5" t="n">
        <f aca="false">G72*(1+F73)</f>
        <v>1912.19003783793</v>
      </c>
    </row>
    <row r="74" customFormat="false" ht="15" hidden="false" customHeight="false" outlineLevel="0" collapsed="false">
      <c r="A74" s="3" t="n">
        <v>44834</v>
      </c>
      <c r="B74" s="10" t="n">
        <v>-0.00167331</v>
      </c>
      <c r="C74" s="5" t="n">
        <f aca="false">C73*(1+B74)</f>
        <v>2024.04821623231</v>
      </c>
      <c r="D74" s="10" t="n">
        <v>-0.00229939</v>
      </c>
      <c r="E74" s="5" t="n">
        <f aca="false">E73*(1+D74)</f>
        <v>1927.98430679968</v>
      </c>
      <c r="F74" s="4" t="n">
        <f aca="false">D74*Varsayımlar!$B$3</f>
        <v>-0.0028742375</v>
      </c>
      <c r="G74" s="5" t="n">
        <f aca="false">G73*(1+F74)</f>
        <v>1906.69394952405</v>
      </c>
    </row>
    <row r="75" customFormat="false" ht="15" hidden="false" customHeight="false" outlineLevel="0" collapsed="false">
      <c r="A75" s="3" t="n">
        <v>44835</v>
      </c>
      <c r="B75" s="10" t="n">
        <v>0.02216574</v>
      </c>
      <c r="C75" s="5" t="n">
        <f aca="false">C74*(1+B75)</f>
        <v>2068.91274274078</v>
      </c>
      <c r="D75" s="10" t="n">
        <v>0.02595393</v>
      </c>
      <c r="E75" s="5" t="n">
        <f aca="false">E74*(1+D75)</f>
        <v>1978.02307653945</v>
      </c>
      <c r="F75" s="4" t="n">
        <f aca="false">D75*Varsayımlar!$B$3</f>
        <v>0.0324424125</v>
      </c>
      <c r="G75" s="5" t="n">
        <f aca="false">G74*(1+F75)</f>
        <v>1968.55170114576</v>
      </c>
    </row>
    <row r="76" customFormat="false" ht="15" hidden="false" customHeight="false" outlineLevel="0" collapsed="false">
      <c r="A76" s="3" t="n">
        <v>44836</v>
      </c>
      <c r="B76" s="10" t="n">
        <v>0.00513071</v>
      </c>
      <c r="C76" s="5" t="n">
        <f aca="false">C75*(1+B76)</f>
        <v>2079.52773403909</v>
      </c>
      <c r="D76" s="10" t="n">
        <v>0.00526945</v>
      </c>
      <c r="E76" s="5" t="n">
        <f aca="false">E75*(1+D76)</f>
        <v>1988.44617024012</v>
      </c>
      <c r="F76" s="4" t="n">
        <f aca="false">D76*Varsayımlar!$B$3</f>
        <v>0.0065868125</v>
      </c>
      <c r="G76" s="5" t="n">
        <f aca="false">G75*(1+F76)</f>
        <v>1981.51818209777</v>
      </c>
    </row>
    <row r="77" customFormat="false" ht="15" hidden="false" customHeight="false" outlineLevel="0" collapsed="false">
      <c r="A77" s="3" t="n">
        <v>44837</v>
      </c>
      <c r="B77" s="10" t="n">
        <v>-0.00262366</v>
      </c>
      <c r="C77" s="5" t="n">
        <f aca="false">C76*(1+B77)</f>
        <v>2074.0717603044</v>
      </c>
      <c r="D77" s="10" t="n">
        <v>-0.00448946</v>
      </c>
      <c r="E77" s="5" t="n">
        <f aca="false">E76*(1+D77)</f>
        <v>1979.51912069668</v>
      </c>
      <c r="F77" s="4" t="n">
        <f aca="false">D77*Varsayımlar!$B$3</f>
        <v>-0.005611825</v>
      </c>
      <c r="G77" s="5" t="n">
        <f aca="false">G76*(1+F77)</f>
        <v>1970.39824882551</v>
      </c>
    </row>
    <row r="78" customFormat="false" ht="15" hidden="false" customHeight="false" outlineLevel="0" collapsed="false">
      <c r="A78" s="3" t="n">
        <v>44838</v>
      </c>
      <c r="B78" s="10" t="n">
        <v>-0.01909167</v>
      </c>
      <c r="C78" s="5" t="n">
        <f aca="false">C77*(1+B78)</f>
        <v>2034.47426670035</v>
      </c>
      <c r="D78" s="10" t="n">
        <v>-0.01848345</v>
      </c>
      <c r="E78" s="5" t="n">
        <f aca="false">E77*(1+D78)</f>
        <v>1942.93077800524</v>
      </c>
      <c r="F78" s="4" t="n">
        <f aca="false">D78*Varsayımlar!$B$3</f>
        <v>-0.0231043125</v>
      </c>
      <c r="G78" s="5" t="n">
        <f aca="false">G77*(1+F78)</f>
        <v>1924.8735519352</v>
      </c>
    </row>
    <row r="79" customFormat="false" ht="15" hidden="false" customHeight="false" outlineLevel="0" collapsed="false">
      <c r="A79" s="3" t="n">
        <v>44839</v>
      </c>
      <c r="B79" s="10" t="n">
        <v>0.0111594</v>
      </c>
      <c r="C79" s="5" t="n">
        <f aca="false">C78*(1+B79)</f>
        <v>2057.17777883217</v>
      </c>
      <c r="D79" s="10" t="n">
        <v>0.00991061</v>
      </c>
      <c r="E79" s="5" t="n">
        <f aca="false">E78*(1+D79)</f>
        <v>1962.18640720304</v>
      </c>
      <c r="F79" s="4" t="n">
        <f aca="false">D79*Varsayımlar!$B$3</f>
        <v>0.0123882625</v>
      </c>
      <c r="G79" s="5" t="n">
        <f aca="false">G78*(1+F79)</f>
        <v>1948.71939077588</v>
      </c>
    </row>
    <row r="80" customFormat="false" ht="15" hidden="false" customHeight="false" outlineLevel="0" collapsed="false">
      <c r="A80" s="3" t="n">
        <v>44840</v>
      </c>
      <c r="B80" s="10" t="n">
        <v>0.00048106</v>
      </c>
      <c r="C80" s="5" t="n">
        <f aca="false">C79*(1+B80)</f>
        <v>2058.16740477445</v>
      </c>
      <c r="D80" s="10" t="n">
        <v>0.0025579</v>
      </c>
      <c r="E80" s="5" t="n">
        <f aca="false">E79*(1+D80)</f>
        <v>1967.20548381403</v>
      </c>
      <c r="F80" s="4" t="n">
        <f aca="false">D80*Varsayımlar!$B$3</f>
        <v>0.003197375</v>
      </c>
      <c r="G80" s="5" t="n">
        <f aca="false">G79*(1+F80)</f>
        <v>1954.95017743796</v>
      </c>
    </row>
    <row r="81" customFormat="false" ht="15" hidden="false" customHeight="false" outlineLevel="0" collapsed="false">
      <c r="A81" s="3" t="n">
        <v>44841</v>
      </c>
      <c r="B81" s="10" t="n">
        <v>-0.004877</v>
      </c>
      <c r="C81" s="5" t="n">
        <f aca="false">C80*(1+B81)</f>
        <v>2048.12972234137</v>
      </c>
      <c r="D81" s="10" t="n">
        <v>-0.00460088</v>
      </c>
      <c r="E81" s="5" t="n">
        <f aca="false">E80*(1+D81)</f>
        <v>1958.15460744766</v>
      </c>
      <c r="F81" s="4" t="n">
        <f aca="false">D81*Varsayımlar!$B$3</f>
        <v>-0.0057511</v>
      </c>
      <c r="G81" s="5" t="n">
        <f aca="false">G80*(1+F81)</f>
        <v>1943.7070634725</v>
      </c>
    </row>
    <row r="82" customFormat="false" ht="15" hidden="false" customHeight="false" outlineLevel="0" collapsed="false">
      <c r="A82" s="3" t="n">
        <v>44842</v>
      </c>
      <c r="B82" s="10" t="n">
        <v>-0.01644863</v>
      </c>
      <c r="C82" s="5" t="n">
        <f aca="false">C81*(1+B82)</f>
        <v>2014.44079434657</v>
      </c>
      <c r="D82" s="10" t="n">
        <v>-0.01790201</v>
      </c>
      <c r="E82" s="5" t="n">
        <f aca="false">E81*(1+D82)</f>
        <v>1923.09970408358</v>
      </c>
      <c r="F82" s="4" t="n">
        <f aca="false">D82*Varsayımlar!$B$3</f>
        <v>-0.0223775125</v>
      </c>
      <c r="G82" s="5" t="n">
        <f aca="false">G81*(1+F82)</f>
        <v>1900.2117343633</v>
      </c>
    </row>
    <row r="83" customFormat="false" ht="15" hidden="false" customHeight="false" outlineLevel="0" collapsed="false">
      <c r="A83" s="3" t="n">
        <v>44843</v>
      </c>
      <c r="B83" s="10" t="n">
        <v>-0.0020226</v>
      </c>
      <c r="C83" s="5" t="n">
        <f aca="false">C82*(1+B83)</f>
        <v>2010.36638639593</v>
      </c>
      <c r="D83" s="10" t="n">
        <v>-0.00141299</v>
      </c>
      <c r="E83" s="5" t="n">
        <f aca="false">E82*(1+D83)</f>
        <v>1920.38238343271</v>
      </c>
      <c r="F83" s="4" t="n">
        <f aca="false">D83*Varsayımlar!$B$3</f>
        <v>-0.0017662375</v>
      </c>
      <c r="G83" s="5" t="n">
        <f aca="false">G82*(1+F83)</f>
        <v>1896.85550914013</v>
      </c>
    </row>
    <row r="84" customFormat="false" ht="15" hidden="false" customHeight="false" outlineLevel="0" collapsed="false">
      <c r="A84" s="3" t="n">
        <v>44844</v>
      </c>
      <c r="B84" s="10" t="n">
        <v>0.00849002</v>
      </c>
      <c r="C84" s="5" t="n">
        <f aca="false">C83*(1+B84)</f>
        <v>2027.43443722375</v>
      </c>
      <c r="D84" s="10" t="n">
        <v>0.00664478</v>
      </c>
      <c r="E84" s="5" t="n">
        <f aca="false">E83*(1+D84)</f>
        <v>1933.1429018865</v>
      </c>
      <c r="F84" s="4" t="n">
        <f aca="false">D84*Varsayımlar!$B$3</f>
        <v>0.008305975</v>
      </c>
      <c r="G84" s="5" t="n">
        <f aca="false">G83*(1+F84)</f>
        <v>1912.61074357766</v>
      </c>
    </row>
    <row r="85" customFormat="false" ht="15" hidden="false" customHeight="false" outlineLevel="0" collapsed="false">
      <c r="A85" s="3" t="n">
        <v>44845</v>
      </c>
      <c r="B85" s="10" t="n">
        <v>0.00561624</v>
      </c>
      <c r="C85" s="5" t="n">
        <f aca="false">C84*(1+B85)</f>
        <v>2038.82099560747</v>
      </c>
      <c r="D85" s="10" t="n">
        <v>0.0073117</v>
      </c>
      <c r="E85" s="5" t="n">
        <f aca="false">E84*(1+D85)</f>
        <v>1947.27746284222</v>
      </c>
      <c r="F85" s="4" t="n">
        <f aca="false">D85*Varsayımlar!$B$3</f>
        <v>0.009139625</v>
      </c>
      <c r="G85" s="5" t="n">
        <f aca="false">G84*(1+F85)</f>
        <v>1930.09128854493</v>
      </c>
    </row>
    <row r="86" customFormat="false" ht="15" hidden="false" customHeight="false" outlineLevel="0" collapsed="false">
      <c r="A86" s="3" t="n">
        <v>44846</v>
      </c>
      <c r="B86" s="10" t="n">
        <v>-0.00248529</v>
      </c>
      <c r="C86" s="5" t="n">
        <f aca="false">C85*(1+B86)</f>
        <v>2033.7539341753</v>
      </c>
      <c r="D86" s="10" t="n">
        <v>-0.00521477</v>
      </c>
      <c r="E86" s="5" t="n">
        <f aca="false">E85*(1+D86)</f>
        <v>1937.12285874732</v>
      </c>
      <c r="F86" s="4" t="n">
        <f aca="false">D86*Varsayımlar!$B$3</f>
        <v>-0.0065184625</v>
      </c>
      <c r="G86" s="5" t="n">
        <f aca="false">G85*(1+F86)</f>
        <v>1917.51006085897</v>
      </c>
    </row>
    <row r="87" customFormat="false" ht="15" hidden="false" customHeight="false" outlineLevel="0" collapsed="false">
      <c r="A87" s="3" t="n">
        <v>44847</v>
      </c>
      <c r="B87" s="10" t="n">
        <v>0.02551465</v>
      </c>
      <c r="C87" s="5" t="n">
        <f aca="false">C86*(1+B87)</f>
        <v>2085.6444539919</v>
      </c>
      <c r="D87" s="10" t="n">
        <v>0.02687624</v>
      </c>
      <c r="E87" s="5" t="n">
        <f aca="false">E86*(1+D87)</f>
        <v>1989.18543760849</v>
      </c>
      <c r="F87" s="4" t="n">
        <f aca="false">D87*Varsayımlar!$B$3</f>
        <v>0.0335953</v>
      </c>
      <c r="G87" s="5" t="n">
        <f aca="false">G86*(1+F87)</f>
        <v>1981.92938660655</v>
      </c>
    </row>
    <row r="88" customFormat="false" ht="15" hidden="false" customHeight="false" outlineLevel="0" collapsed="false">
      <c r="A88" s="3" t="n">
        <v>44848</v>
      </c>
      <c r="B88" s="10" t="n">
        <v>0.01369264</v>
      </c>
      <c r="C88" s="5" t="n">
        <f aca="false">C87*(1+B88)</f>
        <v>2114.20243266841</v>
      </c>
      <c r="D88" s="10" t="n">
        <v>0.01521742</v>
      </c>
      <c r="E88" s="5" t="n">
        <f aca="false">E87*(1+D88)</f>
        <v>2019.45570787047</v>
      </c>
      <c r="F88" s="4" t="n">
        <f aca="false">D88*Varsayımlar!$B$3</f>
        <v>0.019021775</v>
      </c>
      <c r="G88" s="5" t="n">
        <f aca="false">G87*(1+F88)</f>
        <v>2019.62920146447</v>
      </c>
    </row>
    <row r="89" customFormat="false" ht="15" hidden="false" customHeight="false" outlineLevel="0" collapsed="false">
      <c r="A89" s="3" t="n">
        <v>44849</v>
      </c>
      <c r="B89" s="10" t="n">
        <v>0.0023178</v>
      </c>
      <c r="C89" s="5" t="n">
        <f aca="false">C88*(1+B89)</f>
        <v>2119.10273106685</v>
      </c>
      <c r="D89" s="10" t="n">
        <v>0.0033566</v>
      </c>
      <c r="E89" s="5" t="n">
        <f aca="false">E88*(1+D89)</f>
        <v>2026.2342128995</v>
      </c>
      <c r="F89" s="4" t="n">
        <f aca="false">D89*Varsayımlar!$B$3</f>
        <v>0.00419575</v>
      </c>
      <c r="G89" s="5" t="n">
        <f aca="false">G88*(1+F89)</f>
        <v>2028.10306068651</v>
      </c>
    </row>
    <row r="90" customFormat="false" ht="15" hidden="false" customHeight="false" outlineLevel="0" collapsed="false">
      <c r="A90" s="3" t="n">
        <v>44850</v>
      </c>
      <c r="B90" s="10" t="n">
        <v>0.01400704</v>
      </c>
      <c r="C90" s="5" t="n">
        <f aca="false">C89*(1+B90)</f>
        <v>2148.78508778501</v>
      </c>
      <c r="D90" s="10" t="n">
        <v>0.01078411</v>
      </c>
      <c r="E90" s="5" t="n">
        <f aca="false">E89*(1+D90)</f>
        <v>2048.08534553718</v>
      </c>
      <c r="F90" s="4" t="n">
        <f aca="false">D90*Varsayımlar!$B$3</f>
        <v>0.0134801375</v>
      </c>
      <c r="G90" s="5" t="n">
        <f aca="false">G89*(1+F90)</f>
        <v>2055.44216880874</v>
      </c>
    </row>
    <row r="91" customFormat="false" ht="15" hidden="false" customHeight="false" outlineLevel="0" collapsed="false">
      <c r="A91" s="3" t="n">
        <v>44851</v>
      </c>
      <c r="B91" s="10" t="n">
        <v>-0.00554514</v>
      </c>
      <c r="C91" s="5" t="n">
        <f aca="false">C90*(1+B91)</f>
        <v>2136.86977364333</v>
      </c>
      <c r="D91" s="10" t="n">
        <v>-0.0034335</v>
      </c>
      <c r="E91" s="5" t="n">
        <f aca="false">E90*(1+D91)</f>
        <v>2041.05324450327</v>
      </c>
      <c r="F91" s="4" t="n">
        <f aca="false">D91*Varsayımlar!$B$3</f>
        <v>-0.004291875</v>
      </c>
      <c r="G91" s="5" t="n">
        <f aca="false">G90*(1+F91)</f>
        <v>2046.62046795048</v>
      </c>
    </row>
    <row r="92" customFormat="false" ht="15" hidden="false" customHeight="false" outlineLevel="0" collapsed="false">
      <c r="A92" s="3" t="n">
        <v>44852</v>
      </c>
      <c r="B92" s="10" t="n">
        <v>0.01838167</v>
      </c>
      <c r="C92" s="5" t="n">
        <f aca="false">C91*(1+B92)</f>
        <v>2176.14900865542</v>
      </c>
      <c r="D92" s="10" t="n">
        <v>0.02104488</v>
      </c>
      <c r="E92" s="5" t="n">
        <f aca="false">E91*(1+D92)</f>
        <v>2084.00696510746</v>
      </c>
      <c r="F92" s="4" t="n">
        <f aca="false">D92*Varsayımlar!$B$3</f>
        <v>0.0263061</v>
      </c>
      <c r="G92" s="5" t="n">
        <f aca="false">G91*(1+F92)</f>
        <v>2100.45907064243</v>
      </c>
    </row>
    <row r="93" customFormat="false" ht="15" hidden="false" customHeight="false" outlineLevel="0" collapsed="false">
      <c r="A93" s="3" t="n">
        <v>44853</v>
      </c>
      <c r="B93" s="10" t="n">
        <v>-0.00073206</v>
      </c>
      <c r="C93" s="5" t="n">
        <f aca="false">C92*(1+B93)</f>
        <v>2174.55593701214</v>
      </c>
      <c r="D93" s="10" t="n">
        <v>-0.00103762</v>
      </c>
      <c r="E93" s="5" t="n">
        <f aca="false">E92*(1+D93)</f>
        <v>2081.84455780032</v>
      </c>
      <c r="F93" s="4" t="n">
        <f aca="false">D93*Varsayımlar!$B$3</f>
        <v>-0.001297025</v>
      </c>
      <c r="G93" s="5" t="n">
        <f aca="false">G92*(1+F93)</f>
        <v>2097.73472271633</v>
      </c>
    </row>
    <row r="94" customFormat="false" ht="15" hidden="false" customHeight="false" outlineLevel="0" collapsed="false">
      <c r="A94" s="3" t="n">
        <v>44854</v>
      </c>
      <c r="B94" s="10" t="n">
        <v>-0.01685775</v>
      </c>
      <c r="C94" s="5" t="n">
        <f aca="false">C93*(1+B94)</f>
        <v>2137.89781666497</v>
      </c>
      <c r="D94" s="10" t="n">
        <v>-0.01959102</v>
      </c>
      <c r="E94" s="5" t="n">
        <f aca="false">E93*(1+D94)</f>
        <v>2041.05909943156</v>
      </c>
      <c r="F94" s="4" t="n">
        <f aca="false">D94*Varsayımlar!$B$3</f>
        <v>-0.024488775</v>
      </c>
      <c r="G94" s="5" t="n">
        <f aca="false">G93*(1+F94)</f>
        <v>2046.36376908205</v>
      </c>
    </row>
    <row r="95" customFormat="false" ht="15" hidden="false" customHeight="false" outlineLevel="0" collapsed="false">
      <c r="A95" s="3" t="n">
        <v>44855</v>
      </c>
      <c r="B95" s="10" t="n">
        <v>-0.01668649</v>
      </c>
      <c r="C95" s="5" t="n">
        <f aca="false">C94*(1+B95)</f>
        <v>2102.22380612617</v>
      </c>
      <c r="D95" s="10" t="n">
        <v>-0.01289374</v>
      </c>
      <c r="E95" s="5" t="n">
        <f aca="false">E94*(1+D95)</f>
        <v>2014.74221407886</v>
      </c>
      <c r="F95" s="4" t="n">
        <f aca="false">D95*Varsayımlar!$B$3</f>
        <v>-0.016117175</v>
      </c>
      <c r="G95" s="5" t="n">
        <f aca="false">G94*(1+F95)</f>
        <v>2013.38216610209</v>
      </c>
    </row>
    <row r="96" customFormat="false" ht="15" hidden="false" customHeight="false" outlineLevel="0" collapsed="false">
      <c r="A96" s="3" t="n">
        <v>44856</v>
      </c>
      <c r="B96" s="10" t="n">
        <v>-0.00700737</v>
      </c>
      <c r="C96" s="5" t="n">
        <f aca="false">C95*(1+B96)</f>
        <v>2087.49274609384</v>
      </c>
      <c r="D96" s="10" t="n">
        <v>-0.00628158</v>
      </c>
      <c r="E96" s="5" t="n">
        <f aca="false">E95*(1+D96)</f>
        <v>2002.08644968175</v>
      </c>
      <c r="F96" s="4" t="n">
        <f aca="false">D96*Varsayımlar!$B$3</f>
        <v>-0.007851975</v>
      </c>
      <c r="G96" s="5" t="n">
        <f aca="false">G95*(1+F96)</f>
        <v>1997.57313966841</v>
      </c>
    </row>
    <row r="97" customFormat="false" ht="15" hidden="false" customHeight="false" outlineLevel="0" collapsed="false">
      <c r="A97" s="3" t="n">
        <v>44857</v>
      </c>
      <c r="B97" s="10" t="n">
        <v>-0.00011676</v>
      </c>
      <c r="C97" s="5" t="n">
        <f aca="false">C96*(1+B97)</f>
        <v>2087.2490104408</v>
      </c>
      <c r="D97" s="10" t="n">
        <v>0.01590864</v>
      </c>
      <c r="E97" s="5" t="n">
        <f aca="false">E96*(1+D97)</f>
        <v>2033.93692225861</v>
      </c>
      <c r="F97" s="4" t="n">
        <f aca="false">D97*Varsayımlar!$B$3</f>
        <v>0.0198858</v>
      </c>
      <c r="G97" s="5" t="n">
        <f aca="false">G96*(1+F97)</f>
        <v>2037.29647960923</v>
      </c>
    </row>
    <row r="98" customFormat="false" ht="15" hidden="false" customHeight="false" outlineLevel="0" collapsed="false">
      <c r="A98" s="3" t="n">
        <v>44858</v>
      </c>
      <c r="B98" s="10" t="n">
        <v>0.00273872</v>
      </c>
      <c r="C98" s="5" t="n">
        <f aca="false">C97*(1+B98)</f>
        <v>2092.96540105068</v>
      </c>
      <c r="D98" s="10" t="n">
        <v>0.00473104</v>
      </c>
      <c r="E98" s="5" t="n">
        <f aca="false">E97*(1+D98)</f>
        <v>2043.55955919529</v>
      </c>
      <c r="F98" s="4" t="n">
        <f aca="false">D98*Varsayımlar!$B$3</f>
        <v>0.0059138</v>
      </c>
      <c r="G98" s="5" t="n">
        <f aca="false">G97*(1+F98)</f>
        <v>2049.34464353034</v>
      </c>
    </row>
    <row r="99" customFormat="false" ht="15" hidden="false" customHeight="false" outlineLevel="0" collapsed="false">
      <c r="A99" s="3" t="n">
        <v>44859</v>
      </c>
      <c r="B99" s="10" t="n">
        <v>-0.01339441</v>
      </c>
      <c r="C99" s="5" t="n">
        <f aca="false">C98*(1+B99)</f>
        <v>2064.93136435319</v>
      </c>
      <c r="D99" s="10" t="n">
        <v>-0.01615921</v>
      </c>
      <c r="E99" s="5" t="n">
        <f aca="false">E98*(1+D99)</f>
        <v>2010.53725113075</v>
      </c>
      <c r="F99" s="4" t="n">
        <f aca="false">D99*Varsayımlar!$B$3</f>
        <v>-0.0201990125</v>
      </c>
      <c r="G99" s="5" t="n">
        <f aca="false">G98*(1+F99)</f>
        <v>2007.94990545887</v>
      </c>
    </row>
    <row r="100" customFormat="false" ht="15" hidden="false" customHeight="false" outlineLevel="0" collapsed="false">
      <c r="A100" s="3" t="n">
        <v>44860</v>
      </c>
      <c r="B100" s="10" t="n">
        <v>0.0090605</v>
      </c>
      <c r="C100" s="5" t="n">
        <f aca="false">C99*(1+B100)</f>
        <v>2083.64067497991</v>
      </c>
      <c r="D100" s="10" t="n">
        <v>0.00962573</v>
      </c>
      <c r="E100" s="5" t="n">
        <f aca="false">E99*(1+D100)</f>
        <v>2029.89013986508</v>
      </c>
      <c r="F100" s="4" t="n">
        <f aca="false">D100*Varsayımlar!$B$3</f>
        <v>0.0120321625</v>
      </c>
      <c r="G100" s="5" t="n">
        <f aca="false">G99*(1+F100)</f>
        <v>2032.10988501321</v>
      </c>
    </row>
    <row r="101" customFormat="false" ht="15" hidden="false" customHeight="false" outlineLevel="0" collapsed="false">
      <c r="A101" s="3" t="n">
        <v>44861</v>
      </c>
      <c r="B101" s="10" t="n">
        <v>0.01121586</v>
      </c>
      <c r="C101" s="5" t="n">
        <f aca="false">C100*(1+B101)</f>
        <v>2107.01049708079</v>
      </c>
      <c r="D101" s="10" t="n">
        <v>0.0085314</v>
      </c>
      <c r="E101" s="5" t="n">
        <f aca="false">E100*(1+D101)</f>
        <v>2047.20794460432</v>
      </c>
      <c r="F101" s="4" t="n">
        <f aca="false">D101*Varsayımlar!$B$3</f>
        <v>0.01066425</v>
      </c>
      <c r="G101" s="5" t="n">
        <f aca="false">G100*(1+F101)</f>
        <v>2053.78081285446</v>
      </c>
    </row>
    <row r="102" customFormat="false" ht="15" hidden="false" customHeight="false" outlineLevel="0" collapsed="false">
      <c r="A102" s="3" t="n">
        <v>44862</v>
      </c>
      <c r="B102" s="10" t="n">
        <v>-0.00528928</v>
      </c>
      <c r="C102" s="5" t="n">
        <f aca="false">C101*(1+B102)</f>
        <v>2095.86592859879</v>
      </c>
      <c r="D102" s="10" t="n">
        <v>-0.00800807</v>
      </c>
      <c r="E102" s="5" t="n">
        <f aca="false">E101*(1+D102)</f>
        <v>2030.81376007937</v>
      </c>
      <c r="F102" s="4" t="n">
        <f aca="false">D102*Varsayımlar!$B$3</f>
        <v>-0.0100100875</v>
      </c>
      <c r="G102" s="5" t="n">
        <f aca="false">G101*(1+F102)</f>
        <v>2033.22228721196</v>
      </c>
    </row>
    <row r="103" customFormat="false" ht="15" hidden="false" customHeight="false" outlineLevel="0" collapsed="false">
      <c r="A103" s="3" t="n">
        <v>44863</v>
      </c>
      <c r="B103" s="10" t="n">
        <v>-0.01674679</v>
      </c>
      <c r="C103" s="5" t="n">
        <f aca="false">C102*(1+B103)</f>
        <v>2060.76690202439</v>
      </c>
      <c r="D103" s="10" t="n">
        <v>0.01034337</v>
      </c>
      <c r="E103" s="5" t="n">
        <f aca="false">E102*(1+D103)</f>
        <v>2051.81921820097</v>
      </c>
      <c r="F103" s="4" t="n">
        <f aca="false">D103*Varsayımlar!$B$3</f>
        <v>0.0129292125</v>
      </c>
      <c r="G103" s="5" t="n">
        <f aca="false">G102*(1+F103)</f>
        <v>2059.51025022306</v>
      </c>
    </row>
    <row r="104" customFormat="false" ht="15" hidden="false" customHeight="false" outlineLevel="0" collapsed="false">
      <c r="A104" s="3" t="n">
        <v>44864</v>
      </c>
      <c r="B104" s="10" t="n">
        <v>0.00290611</v>
      </c>
      <c r="C104" s="5" t="n">
        <f aca="false">C103*(1+B104)</f>
        <v>2066.75571732604</v>
      </c>
      <c r="D104" s="10" t="n">
        <v>-0.01267605</v>
      </c>
      <c r="E104" s="5" t="n">
        <f aca="false">E103*(1+D104)</f>
        <v>2025.81025520009</v>
      </c>
      <c r="F104" s="4" t="n">
        <f aca="false">D104*Varsayımlar!$B$3</f>
        <v>-0.0158450625</v>
      </c>
      <c r="G104" s="5" t="n">
        <f aca="false">G103*(1+F104)</f>
        <v>2026.87718158889</v>
      </c>
    </row>
    <row r="105" customFormat="false" ht="15" hidden="false" customHeight="false" outlineLevel="0" collapsed="false">
      <c r="A105" s="3" t="n">
        <v>44865</v>
      </c>
      <c r="B105" s="10" t="n">
        <v>-0.00250491</v>
      </c>
      <c r="C105" s="5" t="n">
        <f aca="false">C104*(1+B105)</f>
        <v>2061.57868026215</v>
      </c>
      <c r="D105" s="10" t="n">
        <v>0.00299175</v>
      </c>
      <c r="E105" s="5" t="n">
        <f aca="false">E104*(1+D105)</f>
        <v>2031.87097303108</v>
      </c>
      <c r="F105" s="4" t="n">
        <f aca="false">D105*Varsayımlar!$B$3</f>
        <v>0.0037396875</v>
      </c>
      <c r="G105" s="5" t="n">
        <f aca="false">G104*(1+F105)</f>
        <v>2034.45706884891</v>
      </c>
    </row>
    <row r="106" customFormat="false" ht="15" hidden="false" customHeight="false" outlineLevel="0" collapsed="false">
      <c r="A106" s="3" t="n">
        <v>44866</v>
      </c>
      <c r="B106" s="10" t="n">
        <v>-0.00133481</v>
      </c>
      <c r="C106" s="5" t="n">
        <f aca="false">C105*(1+B106)</f>
        <v>2058.82686442395</v>
      </c>
      <c r="D106" s="10" t="n">
        <v>0.00806113</v>
      </c>
      <c r="E106" s="5" t="n">
        <f aca="false">E105*(1+D106)</f>
        <v>2048.25014908791</v>
      </c>
      <c r="F106" s="4" t="n">
        <f aca="false">D106*Varsayımlar!$B$3</f>
        <v>0.0100764125</v>
      </c>
      <c r="G106" s="5" t="n">
        <f aca="false">G105*(1+F106)</f>
        <v>2054.95709748817</v>
      </c>
    </row>
    <row r="107" customFormat="false" ht="15" hidden="false" customHeight="false" outlineLevel="0" collapsed="false">
      <c r="A107" s="3" t="n">
        <v>44867</v>
      </c>
      <c r="B107" s="10" t="n">
        <v>0.03555375</v>
      </c>
      <c r="C107" s="5" t="n">
        <f aca="false">C106*(1+B107)</f>
        <v>2132.02588005496</v>
      </c>
      <c r="D107" s="10" t="n">
        <v>0.06175873</v>
      </c>
      <c r="E107" s="5" t="n">
        <f aca="false">E106*(1+D107)</f>
        <v>2174.74747701789</v>
      </c>
      <c r="F107" s="4" t="n">
        <f aca="false">D107*Varsayımlar!$B$3</f>
        <v>0.0771984125</v>
      </c>
      <c r="G107" s="5" t="n">
        <f aca="false">G106*(1+F107)</f>
        <v>2213.59652316987</v>
      </c>
    </row>
    <row r="108" customFormat="false" ht="15" hidden="false" customHeight="false" outlineLevel="0" collapsed="false">
      <c r="A108" s="3" t="n">
        <v>44868</v>
      </c>
      <c r="B108" s="10" t="n">
        <v>0.00366433</v>
      </c>
      <c r="C108" s="5" t="n">
        <f aca="false">C107*(1+B108)</f>
        <v>2139.83832644802</v>
      </c>
      <c r="D108" s="10" t="n">
        <v>0.00613603</v>
      </c>
      <c r="E108" s="5" t="n">
        <f aca="false">E107*(1+D108)</f>
        <v>2188.0917927793</v>
      </c>
      <c r="F108" s="4" t="n">
        <f aca="false">D108*Varsayımlar!$B$3</f>
        <v>0.0076700375</v>
      </c>
      <c r="G108" s="5" t="n">
        <f aca="false">G107*(1+F108)</f>
        <v>2230.57489151245</v>
      </c>
    </row>
    <row r="109" customFormat="false" ht="15" hidden="false" customHeight="false" outlineLevel="0" collapsed="false">
      <c r="A109" s="3" t="n">
        <v>44869</v>
      </c>
      <c r="B109" s="10" t="n">
        <v>0.00631797</v>
      </c>
      <c r="C109" s="5" t="n">
        <f aca="false">C108*(1+B109)</f>
        <v>2153.35776079937</v>
      </c>
      <c r="D109" s="10" t="n">
        <v>-0.00670341</v>
      </c>
      <c r="E109" s="5" t="n">
        <f aca="false">E108*(1+D109)</f>
        <v>2173.42411637467</v>
      </c>
      <c r="F109" s="4" t="n">
        <f aca="false">D109*Varsayımlar!$B$3</f>
        <v>-0.0083792625</v>
      </c>
      <c r="G109" s="5" t="n">
        <f aca="false">G108*(1+F109)</f>
        <v>2211.88431897056</v>
      </c>
    </row>
    <row r="110" customFormat="false" ht="15" hidden="false" customHeight="false" outlineLevel="0" collapsed="false">
      <c r="A110" s="3" t="n">
        <v>44870</v>
      </c>
      <c r="B110" s="10" t="n">
        <v>-0.00301167</v>
      </c>
      <c r="C110" s="5" t="n">
        <f aca="false">C109*(1+B110)</f>
        <v>2146.87255783191</v>
      </c>
      <c r="D110" s="10" t="n">
        <v>-0.00283396</v>
      </c>
      <c r="E110" s="5" t="n">
        <f aca="false">E109*(1+D110)</f>
        <v>2167.26471936582</v>
      </c>
      <c r="F110" s="4" t="n">
        <f aca="false">D110*Varsayımlar!$B$3</f>
        <v>-0.00354245</v>
      </c>
      <c r="G110" s="5" t="n">
        <f aca="false">G109*(1+F110)</f>
        <v>2204.04882936482</v>
      </c>
    </row>
    <row r="111" customFormat="false" ht="15" hidden="false" customHeight="false" outlineLevel="0" collapsed="false">
      <c r="A111" s="3" t="n">
        <v>44871</v>
      </c>
      <c r="B111" s="10" t="n">
        <v>0.0092983</v>
      </c>
      <c r="C111" s="5" t="n">
        <f aca="false">C110*(1+B111)</f>
        <v>2166.83482293639</v>
      </c>
      <c r="D111" s="10" t="n">
        <v>0.01282701</v>
      </c>
      <c r="E111" s="5" t="n">
        <f aca="false">E110*(1+D111)</f>
        <v>2195.06424559378</v>
      </c>
      <c r="F111" s="4" t="n">
        <f aca="false">D111*Varsayımlar!$B$3</f>
        <v>0.0160337625</v>
      </c>
      <c r="G111" s="5" t="n">
        <f aca="false">G110*(1+F111)</f>
        <v>2239.38802483326</v>
      </c>
    </row>
    <row r="112" customFormat="false" ht="15" hidden="false" customHeight="false" outlineLevel="0" collapsed="false">
      <c r="A112" s="3" t="n">
        <v>44872</v>
      </c>
      <c r="B112" s="10" t="n">
        <v>-0.01176481</v>
      </c>
      <c r="C112" s="5" t="n">
        <f aca="false">C111*(1+B112)</f>
        <v>2141.34242294316</v>
      </c>
      <c r="D112" s="10" t="n">
        <v>-0.02404228</v>
      </c>
      <c r="E112" s="5" t="n">
        <f aca="false">E111*(1+D112)</f>
        <v>2142.28989638322</v>
      </c>
      <c r="F112" s="4" t="n">
        <f aca="false">D112*Varsayımlar!$B$3</f>
        <v>-0.03005285</v>
      </c>
      <c r="G112" s="5" t="n">
        <f aca="false">G111*(1+F112)</f>
        <v>2172.08803243115</v>
      </c>
    </row>
    <row r="113" customFormat="false" ht="15" hidden="false" customHeight="false" outlineLevel="0" collapsed="false">
      <c r="A113" s="3" t="n">
        <v>44873</v>
      </c>
      <c r="B113" s="10" t="n">
        <v>-0.01403794</v>
      </c>
      <c r="C113" s="5" t="n">
        <f aca="false">C112*(1+B113)</f>
        <v>2111.28238649043</v>
      </c>
      <c r="D113" s="10" t="n">
        <v>-0.01329995</v>
      </c>
      <c r="E113" s="5" t="n">
        <f aca="false">E112*(1+D113)</f>
        <v>2113.79754787582</v>
      </c>
      <c r="F113" s="4" t="n">
        <f aca="false">D113*Varsayımlar!$B$3</f>
        <v>-0.0166249375</v>
      </c>
      <c r="G113" s="5" t="n">
        <f aca="false">G112*(1+F113)</f>
        <v>2135.97720464748</v>
      </c>
    </row>
    <row r="114" customFormat="false" ht="15" hidden="false" customHeight="false" outlineLevel="0" collapsed="false">
      <c r="A114" s="3" t="n">
        <v>44874</v>
      </c>
      <c r="B114" s="10" t="n">
        <v>-0.07303755</v>
      </c>
      <c r="C114" s="5" t="n">
        <f aca="false">C113*(1+B114)</f>
        <v>1957.07949362302</v>
      </c>
      <c r="D114" s="10" t="n">
        <v>-0.08628006</v>
      </c>
      <c r="E114" s="5" t="n">
        <f aca="false">E113*(1+D114)</f>
        <v>1931.41896861724</v>
      </c>
      <c r="F114" s="4" t="n">
        <f aca="false">D114*Varsayımlar!$B$3</f>
        <v>-0.107850075</v>
      </c>
      <c r="G114" s="5" t="n">
        <f aca="false">G113*(1+F114)</f>
        <v>1905.61190292796</v>
      </c>
    </row>
    <row r="115" customFormat="false" ht="15" hidden="false" customHeight="false" outlineLevel="0" collapsed="false">
      <c r="A115" s="3" t="n">
        <v>44875</v>
      </c>
      <c r="B115" s="10" t="n">
        <v>0.10794232</v>
      </c>
      <c r="C115" s="5" t="n">
        <f aca="false">C114*(1+B115)</f>
        <v>2168.33119458911</v>
      </c>
      <c r="D115" s="10" t="n">
        <v>0.13461918</v>
      </c>
      <c r="E115" s="5" t="n">
        <f aca="false">E114*(1+D115)</f>
        <v>2191.42500640894</v>
      </c>
      <c r="F115" s="4" t="n">
        <f aca="false">D115*Varsayımlar!$B$3</f>
        <v>0.168273975</v>
      </c>
      <c r="G115" s="5" t="n">
        <f aca="false">G114*(1+F115)</f>
        <v>2226.27679264097</v>
      </c>
    </row>
    <row r="116" customFormat="false" ht="15" hidden="false" customHeight="false" outlineLevel="0" collapsed="false">
      <c r="A116" s="3" t="n">
        <v>44876</v>
      </c>
      <c r="B116" s="10" t="n">
        <v>-0.00151006</v>
      </c>
      <c r="C116" s="5" t="n">
        <f aca="false">C115*(1+B116)</f>
        <v>2165.05688438541</v>
      </c>
      <c r="D116" s="10" t="n">
        <v>-0.00689484</v>
      </c>
      <c r="E116" s="5" t="n">
        <f aca="false">E115*(1+D116)</f>
        <v>2176.31548161775</v>
      </c>
      <c r="F116" s="4" t="n">
        <f aca="false">D116*Varsayımlar!$B$3</f>
        <v>-0.00861855</v>
      </c>
      <c r="G116" s="5" t="n">
        <f aca="false">G115*(1+F116)</f>
        <v>2207.08951478975</v>
      </c>
    </row>
    <row r="117" customFormat="false" ht="15" hidden="false" customHeight="false" outlineLevel="0" collapsed="false">
      <c r="A117" s="3" t="n">
        <v>44877</v>
      </c>
      <c r="B117" s="10" t="n">
        <v>-0.00739826</v>
      </c>
      <c r="C117" s="5" t="n">
        <f aca="false">C116*(1+B117)</f>
        <v>2149.03923063994</v>
      </c>
      <c r="D117" s="10" t="n">
        <v>-0.01207348</v>
      </c>
      <c r="E117" s="5" t="n">
        <f aca="false">E116*(1+D117)</f>
        <v>2150.03978017675</v>
      </c>
      <c r="F117" s="4" t="n">
        <f aca="false">D117*Varsayımlar!$B$3</f>
        <v>-0.01509185</v>
      </c>
      <c r="G117" s="5" t="n">
        <f aca="false">G116*(1+F117)</f>
        <v>2173.78045089597</v>
      </c>
    </row>
    <row r="118" customFormat="false" ht="15" hidden="false" customHeight="false" outlineLevel="0" collapsed="false">
      <c r="A118" s="3" t="n">
        <v>44878</v>
      </c>
      <c r="B118" s="10" t="n">
        <v>-0.03440292</v>
      </c>
      <c r="C118" s="5" t="n">
        <f aca="false">C117*(1+B118)</f>
        <v>2075.10600591137</v>
      </c>
      <c r="D118" s="10" t="n">
        <v>-0.03823114</v>
      </c>
      <c r="E118" s="5" t="n">
        <f aca="false">E117*(1+D118)</f>
        <v>2067.84130833524</v>
      </c>
      <c r="F118" s="4" t="n">
        <f aca="false">D118*Varsayımlar!$B$3</f>
        <v>-0.047788925</v>
      </c>
      <c r="G118" s="5" t="n">
        <f aca="false">G117*(1+F118)</f>
        <v>2069.89781996164</v>
      </c>
    </row>
    <row r="119" customFormat="false" ht="15" hidden="false" customHeight="false" outlineLevel="0" collapsed="false">
      <c r="A119" s="3" t="n">
        <v>44879</v>
      </c>
      <c r="B119" s="10" t="n">
        <v>0.02383416</v>
      </c>
      <c r="C119" s="5" t="n">
        <f aca="false">C118*(1+B119)</f>
        <v>2124.56441447322</v>
      </c>
      <c r="D119" s="10" t="n">
        <v>0.02812641</v>
      </c>
      <c r="E119" s="5" t="n">
        <f aca="false">E118*(1+D119)</f>
        <v>2126.00226078842</v>
      </c>
      <c r="F119" s="4" t="n">
        <f aca="false">D119*Varsayımlar!$B$3</f>
        <v>0.0351580125</v>
      </c>
      <c r="G119" s="5" t="n">
        <f aca="false">G118*(1+F119)</f>
        <v>2142.67131338957</v>
      </c>
    </row>
    <row r="120" customFormat="false" ht="15" hidden="false" customHeight="false" outlineLevel="0" collapsed="false">
      <c r="A120" s="3" t="n">
        <v>44880</v>
      </c>
      <c r="B120" s="10" t="n">
        <v>-0.01140227</v>
      </c>
      <c r="C120" s="5" t="n">
        <f aca="false">C119*(1+B120)</f>
        <v>2100.33955738701</v>
      </c>
      <c r="D120" s="10" t="n">
        <v>-0.0170204</v>
      </c>
      <c r="E120" s="5" t="n">
        <f aca="false">E119*(1+D120)</f>
        <v>2089.81685190889</v>
      </c>
      <c r="F120" s="4" t="n">
        <f aca="false">D120*Varsayımlar!$B$3</f>
        <v>-0.0212755</v>
      </c>
      <c r="G120" s="5" t="n">
        <f aca="false">G119*(1+F120)</f>
        <v>2097.08490986155</v>
      </c>
    </row>
    <row r="121" customFormat="false" ht="15" hidden="false" customHeight="false" outlineLevel="0" collapsed="false">
      <c r="A121" s="3" t="n">
        <v>44881</v>
      </c>
      <c r="B121" s="10" t="n">
        <v>0.01078531</v>
      </c>
      <c r="C121" s="5" t="n">
        <f aca="false">C120*(1+B121)</f>
        <v>2122.99237061869</v>
      </c>
      <c r="D121" s="10" t="n">
        <v>0.01188227</v>
      </c>
      <c r="E121" s="5" t="n">
        <f aca="false">E120*(1+D121)</f>
        <v>2114.64861999383</v>
      </c>
      <c r="F121" s="4" t="n">
        <f aca="false">D121*Varsayımlar!$B$3</f>
        <v>0.0148528375</v>
      </c>
      <c r="G121" s="5" t="n">
        <f aca="false">G120*(1+F121)</f>
        <v>2128.23257125143</v>
      </c>
    </row>
    <row r="122" customFormat="false" ht="15" hidden="false" customHeight="false" outlineLevel="0" collapsed="false">
      <c r="A122" s="3" t="n">
        <v>44882</v>
      </c>
      <c r="B122" s="10" t="n">
        <v>0.00998647</v>
      </c>
      <c r="C122" s="5" t="n">
        <f aca="false">C121*(1+B122)</f>
        <v>2144.1935702381</v>
      </c>
      <c r="D122" s="10" t="n">
        <v>0.01164398</v>
      </c>
      <c r="E122" s="5" t="n">
        <f aca="false">E121*(1+D122)</f>
        <v>2139.27154623206</v>
      </c>
      <c r="F122" s="4" t="n">
        <f aca="false">D122*Varsayımlar!$B$3</f>
        <v>0.014554975</v>
      </c>
      <c r="G122" s="5" t="n">
        <f aca="false">G121*(1+F122)</f>
        <v>2159.20894312018</v>
      </c>
    </row>
    <row r="123" customFormat="false" ht="15" hidden="false" customHeight="false" outlineLevel="0" collapsed="false">
      <c r="A123" s="3" t="n">
        <v>44883</v>
      </c>
      <c r="B123" s="10" t="n">
        <v>-0.00438341</v>
      </c>
      <c r="C123" s="5" t="n">
        <f aca="false">C122*(1+B123)</f>
        <v>2134.79469070038</v>
      </c>
      <c r="D123" s="10" t="n">
        <v>-0.00098239</v>
      </c>
      <c r="E123" s="5" t="n">
        <f aca="false">E122*(1+D123)</f>
        <v>2137.16994725776</v>
      </c>
      <c r="F123" s="4" t="n">
        <f aca="false">D123*Varsayımlar!$B$3</f>
        <v>-0.0012279875</v>
      </c>
      <c r="G123" s="5" t="n">
        <f aca="false">G122*(1+F123)</f>
        <v>2156.55746152814</v>
      </c>
    </row>
    <row r="124" customFormat="false" ht="15" hidden="false" customHeight="false" outlineLevel="0" collapsed="false">
      <c r="A124" s="3" t="n">
        <v>44884</v>
      </c>
      <c r="B124" s="10" t="n">
        <v>-0.01955044</v>
      </c>
      <c r="C124" s="5" t="n">
        <f aca="false">C123*(1+B124)</f>
        <v>2093.05851518753</v>
      </c>
      <c r="D124" s="10" t="n">
        <v>-0.02321123</v>
      </c>
      <c r="E124" s="5" t="n">
        <f aca="false">E123*(1+D124)</f>
        <v>2087.56360406287</v>
      </c>
      <c r="F124" s="4" t="n">
        <f aca="false">D124*Varsayımlar!$B$3</f>
        <v>-0.0290140375</v>
      </c>
      <c r="G124" s="5" t="n">
        <f aca="false">G123*(1+F124)</f>
        <v>2093.98702246846</v>
      </c>
    </row>
    <row r="125" customFormat="false" ht="15" hidden="false" customHeight="false" outlineLevel="0" collapsed="false">
      <c r="A125" s="3" t="n">
        <v>44885</v>
      </c>
      <c r="B125" s="10" t="n">
        <v>-0.00270422</v>
      </c>
      <c r="C125" s="5" t="n">
        <f aca="false">C124*(1+B125)</f>
        <v>2087.39842448959</v>
      </c>
      <c r="D125" s="10" t="n">
        <v>-0.00196819</v>
      </c>
      <c r="E125" s="5" t="n">
        <f aca="false">E124*(1+D125)</f>
        <v>2083.45488225299</v>
      </c>
      <c r="F125" s="4" t="n">
        <f aca="false">D125*Varsayımlar!$B$3</f>
        <v>-0.0024602375</v>
      </c>
      <c r="G125" s="5" t="n">
        <f aca="false">G124*(1+F125)</f>
        <v>2088.83531707127</v>
      </c>
    </row>
    <row r="126" customFormat="false" ht="15" hidden="false" customHeight="false" outlineLevel="0" collapsed="false">
      <c r="A126" s="3" t="n">
        <v>44886</v>
      </c>
      <c r="B126" s="10" t="n">
        <v>0.01216132</v>
      </c>
      <c r="C126" s="5" t="n">
        <f aca="false">C125*(1+B126)</f>
        <v>2112.7839446973</v>
      </c>
      <c r="D126" s="10" t="n">
        <v>0.01256577</v>
      </c>
      <c r="E126" s="5" t="n">
        <f aca="false">E125*(1+D126)</f>
        <v>2109.63509710876</v>
      </c>
      <c r="F126" s="4" t="n">
        <f aca="false">D126*Varsayımlar!$B$3</f>
        <v>0.0157072125</v>
      </c>
      <c r="G126" s="5" t="n">
        <f aca="false">G125*(1+F126)</f>
        <v>2121.64509727401</v>
      </c>
    </row>
    <row r="127" customFormat="false" ht="15" hidden="false" customHeight="false" outlineLevel="0" collapsed="false">
      <c r="A127" s="3" t="n">
        <v>44887</v>
      </c>
      <c r="B127" s="10" t="n">
        <v>-0.00241401</v>
      </c>
      <c r="C127" s="5" t="n">
        <f aca="false">C126*(1+B127)</f>
        <v>2107.68366312696</v>
      </c>
      <c r="D127" s="10" t="n">
        <v>-0.00588834</v>
      </c>
      <c r="E127" s="5" t="n">
        <f aca="false">E126*(1+D127)</f>
        <v>2097.21284838105</v>
      </c>
      <c r="F127" s="4" t="n">
        <f aca="false">D127*Varsayımlar!$B$3</f>
        <v>-0.007360425</v>
      </c>
      <c r="G127" s="5" t="n">
        <f aca="false">G126*(1+F127)</f>
        <v>2106.02888765891</v>
      </c>
    </row>
    <row r="128" customFormat="false" ht="15" hidden="false" customHeight="false" outlineLevel="0" collapsed="false">
      <c r="A128" s="3" t="n">
        <v>44888</v>
      </c>
      <c r="B128" s="10" t="n">
        <v>0.00287981</v>
      </c>
      <c r="C128" s="5" t="n">
        <f aca="false">C127*(1+B128)</f>
        <v>2113.75339161687</v>
      </c>
      <c r="D128" s="10" t="n">
        <v>0.0006278</v>
      </c>
      <c r="E128" s="5" t="n">
        <f aca="false">E127*(1+D128)</f>
        <v>2098.52947860726</v>
      </c>
      <c r="F128" s="4" t="n">
        <f aca="false">D128*Varsayımlar!$B$3</f>
        <v>0.00078475</v>
      </c>
      <c r="G128" s="5" t="n">
        <f aca="false">G127*(1+F128)</f>
        <v>2107.6815938285</v>
      </c>
    </row>
    <row r="129" customFormat="false" ht="15" hidden="false" customHeight="false" outlineLevel="0" collapsed="false">
      <c r="A129" s="3" t="n">
        <v>44889</v>
      </c>
      <c r="B129" s="10" t="n">
        <v>0.01003734</v>
      </c>
      <c r="C129" s="5" t="n">
        <f aca="false">C128*(1+B129)</f>
        <v>2134.96985308468</v>
      </c>
      <c r="D129" s="10" t="n">
        <v>0.0116573</v>
      </c>
      <c r="E129" s="5" t="n">
        <f aca="false">E128*(1+D129)</f>
        <v>2122.99266629823</v>
      </c>
      <c r="F129" s="4" t="n">
        <f aca="false">D129*Varsayımlar!$B$3</f>
        <v>0.014571625</v>
      </c>
      <c r="G129" s="5" t="n">
        <f aca="false">G128*(1+F129)</f>
        <v>2138.39393963317</v>
      </c>
    </row>
    <row r="130" customFormat="false" ht="15" hidden="false" customHeight="false" outlineLevel="0" collapsed="false">
      <c r="A130" s="3" t="n">
        <v>44890</v>
      </c>
      <c r="B130" s="10" t="n">
        <v>-0.01117959</v>
      </c>
      <c r="C130" s="5" t="n">
        <f aca="false">C129*(1+B130)</f>
        <v>2111.10176546484</v>
      </c>
      <c r="D130" s="10" t="n">
        <v>-0.00849911</v>
      </c>
      <c r="E130" s="5" t="n">
        <f aca="false">E129*(1+D130)</f>
        <v>2104.94911809817</v>
      </c>
      <c r="F130" s="4" t="n">
        <f aca="false">D130*Varsayımlar!$B$3</f>
        <v>-0.0106238875</v>
      </c>
      <c r="G130" s="5" t="n">
        <f aca="false">G129*(1+F130)</f>
        <v>2115.67588298782</v>
      </c>
    </row>
    <row r="131" customFormat="false" ht="15" hidden="false" customHeight="false" outlineLevel="0" collapsed="false">
      <c r="A131" s="3" t="n">
        <v>44891</v>
      </c>
      <c r="B131" s="10" t="n">
        <v>0.01350046</v>
      </c>
      <c r="C131" s="5" t="n">
        <f aca="false">C130*(1+B131)</f>
        <v>2139.60261040542</v>
      </c>
      <c r="D131" s="10" t="n">
        <v>0.01410392</v>
      </c>
      <c r="E131" s="5" t="n">
        <f aca="false">E130*(1+D131)</f>
        <v>2134.6371520639</v>
      </c>
      <c r="F131" s="4" t="n">
        <f aca="false">D131*Varsayımlar!$B$3</f>
        <v>0.0176299</v>
      </c>
      <c r="G131" s="5" t="n">
        <f aca="false">G130*(1+F131)</f>
        <v>2152.97503723731</v>
      </c>
    </row>
    <row r="132" customFormat="false" ht="15" hidden="false" customHeight="false" outlineLevel="0" collapsed="false">
      <c r="A132" s="3" t="n">
        <v>44892</v>
      </c>
      <c r="B132" s="10" t="n">
        <v>-0.00596732</v>
      </c>
      <c r="C132" s="5" t="n">
        <f aca="false">C131*(1+B132)</f>
        <v>2126.8349169563</v>
      </c>
      <c r="D132" s="10" t="n">
        <v>-0.0009629</v>
      </c>
      <c r="E132" s="5" t="n">
        <f aca="false">E131*(1+D132)</f>
        <v>2132.58170995017</v>
      </c>
      <c r="F132" s="4" t="n">
        <f aca="false">D132*Varsayımlar!$B$3</f>
        <v>-0.001203625</v>
      </c>
      <c r="G132" s="5" t="n">
        <f aca="false">G131*(1+F132)</f>
        <v>2150.38366265811</v>
      </c>
    </row>
    <row r="133" customFormat="false" ht="15" hidden="false" customHeight="false" outlineLevel="0" collapsed="false">
      <c r="A133" s="3" t="n">
        <v>44893</v>
      </c>
      <c r="B133" s="10" t="n">
        <v>0.00098087</v>
      </c>
      <c r="C133" s="5" t="n">
        <f aca="false">C132*(1+B133)</f>
        <v>2128.92106552129</v>
      </c>
      <c r="D133" s="10" t="n">
        <v>0.00312802</v>
      </c>
      <c r="E133" s="5" t="n">
        <f aca="false">E132*(1+D133)</f>
        <v>2139.25246819053</v>
      </c>
      <c r="F133" s="4" t="n">
        <f aca="false">D133*Varsayımlar!$B$3</f>
        <v>0.003910025</v>
      </c>
      <c r="G133" s="5" t="n">
        <f aca="false">G132*(1+F133)</f>
        <v>2158.7917165387</v>
      </c>
    </row>
    <row r="134" customFormat="false" ht="15" hidden="false" customHeight="false" outlineLevel="0" collapsed="false">
      <c r="A134" s="3" t="n">
        <v>44894</v>
      </c>
      <c r="B134" s="10" t="n">
        <v>-0.01731602</v>
      </c>
      <c r="C134" s="5" t="n">
        <f aca="false">C133*(1+B134)</f>
        <v>2092.05662577231</v>
      </c>
      <c r="D134" s="10" t="n">
        <v>-0.01451787</v>
      </c>
      <c r="E134" s="5" t="n">
        <f aca="false">E133*(1+D134)</f>
        <v>2108.19507896016</v>
      </c>
      <c r="F134" s="4" t="n">
        <f aca="false">D134*Varsayımlar!$B$3</f>
        <v>-0.0181473375</v>
      </c>
      <c r="G134" s="5" t="n">
        <f aca="false">G133*(1+F134)</f>
        <v>2119.61539466647</v>
      </c>
    </row>
    <row r="135" customFormat="false" ht="15" hidden="false" customHeight="false" outlineLevel="0" collapsed="false">
      <c r="A135" s="3" t="n">
        <v>44895</v>
      </c>
      <c r="B135" s="10" t="n">
        <v>-0.00694281</v>
      </c>
      <c r="C135" s="5" t="n">
        <f aca="false">C134*(1+B135)</f>
        <v>2077.53187411033</v>
      </c>
      <c r="D135" s="10" t="n">
        <v>-0.00713729</v>
      </c>
      <c r="E135" s="5" t="n">
        <f aca="false">E134*(1+D135)</f>
        <v>2093.14827930505</v>
      </c>
      <c r="F135" s="4" t="n">
        <f aca="false">D135*Varsayımlar!$B$3</f>
        <v>-0.0089216125</v>
      </c>
      <c r="G135" s="5" t="n">
        <f aca="false">G134*(1+F135)</f>
        <v>2100.70500746622</v>
      </c>
    </row>
    <row r="136" customFormat="false" ht="15" hidden="false" customHeight="false" outlineLevel="0" collapsed="false">
      <c r="A136" s="3" t="n">
        <v>44896</v>
      </c>
      <c r="B136" s="10" t="n">
        <v>0.00058601</v>
      </c>
      <c r="C136" s="5" t="n">
        <f aca="false">C135*(1+B136)</f>
        <v>2078.74932856388</v>
      </c>
      <c r="D136" s="10" t="n">
        <v>-0.00366575</v>
      </c>
      <c r="E136" s="5" t="n">
        <f aca="false">E135*(1+D136)</f>
        <v>2085.47532100019</v>
      </c>
      <c r="F136" s="4" t="n">
        <f aca="false">D136*Varsayımlar!$B$3</f>
        <v>-0.0045821875</v>
      </c>
      <c r="G136" s="5" t="n">
        <f aca="false">G135*(1+F136)</f>
        <v>2091.07918323982</v>
      </c>
    </row>
    <row r="137" customFormat="false" ht="15" hidden="false" customHeight="false" outlineLevel="0" collapsed="false">
      <c r="A137" s="3" t="n">
        <v>44897</v>
      </c>
      <c r="B137" s="10" t="n">
        <v>-0.01000747</v>
      </c>
      <c r="C137" s="5" t="n">
        <f aca="false">C136*(1+B137)</f>
        <v>2057.94630702075</v>
      </c>
      <c r="D137" s="10" t="n">
        <v>-0.01456133</v>
      </c>
      <c r="E137" s="5" t="n">
        <f aca="false">E136*(1+D137)</f>
        <v>2055.10802664425</v>
      </c>
      <c r="F137" s="4" t="n">
        <f aca="false">D137*Varsayımlar!$B$3</f>
        <v>-0.0182016625</v>
      </c>
      <c r="G137" s="5" t="n">
        <f aca="false">G136*(1+F137)</f>
        <v>2053.01806568571</v>
      </c>
    </row>
    <row r="138" customFormat="false" ht="15" hidden="false" customHeight="false" outlineLevel="0" collapsed="false">
      <c r="A138" s="3" t="n">
        <v>44898</v>
      </c>
      <c r="B138" s="10" t="n">
        <v>-0.00027818</v>
      </c>
      <c r="C138" s="5" t="n">
        <f aca="false">C137*(1+B138)</f>
        <v>2057.37382751707</v>
      </c>
      <c r="D138" s="10" t="n">
        <v>-4.581E-005</v>
      </c>
      <c r="E138" s="5" t="n">
        <f aca="false">E137*(1+D138)</f>
        <v>2055.01388214555</v>
      </c>
      <c r="F138" s="4" t="n">
        <f aca="false">D138*Varsayımlar!$B$3</f>
        <v>-5.72625E-005</v>
      </c>
      <c r="G138" s="5" t="n">
        <f aca="false">G137*(1+F138)</f>
        <v>2052.90050473873</v>
      </c>
    </row>
    <row r="139" customFormat="false" ht="15" hidden="false" customHeight="false" outlineLevel="0" collapsed="false">
      <c r="A139" s="3" t="n">
        <v>44899</v>
      </c>
      <c r="B139" s="10" t="n">
        <v>0.00347272</v>
      </c>
      <c r="C139" s="5" t="n">
        <f aca="false">C138*(1+B139)</f>
        <v>2064.51851075536</v>
      </c>
      <c r="D139" s="10" t="n">
        <v>0.00346764</v>
      </c>
      <c r="E139" s="5" t="n">
        <f aca="false">E138*(1+D139)</f>
        <v>2062.13993048383</v>
      </c>
      <c r="F139" s="4" t="n">
        <f aca="false">D139*Varsayımlar!$B$3</f>
        <v>0.00433455</v>
      </c>
      <c r="G139" s="5" t="n">
        <f aca="false">G138*(1+F139)</f>
        <v>2061.79890462154</v>
      </c>
    </row>
    <row r="140" customFormat="false" ht="15" hidden="false" customHeight="false" outlineLevel="0" collapsed="false">
      <c r="A140" s="3" t="n">
        <v>44900</v>
      </c>
      <c r="B140" s="10" t="n">
        <v>-0.00258125</v>
      </c>
      <c r="C140" s="5" t="n">
        <f aca="false">C139*(1+B140)</f>
        <v>2059.18947234947</v>
      </c>
      <c r="D140" s="10" t="n">
        <v>-0.00525001</v>
      </c>
      <c r="E140" s="5" t="n">
        <f aca="false">E139*(1+D140)</f>
        <v>2051.31367522739</v>
      </c>
      <c r="F140" s="4" t="n">
        <f aca="false">D140*Varsayımlar!$B$3</f>
        <v>-0.0065625125</v>
      </c>
      <c r="G140" s="5" t="n">
        <f aca="false">G139*(1+F140)</f>
        <v>2048.26832353748</v>
      </c>
    </row>
    <row r="141" customFormat="false" ht="15" hidden="false" customHeight="false" outlineLevel="0" collapsed="false">
      <c r="A141" s="3" t="n">
        <v>44901</v>
      </c>
      <c r="B141" s="10" t="n">
        <v>-0.00104251</v>
      </c>
      <c r="C141" s="5" t="n">
        <f aca="false">C140*(1+B141)</f>
        <v>2057.04274673265</v>
      </c>
      <c r="D141" s="10" t="n">
        <v>-0.00168657</v>
      </c>
      <c r="E141" s="5" t="n">
        <f aca="false">E140*(1+D141)</f>
        <v>2047.85399112216</v>
      </c>
      <c r="F141" s="4" t="n">
        <f aca="false">D141*Varsayımlar!$B$3</f>
        <v>-0.0021082125</v>
      </c>
      <c r="G141" s="5" t="n">
        <f aca="false">G140*(1+F141)</f>
        <v>2043.95013865444</v>
      </c>
    </row>
    <row r="142" customFormat="false" ht="15" hidden="false" customHeight="false" outlineLevel="0" collapsed="false">
      <c r="A142" s="3" t="n">
        <v>44902</v>
      </c>
      <c r="B142" s="10" t="n">
        <v>0.00188704</v>
      </c>
      <c r="C142" s="5" t="n">
        <f aca="false">C141*(1+B142)</f>
        <v>2060.92446867745</v>
      </c>
      <c r="D142" s="10" t="n">
        <v>0.00356531</v>
      </c>
      <c r="E142" s="5" t="n">
        <f aca="false">E141*(1+D142)</f>
        <v>2055.15522543525</v>
      </c>
      <c r="F142" s="4" t="n">
        <f aca="false">D142*Varsayımlar!$B$3</f>
        <v>0.0044566375</v>
      </c>
      <c r="G142" s="5" t="n">
        <f aca="false">G141*(1+F142)</f>
        <v>2053.0592834905</v>
      </c>
    </row>
    <row r="143" customFormat="false" ht="15" hidden="false" customHeight="false" outlineLevel="0" collapsed="false">
      <c r="A143" s="3" t="n">
        <v>44903</v>
      </c>
      <c r="B143" s="10" t="n">
        <v>-0.00320968</v>
      </c>
      <c r="C143" s="5" t="n">
        <f aca="false">C142*(1+B143)</f>
        <v>2054.30956062882</v>
      </c>
      <c r="D143" s="10" t="n">
        <v>-0.00596865</v>
      </c>
      <c r="E143" s="5" t="n">
        <f aca="false">E142*(1+D143)</f>
        <v>2042.88872319896</v>
      </c>
      <c r="F143" s="4" t="n">
        <f aca="false">D143*Varsayımlar!$B$3</f>
        <v>-0.0074608125</v>
      </c>
      <c r="G143" s="5" t="n">
        <f aca="false">G142*(1+F143)</f>
        <v>2037.74179312499</v>
      </c>
    </row>
    <row r="144" customFormat="false" ht="15" hidden="false" customHeight="false" outlineLevel="0" collapsed="false">
      <c r="A144" s="3" t="n">
        <v>44904</v>
      </c>
      <c r="B144" s="10" t="n">
        <v>0.00265397</v>
      </c>
      <c r="C144" s="5" t="n">
        <f aca="false">C143*(1+B144)</f>
        <v>2059.76163657345</v>
      </c>
      <c r="D144" s="10" t="n">
        <v>0.00011851</v>
      </c>
      <c r="E144" s="5" t="n">
        <f aca="false">E143*(1+D144)</f>
        <v>2043.13082594154</v>
      </c>
      <c r="F144" s="4" t="n">
        <f aca="false">D144*Varsayımlar!$B$3</f>
        <v>0.0001481375</v>
      </c>
      <c r="G144" s="5" t="n">
        <f aca="false">G143*(1+F144)</f>
        <v>2038.04365909987</v>
      </c>
    </row>
    <row r="145" customFormat="false" ht="15" hidden="false" customHeight="false" outlineLevel="0" collapsed="false">
      <c r="A145" s="3" t="n">
        <v>44905</v>
      </c>
      <c r="B145" s="10" t="n">
        <v>0.00246488</v>
      </c>
      <c r="C145" s="5" t="n">
        <f aca="false">C144*(1+B145)</f>
        <v>2064.8387018362</v>
      </c>
      <c r="D145" s="10" t="n">
        <v>0.00322577</v>
      </c>
      <c r="E145" s="5" t="n">
        <f aca="false">E144*(1+D145)</f>
        <v>2049.72149606594</v>
      </c>
      <c r="F145" s="4" t="n">
        <f aca="false">D145*Varsayımlar!$B$3</f>
        <v>0.0040322125</v>
      </c>
      <c r="G145" s="5" t="n">
        <f aca="false">G144*(1+F145)</f>
        <v>2046.26148421764</v>
      </c>
    </row>
    <row r="146" customFormat="false" ht="15" hidden="false" customHeight="false" outlineLevel="0" collapsed="false">
      <c r="A146" s="3" t="n">
        <v>44906</v>
      </c>
      <c r="B146" s="10" t="n">
        <v>0.0097227</v>
      </c>
      <c r="C146" s="5" t="n">
        <f aca="false">C145*(1+B146)</f>
        <v>2084.91450908255</v>
      </c>
      <c r="D146" s="10" t="n">
        <v>0.01100418</v>
      </c>
      <c r="E146" s="5" t="n">
        <f aca="false">E145*(1+D146)</f>
        <v>2072.27700035852</v>
      </c>
      <c r="F146" s="4" t="n">
        <f aca="false">D146*Varsayımlar!$B$3</f>
        <v>0.013755225</v>
      </c>
      <c r="G146" s="5" t="n">
        <f aca="false">G145*(1+F146)</f>
        <v>2074.40827134189</v>
      </c>
    </row>
    <row r="147" customFormat="false" ht="15" hidden="false" customHeight="false" outlineLevel="0" collapsed="false">
      <c r="A147" s="3" t="n">
        <v>44907</v>
      </c>
      <c r="B147" s="10" t="n">
        <v>0.00548469</v>
      </c>
      <c r="C147" s="5" t="n">
        <f aca="false">C146*(1+B147)</f>
        <v>2096.34961884137</v>
      </c>
      <c r="D147" s="10" t="n">
        <v>0.00594235</v>
      </c>
      <c r="E147" s="5" t="n">
        <f aca="false">E146*(1+D147)</f>
        <v>2084.5911955916</v>
      </c>
      <c r="F147" s="4" t="n">
        <f aca="false">D147*Varsayımlar!$B$3</f>
        <v>0.0074279375</v>
      </c>
      <c r="G147" s="5" t="n">
        <f aca="false">G146*(1+F147)</f>
        <v>2089.8168463309</v>
      </c>
    </row>
    <row r="148" customFormat="false" ht="15" hidden="false" customHeight="false" outlineLevel="0" collapsed="false">
      <c r="A148" s="3" t="n">
        <v>44908</v>
      </c>
      <c r="B148" s="10" t="n">
        <v>-0.00977671</v>
      </c>
      <c r="C148" s="5" t="n">
        <f aca="false">C147*(1+B148)</f>
        <v>2075.85421655934</v>
      </c>
      <c r="D148" s="10" t="n">
        <v>-0.01410391</v>
      </c>
      <c r="E148" s="5" t="n">
        <f aca="false">E147*(1+D148)</f>
        <v>2055.19030898218</v>
      </c>
      <c r="F148" s="4" t="n">
        <f aca="false">D148*Varsayımlar!$B$3</f>
        <v>-0.0176298875</v>
      </c>
      <c r="G148" s="5" t="n">
        <f aca="false">G147*(1+F148)</f>
        <v>2052.97361043448</v>
      </c>
    </row>
    <row r="149" customFormat="false" ht="15" hidden="false" customHeight="false" outlineLevel="0" collapsed="false">
      <c r="A149" s="3" t="n">
        <v>44909</v>
      </c>
      <c r="B149" s="10" t="n">
        <v>0.00587182</v>
      </c>
      <c r="C149" s="5" t="n">
        <f aca="false">C148*(1+B149)</f>
        <v>2088.04325886522</v>
      </c>
      <c r="D149" s="10" t="n">
        <v>0.00933488</v>
      </c>
      <c r="E149" s="5" t="n">
        <f aca="false">E148*(1+D149)</f>
        <v>2074.3752638937</v>
      </c>
      <c r="F149" s="4" t="n">
        <f aca="false">D149*Varsayımlar!$B$3</f>
        <v>0.0116686</v>
      </c>
      <c r="G149" s="5" t="n">
        <f aca="false">G148*(1+F149)</f>
        <v>2076.92893830519</v>
      </c>
    </row>
    <row r="150" customFormat="false" ht="15" hidden="false" customHeight="false" outlineLevel="0" collapsed="false">
      <c r="A150" s="3" t="n">
        <v>44910</v>
      </c>
      <c r="B150" s="10" t="n">
        <v>0.0031386</v>
      </c>
      <c r="C150" s="5" t="n">
        <f aca="false">C149*(1+B150)</f>
        <v>2094.59679143749</v>
      </c>
      <c r="D150" s="10" t="n">
        <v>0.00020764</v>
      </c>
      <c r="E150" s="5" t="n">
        <f aca="false">E149*(1+D150)</f>
        <v>2074.80598717349</v>
      </c>
      <c r="F150" s="4" t="n">
        <f aca="false">D150*Varsayımlar!$B$3</f>
        <v>0.00025955</v>
      </c>
      <c r="G150" s="5" t="n">
        <f aca="false">G149*(1+F150)</f>
        <v>2077.46800521113</v>
      </c>
    </row>
    <row r="151" customFormat="false" ht="15" hidden="false" customHeight="false" outlineLevel="0" collapsed="false">
      <c r="A151" s="3" t="n">
        <v>44911</v>
      </c>
      <c r="B151" s="10" t="n">
        <v>-0.00042913</v>
      </c>
      <c r="C151" s="5" t="n">
        <f aca="false">C150*(1+B151)</f>
        <v>2093.69793711639</v>
      </c>
      <c r="D151" s="10" t="n">
        <v>0.00518256</v>
      </c>
      <c r="E151" s="5" t="n">
        <f aca="false">E150*(1+D151)</f>
        <v>2085.55879369038</v>
      </c>
      <c r="F151" s="4" t="n">
        <f aca="false">D151*Varsayımlar!$B$3</f>
        <v>0.0064782</v>
      </c>
      <c r="G151" s="5" t="n">
        <f aca="false">G150*(1+F151)</f>
        <v>2090.92625844249</v>
      </c>
    </row>
    <row r="152" customFormat="false" ht="15" hidden="false" customHeight="false" outlineLevel="0" collapsed="false">
      <c r="A152" s="3" t="n">
        <v>44912</v>
      </c>
      <c r="B152" s="10" t="n">
        <v>0.00225114</v>
      </c>
      <c r="C152" s="5" t="n">
        <f aca="false">C151*(1+B152)</f>
        <v>2098.41114429055</v>
      </c>
      <c r="D152" s="10" t="n">
        <v>0.0048349</v>
      </c>
      <c r="E152" s="5" t="n">
        <f aca="false">E151*(1+D152)</f>
        <v>2095.64226190199</v>
      </c>
      <c r="F152" s="4" t="n">
        <f aca="false">D152*Varsayımlar!$B$3</f>
        <v>0.006043625</v>
      </c>
      <c r="G152" s="5" t="n">
        <f aca="false">G151*(1+F152)</f>
        <v>2103.56303265117</v>
      </c>
    </row>
    <row r="153" customFormat="false" ht="15" hidden="false" customHeight="false" outlineLevel="0" collapsed="false">
      <c r="A153" s="3" t="n">
        <v>44913</v>
      </c>
      <c r="B153" s="10" t="n">
        <v>-0.00713963</v>
      </c>
      <c r="C153" s="5" t="n">
        <f aca="false">C152*(1+B153)</f>
        <v>2083.42926513243</v>
      </c>
      <c r="D153" s="10" t="n">
        <v>-0.00713408</v>
      </c>
      <c r="E153" s="5" t="n">
        <f aca="false">E152*(1+D153)</f>
        <v>2080.6917823542</v>
      </c>
      <c r="F153" s="4" t="n">
        <f aca="false">D153*Varsayımlar!$B$3</f>
        <v>-0.0089176</v>
      </c>
      <c r="G153" s="5" t="n">
        <f aca="false">G152*(1+F153)</f>
        <v>2084.8042989512</v>
      </c>
    </row>
    <row r="154" customFormat="false" ht="15" hidden="false" customHeight="false" outlineLevel="0" collapsed="false">
      <c r="A154" s="3" t="n">
        <v>44914</v>
      </c>
      <c r="B154" s="10" t="n">
        <v>0.01048132</v>
      </c>
      <c r="C154" s="5" t="n">
        <f aca="false">C153*(1+B154)</f>
        <v>2105.26635395765</v>
      </c>
      <c r="D154" s="10" t="n">
        <v>0.01630771</v>
      </c>
      <c r="E154" s="5" t="n">
        <f aca="false">E153*(1+D154)</f>
        <v>2114.62310054021</v>
      </c>
      <c r="F154" s="4" t="n">
        <f aca="false">D154*Varsayımlar!$B$3</f>
        <v>0.0203846375</v>
      </c>
      <c r="G154" s="5" t="n">
        <f aca="false">G153*(1+F154)</f>
        <v>2127.30227884376</v>
      </c>
    </row>
    <row r="155" customFormat="false" ht="15" hidden="false" customHeight="false" outlineLevel="0" collapsed="false">
      <c r="A155" s="3" t="n">
        <v>44915</v>
      </c>
      <c r="B155" s="10" t="n">
        <v>0.00559777</v>
      </c>
      <c r="C155" s="5" t="n">
        <f aca="false">C154*(1+B155)</f>
        <v>2117.05115079585</v>
      </c>
      <c r="D155" s="10" t="n">
        <v>0.00392374</v>
      </c>
      <c r="E155" s="5" t="n">
        <f aca="false">E154*(1+D155)</f>
        <v>2122.92033178473</v>
      </c>
      <c r="F155" s="4" t="n">
        <f aca="false">D155*Varsayımlar!$B$3</f>
        <v>0.004904675</v>
      </c>
      <c r="G155" s="5" t="n">
        <f aca="false">G154*(1+F155)</f>
        <v>2137.73600514825</v>
      </c>
    </row>
    <row r="156" customFormat="false" ht="15" hidden="false" customHeight="false" outlineLevel="0" collapsed="false">
      <c r="A156" s="3" t="n">
        <v>44916</v>
      </c>
      <c r="B156" s="10" t="n">
        <v>0.00868602</v>
      </c>
      <c r="C156" s="5" t="n">
        <f aca="false">C155*(1+B156)</f>
        <v>2135.43989943268</v>
      </c>
      <c r="D156" s="10" t="n">
        <v>0.01351079</v>
      </c>
      <c r="E156" s="5" t="n">
        <f aca="false">E155*(1+D156)</f>
        <v>2151.6026625742</v>
      </c>
      <c r="F156" s="4" t="n">
        <f aca="false">D156*Varsayımlar!$B$3</f>
        <v>0.0168884875</v>
      </c>
      <c r="G156" s="5" t="n">
        <f aca="false">G155*(1+F156)</f>
        <v>2173.8391329495</v>
      </c>
    </row>
    <row r="157" customFormat="false" ht="15" hidden="false" customHeight="false" outlineLevel="0" collapsed="false">
      <c r="A157" s="3" t="n">
        <v>44917</v>
      </c>
      <c r="B157" s="10" t="n">
        <v>-0.00555764</v>
      </c>
      <c r="C157" s="5" t="n">
        <f aca="false">C156*(1+B157)</f>
        <v>2123.57189323</v>
      </c>
      <c r="D157" s="10" t="n">
        <v>-0.00652456</v>
      </c>
      <c r="E157" s="5" t="n">
        <f aca="false">E156*(1+D157)</f>
        <v>2137.56440190608</v>
      </c>
      <c r="F157" s="4" t="n">
        <f aca="false">D157*Varsayımlar!$B$3</f>
        <v>-0.0081557</v>
      </c>
      <c r="G157" s="5" t="n">
        <f aca="false">G156*(1+F157)</f>
        <v>2156.1099531329</v>
      </c>
    </row>
    <row r="158" customFormat="false" ht="15" hidden="false" customHeight="false" outlineLevel="0" collapsed="false">
      <c r="A158" s="3" t="n">
        <v>44918</v>
      </c>
      <c r="B158" s="10" t="n">
        <v>0.00572225</v>
      </c>
      <c r="C158" s="5" t="n">
        <f aca="false">C157*(1+B158)</f>
        <v>2135.72350249603</v>
      </c>
      <c r="D158" s="10" t="n">
        <v>0.00720603</v>
      </c>
      <c r="E158" s="5" t="n">
        <f aca="false">E157*(1+D158)</f>
        <v>2152.96775511315</v>
      </c>
      <c r="F158" s="4" t="n">
        <f aca="false">D158*Varsayımlar!$B$3</f>
        <v>0.0090075375</v>
      </c>
      <c r="G158" s="5" t="n">
        <f aca="false">G157*(1+F158)</f>
        <v>2175.53119438987</v>
      </c>
    </row>
    <row r="159" customFormat="false" ht="15" hidden="false" customHeight="false" outlineLevel="0" collapsed="false">
      <c r="A159" s="3" t="n">
        <v>44919</v>
      </c>
      <c r="B159" s="10" t="n">
        <v>0.00349006</v>
      </c>
      <c r="C159" s="5" t="n">
        <f aca="false">C158*(1+B159)</f>
        <v>2143.17730566316</v>
      </c>
      <c r="D159" s="10" t="n">
        <v>0.00428527</v>
      </c>
      <c r="E159" s="5" t="n">
        <f aca="false">E158*(1+D159)</f>
        <v>2162.1938032451</v>
      </c>
      <c r="F159" s="4" t="n">
        <f aca="false">D159*Varsayımlar!$B$3</f>
        <v>0.0053565875</v>
      </c>
      <c r="G159" s="5" t="n">
        <f aca="false">G158*(1+F159)</f>
        <v>2187.1846175916</v>
      </c>
    </row>
    <row r="160" customFormat="false" ht="15" hidden="false" customHeight="false" outlineLevel="0" collapsed="false">
      <c r="A160" s="3" t="n">
        <v>44920</v>
      </c>
      <c r="B160" s="10" t="n">
        <v>0.01006414</v>
      </c>
      <c r="C160" s="5" t="n">
        <f aca="false">C159*(1+B160)</f>
        <v>2164.74654211217</v>
      </c>
      <c r="D160" s="10" t="n">
        <v>0.01069099</v>
      </c>
      <c r="E160" s="5" t="n">
        <f aca="false">E159*(1+D160)</f>
        <v>2185.30979557365</v>
      </c>
      <c r="F160" s="4" t="n">
        <f aca="false">D160*Varsayımlar!$B$3</f>
        <v>0.0133637375</v>
      </c>
      <c r="G160" s="5" t="n">
        <f aca="false">G159*(1+F160)</f>
        <v>2216.41357868513</v>
      </c>
    </row>
    <row r="161" customFormat="false" ht="15" hidden="false" customHeight="false" outlineLevel="0" collapsed="false">
      <c r="A161" s="3" t="n">
        <v>44921</v>
      </c>
      <c r="B161" s="10" t="n">
        <v>-0.00073255</v>
      </c>
      <c r="C161" s="5" t="n">
        <f aca="false">C160*(1+B161)</f>
        <v>2163.16075703275</v>
      </c>
      <c r="D161" s="10" t="n">
        <v>-0.00136844</v>
      </c>
      <c r="E161" s="5" t="n">
        <f aca="false">E160*(1+D161)</f>
        <v>2182.319330237</v>
      </c>
      <c r="F161" s="4" t="n">
        <f aca="false">D161*Varsayımlar!$B$3</f>
        <v>-0.00171055</v>
      </c>
      <c r="G161" s="5" t="n">
        <f aca="false">G160*(1+F161)</f>
        <v>2212.62229243811</v>
      </c>
    </row>
    <row r="162" customFormat="false" ht="15" hidden="false" customHeight="false" outlineLevel="0" collapsed="false">
      <c r="A162" s="3" t="n">
        <v>44922</v>
      </c>
      <c r="B162" s="10" t="n">
        <v>0.00956987</v>
      </c>
      <c r="C162" s="5" t="n">
        <f aca="false">C161*(1+B162)</f>
        <v>2183.86192426665</v>
      </c>
      <c r="D162" s="10" t="n">
        <v>0.0104206</v>
      </c>
      <c r="E162" s="5" t="n">
        <f aca="false">E161*(1+D162)</f>
        <v>2205.06040704967</v>
      </c>
      <c r="F162" s="4" t="n">
        <f aca="false">D162*Varsayımlar!$B$3</f>
        <v>0.01302575</v>
      </c>
      <c r="G162" s="5" t="n">
        <f aca="false">G161*(1+F162)</f>
        <v>2241.44335726383</v>
      </c>
    </row>
    <row r="163" customFormat="false" ht="15" hidden="false" customHeight="false" outlineLevel="0" collapsed="false">
      <c r="A163" s="3" t="n">
        <v>44923</v>
      </c>
      <c r="B163" s="10" t="n">
        <v>0.00506116</v>
      </c>
      <c r="C163" s="5" t="n">
        <f aca="false">C162*(1+B163)</f>
        <v>2194.91479888327</v>
      </c>
      <c r="D163" s="10" t="n">
        <v>0.00478108</v>
      </c>
      <c r="E163" s="5" t="n">
        <f aca="false">E162*(1+D163)</f>
        <v>2215.6029772606</v>
      </c>
      <c r="F163" s="4" t="n">
        <f aca="false">D163*Varsayımlar!$B$3</f>
        <v>0.00597635</v>
      </c>
      <c r="G163" s="5" t="n">
        <f aca="false">G162*(1+F163)</f>
        <v>2254.83900727202</v>
      </c>
    </row>
    <row r="164" customFormat="false" ht="15" hidden="false" customHeight="false" outlineLevel="0" collapsed="false">
      <c r="A164" s="3" t="n">
        <v>44924</v>
      </c>
      <c r="B164" s="10" t="n">
        <v>-0.00589174</v>
      </c>
      <c r="C164" s="5" t="n">
        <f aca="false">C163*(1+B164)</f>
        <v>2181.9829315661</v>
      </c>
      <c r="D164" s="10" t="n">
        <v>-0.00951286</v>
      </c>
      <c r="E164" s="5" t="n">
        <f aca="false">E163*(1+D164)</f>
        <v>2194.52625632234</v>
      </c>
      <c r="F164" s="4" t="n">
        <f aca="false">D164*Varsayımlar!$B$3</f>
        <v>-0.011891075</v>
      </c>
      <c r="G164" s="5" t="n">
        <f aca="false">G163*(1+F164)</f>
        <v>2228.02654752362</v>
      </c>
    </row>
    <row r="165" customFormat="false" ht="15" hidden="false" customHeight="false" outlineLevel="0" collapsed="false">
      <c r="A165" s="3" t="n">
        <v>44925</v>
      </c>
      <c r="B165" s="10" t="n">
        <v>-0.00065492</v>
      </c>
      <c r="C165" s="5" t="n">
        <f aca="false">C164*(1+B165)</f>
        <v>2180.55390730456</v>
      </c>
      <c r="D165" s="10" t="n">
        <v>-0.00428494</v>
      </c>
      <c r="E165" s="5" t="n">
        <f aca="false">E164*(1+D165)</f>
        <v>2185.12284298558</v>
      </c>
      <c r="F165" s="4" t="n">
        <f aca="false">D165*Varsayımlar!$B$3</f>
        <v>-0.005356175</v>
      </c>
      <c r="G165" s="5" t="n">
        <f aca="false">G164*(1+F165)</f>
        <v>2216.09284743044</v>
      </c>
    </row>
    <row r="166" customFormat="false" ht="15" hidden="false" customHeight="false" outlineLevel="0" collapsed="false">
      <c r="A166" s="3" t="n">
        <v>44926</v>
      </c>
      <c r="B166" s="10" t="n">
        <v>-0.0059685</v>
      </c>
      <c r="C166" s="5" t="n">
        <f aca="false">C165*(1+B166)</f>
        <v>2167.53927130881</v>
      </c>
      <c r="D166" s="10" t="n">
        <v>-0.005489</v>
      </c>
      <c r="E166" s="5" t="n">
        <f aca="false">E165*(1+D166)</f>
        <v>2173.12870370043</v>
      </c>
      <c r="F166" s="4" t="n">
        <f aca="false">D166*Varsayımlar!$B$3</f>
        <v>-0.00686125</v>
      </c>
      <c r="G166" s="5" t="n">
        <f aca="false">G165*(1+F166)</f>
        <v>2200.88768038101</v>
      </c>
    </row>
    <row r="167" customFormat="false" ht="15" hidden="false" customHeight="false" outlineLevel="0" collapsed="false">
      <c r="A167" s="3" t="n">
        <v>44927</v>
      </c>
      <c r="B167" s="10" t="n">
        <v>-0.00151479</v>
      </c>
      <c r="C167" s="5" t="n">
        <f aca="false">C166*(1+B167)</f>
        <v>2164.25590449603</v>
      </c>
      <c r="D167" s="10" t="n">
        <v>-0.00544269</v>
      </c>
      <c r="E167" s="5" t="n">
        <f aca="false">E166*(1+D167)</f>
        <v>2161.30103783608</v>
      </c>
      <c r="F167" s="4" t="n">
        <f aca="false">D167*Varsayımlar!$B$3</f>
        <v>-0.0068033625</v>
      </c>
      <c r="G167" s="5" t="n">
        <f aca="false">G166*(1+F167)</f>
        <v>2185.91424366959</v>
      </c>
    </row>
    <row r="168" customFormat="false" ht="15" hidden="false" customHeight="false" outlineLevel="0" collapsed="false">
      <c r="A168" s="3" t="n">
        <v>44928</v>
      </c>
      <c r="B168" s="10" t="n">
        <v>0.0062083</v>
      </c>
      <c r="C168" s="5" t="n">
        <f aca="false">C167*(1+B168)</f>
        <v>2177.69225442791</v>
      </c>
      <c r="D168" s="10" t="n">
        <v>0.00857792</v>
      </c>
      <c r="E168" s="5" t="n">
        <f aca="false">E167*(1+D168)</f>
        <v>2179.84050523456</v>
      </c>
      <c r="F168" s="4" t="n">
        <f aca="false">D168*Varsayımlar!$B$3</f>
        <v>0.0107224</v>
      </c>
      <c r="G168" s="5" t="n">
        <f aca="false">G167*(1+F168)</f>
        <v>2209.35249055591</v>
      </c>
    </row>
    <row r="169" customFormat="false" ht="15" hidden="false" customHeight="false" outlineLevel="0" collapsed="false">
      <c r="A169" s="3" t="n">
        <v>44929</v>
      </c>
      <c r="B169" s="10" t="n">
        <v>0.02482925</v>
      </c>
      <c r="C169" s="5" t="n">
        <f aca="false">C168*(1+B169)</f>
        <v>2231.76271983616</v>
      </c>
      <c r="D169" s="10" t="n">
        <v>0.02326604</v>
      </c>
      <c r="E169" s="5" t="n">
        <f aca="false">E168*(1+D169)</f>
        <v>2230.55676162297</v>
      </c>
      <c r="F169" s="4" t="n">
        <f aca="false">D169*Varsayımlar!$B$3</f>
        <v>0.02908255</v>
      </c>
      <c r="G169" s="5" t="n">
        <f aca="false">G168*(1+F169)</f>
        <v>2273.60609483013</v>
      </c>
    </row>
    <row r="170" customFormat="false" ht="15" hidden="false" customHeight="false" outlineLevel="0" collapsed="false">
      <c r="A170" s="3" t="n">
        <v>44930</v>
      </c>
      <c r="B170" s="10" t="n">
        <v>-0.00246662</v>
      </c>
      <c r="C170" s="5" t="n">
        <f aca="false">C169*(1+B170)</f>
        <v>2226.25780927616</v>
      </c>
      <c r="D170" s="10" t="n">
        <v>-0.00672448</v>
      </c>
      <c r="E170" s="5" t="n">
        <f aca="false">E169*(1+D170)</f>
        <v>2215.55742729057</v>
      </c>
      <c r="F170" s="4" t="n">
        <f aca="false">D170*Varsayımlar!$B$3</f>
        <v>-0.0084056</v>
      </c>
      <c r="G170" s="5" t="n">
        <f aca="false">G169*(1+F170)</f>
        <v>2254.49507143942</v>
      </c>
    </row>
    <row r="171" customFormat="false" ht="15" hidden="false" customHeight="false" outlineLevel="0" collapsed="false">
      <c r="A171" s="3" t="n">
        <v>44931</v>
      </c>
      <c r="B171" s="10" t="n">
        <v>0.00176911</v>
      </c>
      <c r="C171" s="5" t="n">
        <f aca="false">C170*(1+B171)</f>
        <v>2230.19630422913</v>
      </c>
      <c r="D171" s="10" t="n">
        <v>-0.00362826</v>
      </c>
      <c r="E171" s="5" t="n">
        <f aca="false">E170*(1+D171)</f>
        <v>2207.51880889943</v>
      </c>
      <c r="F171" s="4" t="n">
        <f aca="false">D171*Varsayımlar!$B$3</f>
        <v>-0.004535325</v>
      </c>
      <c r="G171" s="5" t="n">
        <f aca="false">G170*(1+F171)</f>
        <v>2244.27020357955</v>
      </c>
    </row>
    <row r="172" customFormat="false" ht="15" hidden="false" customHeight="false" outlineLevel="0" collapsed="false">
      <c r="A172" s="3" t="n">
        <v>44932</v>
      </c>
      <c r="B172" s="10" t="n">
        <v>0.0146251</v>
      </c>
      <c r="C172" s="5" t="n">
        <f aca="false">C171*(1+B172)</f>
        <v>2262.81314819811</v>
      </c>
      <c r="D172" s="10" t="n">
        <v>0.02007326</v>
      </c>
      <c r="E172" s="5" t="n">
        <f aca="false">E171*(1+D172)</f>
        <v>2251.83090790536</v>
      </c>
      <c r="F172" s="4" t="n">
        <f aca="false">D172*Varsayımlar!$B$3</f>
        <v>0.025091575</v>
      </c>
      <c r="G172" s="5" t="n">
        <f aca="false">G171*(1+F172)</f>
        <v>2300.58247771293</v>
      </c>
    </row>
    <row r="173" customFormat="false" ht="15" hidden="false" customHeight="false" outlineLevel="0" collapsed="false">
      <c r="A173" s="3" t="n">
        <v>44933</v>
      </c>
      <c r="B173" s="10" t="n">
        <v>-0.00200109</v>
      </c>
      <c r="C173" s="5" t="n">
        <f aca="false">C172*(1+B173)</f>
        <v>2258.28505543538</v>
      </c>
      <c r="D173" s="10" t="n">
        <v>0.00018763</v>
      </c>
      <c r="E173" s="5" t="n">
        <f aca="false">E172*(1+D173)</f>
        <v>2252.25341893861</v>
      </c>
      <c r="F173" s="4" t="n">
        <f aca="false">D173*Varsayımlar!$B$3</f>
        <v>0.0002345375</v>
      </c>
      <c r="G173" s="5" t="n">
        <f aca="false">G172*(1+F173)</f>
        <v>2301.1220505758</v>
      </c>
    </row>
    <row r="174" customFormat="false" ht="15" hidden="false" customHeight="false" outlineLevel="0" collapsed="false">
      <c r="A174" s="3" t="n">
        <v>44934</v>
      </c>
      <c r="B174" s="10" t="n">
        <v>0.05453624</v>
      </c>
      <c r="C174" s="5" t="n">
        <f aca="false">C173*(1+B174)</f>
        <v>2381.44343120702</v>
      </c>
      <c r="D174" s="10" t="n">
        <v>0.08915968</v>
      </c>
      <c r="E174" s="5" t="n">
        <f aca="false">E173*(1+D174)</f>
        <v>2453.06361305008</v>
      </c>
      <c r="F174" s="4" t="n">
        <f aca="false">D174*Varsayımlar!$B$3</f>
        <v>0.1114496</v>
      </c>
      <c r="G174" s="5" t="n">
        <f aca="false">G173*(1+F174)</f>
        <v>2557.58118266365</v>
      </c>
    </row>
    <row r="175" customFormat="false" ht="15" hidden="false" customHeight="false" outlineLevel="0" collapsed="false">
      <c r="A175" s="3" t="n">
        <v>44935</v>
      </c>
      <c r="B175" s="10" t="n">
        <v>0.00329665</v>
      </c>
      <c r="C175" s="5" t="n">
        <f aca="false">C174*(1+B175)</f>
        <v>2389.29421669451</v>
      </c>
      <c r="D175" s="10" t="n">
        <v>0.00620654</v>
      </c>
      <c r="E175" s="5" t="n">
        <f aca="false">E174*(1+D175)</f>
        <v>2468.28865048702</v>
      </c>
      <c r="F175" s="4" t="n">
        <f aca="false">D175*Varsayımlar!$B$3</f>
        <v>0.007758175</v>
      </c>
      <c r="G175" s="5" t="n">
        <f aca="false">G174*(1+F175)</f>
        <v>2577.42334505546</v>
      </c>
    </row>
    <row r="176" customFormat="false" ht="15" hidden="false" customHeight="false" outlineLevel="0" collapsed="false">
      <c r="A176" s="3" t="n">
        <v>44936</v>
      </c>
      <c r="B176" s="10" t="n">
        <v>0.0026768</v>
      </c>
      <c r="C176" s="5" t="n">
        <f aca="false">C175*(1+B176)</f>
        <v>2395.68987945376</v>
      </c>
      <c r="D176" s="10" t="n">
        <v>0.00180686</v>
      </c>
      <c r="E176" s="5" t="n">
        <f aca="false">E175*(1+D176)</f>
        <v>2472.74850251804</v>
      </c>
      <c r="F176" s="4" t="n">
        <f aca="false">D176*Varsayımlar!$B$3</f>
        <v>0.002258575</v>
      </c>
      <c r="G176" s="5" t="n">
        <f aca="false">G175*(1+F176)</f>
        <v>2583.24464898702</v>
      </c>
    </row>
    <row r="177" customFormat="false" ht="15" hidden="false" customHeight="false" outlineLevel="0" collapsed="false">
      <c r="A177" s="3" t="n">
        <v>44937</v>
      </c>
      <c r="B177" s="10" t="n">
        <v>-0.01027005</v>
      </c>
      <c r="C177" s="5" t="n">
        <f aca="false">C176*(1+B177)</f>
        <v>2371.08602460727</v>
      </c>
      <c r="D177" s="10" t="n">
        <v>-0.0143869</v>
      </c>
      <c r="E177" s="5" t="n">
        <f aca="false">E176*(1+D177)</f>
        <v>2437.17331708716</v>
      </c>
      <c r="F177" s="4" t="n">
        <f aca="false">D177*Varsayımlar!$B$3</f>
        <v>-0.017983625</v>
      </c>
      <c r="G177" s="5" t="n">
        <f aca="false">G176*(1+F177)</f>
        <v>2536.78854593638</v>
      </c>
    </row>
    <row r="178" customFormat="false" ht="15" hidden="false" customHeight="false" outlineLevel="0" collapsed="false">
      <c r="A178" s="3" t="n">
        <v>44938</v>
      </c>
      <c r="B178" s="10" t="n">
        <v>0.00484295</v>
      </c>
      <c r="C178" s="5" t="n">
        <f aca="false">C177*(1+B178)</f>
        <v>2382.56907567014</v>
      </c>
      <c r="D178" s="10" t="n">
        <v>0.011015</v>
      </c>
      <c r="E178" s="5" t="n">
        <f aca="false">E177*(1+D178)</f>
        <v>2464.01878117487</v>
      </c>
      <c r="F178" s="4" t="n">
        <f aca="false">D178*Varsayımlar!$B$3</f>
        <v>0.01376875</v>
      </c>
      <c r="G178" s="5" t="n">
        <f aca="false">G177*(1+F178)</f>
        <v>2571.71695322824</v>
      </c>
    </row>
    <row r="179" customFormat="false" ht="15" hidden="false" customHeight="false" outlineLevel="0" collapsed="false">
      <c r="A179" s="3" t="n">
        <v>44939</v>
      </c>
      <c r="B179" s="10" t="n">
        <v>0.0113444</v>
      </c>
      <c r="C179" s="5" t="n">
        <f aca="false">C178*(1+B179)</f>
        <v>2409.59789229218</v>
      </c>
      <c r="D179" s="10" t="n">
        <v>0.01641044</v>
      </c>
      <c r="E179" s="5" t="n">
        <f aca="false">E178*(1+D179)</f>
        <v>2504.45441354222</v>
      </c>
      <c r="F179" s="4" t="n">
        <f aca="false">D179*Varsayımlar!$B$3</f>
        <v>0.02051305</v>
      </c>
      <c r="G179" s="5" t="n">
        <f aca="false">G178*(1+F179)</f>
        <v>2624.47071167566</v>
      </c>
    </row>
    <row r="180" customFormat="false" ht="15" hidden="false" customHeight="false" outlineLevel="0" collapsed="false">
      <c r="A180" s="3" t="n">
        <v>44940</v>
      </c>
      <c r="B180" s="10" t="n">
        <v>-0.00239269</v>
      </c>
      <c r="C180" s="5" t="n">
        <f aca="false">C179*(1+B180)</f>
        <v>2403.83247151127</v>
      </c>
      <c r="D180" s="10" t="n">
        <v>0.00343844</v>
      </c>
      <c r="E180" s="5" t="n">
        <f aca="false">E179*(1+D180)</f>
        <v>2513.06582977592</v>
      </c>
      <c r="F180" s="4" t="n">
        <f aca="false">D180*Varsayımlar!$B$3</f>
        <v>0.00429805</v>
      </c>
      <c r="G180" s="5" t="n">
        <f aca="false">G179*(1+F180)</f>
        <v>2635.75081801798</v>
      </c>
    </row>
    <row r="181" customFormat="false" ht="15" hidden="false" customHeight="false" outlineLevel="0" collapsed="false">
      <c r="A181" s="3" t="n">
        <v>44941</v>
      </c>
      <c r="B181" s="10" t="n">
        <v>-0.00248055</v>
      </c>
      <c r="C181" s="5" t="n">
        <f aca="false">C180*(1+B181)</f>
        <v>2397.86964487406</v>
      </c>
      <c r="D181" s="10" t="n">
        <v>-0.00179983</v>
      </c>
      <c r="E181" s="5" t="n">
        <f aca="false">E180*(1+D181)</f>
        <v>2508.54273850351</v>
      </c>
      <c r="F181" s="4" t="n">
        <f aca="false">D181*Varsayımlar!$B$3</f>
        <v>-0.0022497875</v>
      </c>
      <c r="G181" s="5" t="n">
        <f aca="false">G180*(1+F181)</f>
        <v>2629.82093877449</v>
      </c>
    </row>
    <row r="182" customFormat="false" ht="15" hidden="false" customHeight="false" outlineLevel="0" collapsed="false">
      <c r="A182" s="3" t="n">
        <v>44942</v>
      </c>
      <c r="B182" s="10" t="n">
        <v>0.0017227</v>
      </c>
      <c r="C182" s="5" t="n">
        <f aca="false">C181*(1+B182)</f>
        <v>2402.00045491129</v>
      </c>
      <c r="D182" s="10" t="n">
        <v>0.00355357</v>
      </c>
      <c r="E182" s="5" t="n">
        <f aca="false">E181*(1+D182)</f>
        <v>2517.45702072278</v>
      </c>
      <c r="F182" s="4" t="n">
        <f aca="false">D182*Varsayımlar!$B$3</f>
        <v>0.0044419625</v>
      </c>
      <c r="G182" s="5" t="n">
        <f aca="false">G181*(1+F182)</f>
        <v>2641.50250476624</v>
      </c>
    </row>
    <row r="183" customFormat="false" ht="15" hidden="false" customHeight="false" outlineLevel="0" collapsed="false">
      <c r="A183" s="3" t="n">
        <v>44943</v>
      </c>
      <c r="B183" s="10" t="n">
        <v>0.00927895</v>
      </c>
      <c r="C183" s="5" t="n">
        <f aca="false">C182*(1+B183)</f>
        <v>2424.28849703238</v>
      </c>
      <c r="D183" s="10" t="n">
        <v>0.00235944</v>
      </c>
      <c r="E183" s="5" t="n">
        <f aca="false">E182*(1+D183)</f>
        <v>2523.39680951575</v>
      </c>
      <c r="F183" s="4" t="n">
        <f aca="false">D183*Varsayımlar!$B$3</f>
        <v>0.0029493</v>
      </c>
      <c r="G183" s="5" t="n">
        <f aca="false">G182*(1+F183)</f>
        <v>2649.29308810354</v>
      </c>
    </row>
    <row r="184" customFormat="false" ht="15" hidden="false" customHeight="false" outlineLevel="0" collapsed="false">
      <c r="A184" s="3" t="n">
        <v>44944</v>
      </c>
      <c r="B184" s="10" t="n">
        <v>-0.00700843</v>
      </c>
      <c r="C184" s="5" t="n">
        <f aca="false">C183*(1+B184)</f>
        <v>2407.29804080113</v>
      </c>
      <c r="D184" s="10" t="n">
        <v>-0.00454695</v>
      </c>
      <c r="E184" s="5" t="n">
        <f aca="false">E183*(1+D184)</f>
        <v>2511.92305039272</v>
      </c>
      <c r="F184" s="4" t="n">
        <f aca="false">D184*Varsayımlar!$B$3</f>
        <v>-0.0056836875</v>
      </c>
      <c r="G184" s="5" t="n">
        <f aca="false">G183*(1+F184)</f>
        <v>2634.23533409485</v>
      </c>
    </row>
    <row r="185" customFormat="false" ht="15" hidden="false" customHeight="false" outlineLevel="0" collapsed="false">
      <c r="A185" s="3" t="n">
        <v>44945</v>
      </c>
      <c r="B185" s="10" t="n">
        <v>-0.00985172</v>
      </c>
      <c r="C185" s="5" t="n">
        <f aca="false">C184*(1+B185)</f>
        <v>2383.58201454661</v>
      </c>
      <c r="D185" s="10" t="n">
        <v>-0.01261959</v>
      </c>
      <c r="E185" s="5" t="n">
        <f aca="false">E184*(1+D185)</f>
        <v>2480.22361138522</v>
      </c>
      <c r="F185" s="4" t="n">
        <f aca="false">D185*Varsayımlar!$B$3</f>
        <v>-0.0157744875</v>
      </c>
      <c r="G185" s="5" t="n">
        <f aca="false">G184*(1+F185)</f>
        <v>2592.68162174512</v>
      </c>
    </row>
    <row r="186" customFormat="false" ht="15" hidden="false" customHeight="false" outlineLevel="0" collapsed="false">
      <c r="A186" s="3" t="n">
        <v>44946</v>
      </c>
      <c r="B186" s="10" t="n">
        <v>0.01102908</v>
      </c>
      <c r="C186" s="5" t="n">
        <f aca="false">C185*(1+B186)</f>
        <v>2409.8707312716</v>
      </c>
      <c r="D186" s="10" t="n">
        <v>0.01457048</v>
      </c>
      <c r="E186" s="5" t="n">
        <f aca="false">E185*(1+D186)</f>
        <v>2516.36165991043</v>
      </c>
      <c r="F186" s="4" t="n">
        <f aca="false">D186*Varsayımlar!$B$3</f>
        <v>0.0182131</v>
      </c>
      <c r="G186" s="5" t="n">
        <f aca="false">G185*(1+F186)</f>
        <v>2639.90239139012</v>
      </c>
    </row>
    <row r="187" customFormat="false" ht="15" hidden="false" customHeight="false" outlineLevel="0" collapsed="false">
      <c r="A187" s="3" t="n">
        <v>44947</v>
      </c>
      <c r="B187" s="10" t="n">
        <v>0.00591844</v>
      </c>
      <c r="C187" s="5" t="n">
        <f aca="false">C186*(1+B187)</f>
        <v>2424.13340660239</v>
      </c>
      <c r="D187" s="10" t="n">
        <v>0.00794636</v>
      </c>
      <c r="E187" s="5" t="n">
        <f aca="false">E186*(1+D187)</f>
        <v>2536.35757555028</v>
      </c>
      <c r="F187" s="4" t="n">
        <f aca="false">D187*Varsayımlar!$B$3</f>
        <v>0.00993295</v>
      </c>
      <c r="G187" s="5" t="n">
        <f aca="false">G186*(1+F187)</f>
        <v>2666.12440984868</v>
      </c>
    </row>
    <row r="188" customFormat="false" ht="15" hidden="false" customHeight="false" outlineLevel="0" collapsed="false">
      <c r="A188" s="3" t="n">
        <v>44948</v>
      </c>
      <c r="B188" s="10" t="n">
        <v>-0.01160152</v>
      </c>
      <c r="C188" s="5" t="n">
        <f aca="false">C187*(1+B188)</f>
        <v>2396.00977440302</v>
      </c>
      <c r="D188" s="10" t="n">
        <v>-0.01160038</v>
      </c>
      <c r="E188" s="5" t="n">
        <f aca="false">E187*(1+D188)</f>
        <v>2506.93486385802</v>
      </c>
      <c r="F188" s="4" t="n">
        <f aca="false">D188*Varsayımlar!$B$3</f>
        <v>-0.014500475</v>
      </c>
      <c r="G188" s="5" t="n">
        <f aca="false">G187*(1+F188)</f>
        <v>2627.46433949678</v>
      </c>
    </row>
    <row r="189" customFormat="false" ht="15" hidden="false" customHeight="false" outlineLevel="0" collapsed="false">
      <c r="A189" s="3" t="n">
        <v>44949</v>
      </c>
      <c r="B189" s="10" t="n">
        <v>-0.00756902</v>
      </c>
      <c r="C189" s="5" t="n">
        <f aca="false">C188*(1+B189)</f>
        <v>2377.87432850037</v>
      </c>
      <c r="D189" s="10" t="n">
        <v>-0.00411713</v>
      </c>
      <c r="E189" s="5" t="n">
        <f aca="false">E188*(1+D189)</f>
        <v>2496.61348712198</v>
      </c>
      <c r="F189" s="4" t="n">
        <f aca="false">D189*Varsayımlar!$B$3</f>
        <v>-0.0051464125</v>
      </c>
      <c r="G189" s="5" t="n">
        <f aca="false">G188*(1+F189)</f>
        <v>2613.94232417669</v>
      </c>
    </row>
    <row r="190" customFormat="false" ht="15" hidden="false" customHeight="false" outlineLevel="0" collapsed="false">
      <c r="A190" s="3" t="n">
        <v>44950</v>
      </c>
      <c r="B190" s="10" t="n">
        <v>0.00704216</v>
      </c>
      <c r="C190" s="5" t="n">
        <f aca="false">C189*(1+B190)</f>
        <v>2394.61969998156</v>
      </c>
      <c r="D190" s="10" t="n">
        <v>0.0047672</v>
      </c>
      <c r="E190" s="5" t="n">
        <f aca="false">E189*(1+D190)</f>
        <v>2508.51534293779</v>
      </c>
      <c r="F190" s="4" t="n">
        <f aca="false">D190*Varsayımlar!$B$3</f>
        <v>0.005959</v>
      </c>
      <c r="G190" s="5" t="n">
        <f aca="false">G189*(1+F190)</f>
        <v>2629.51880648646</v>
      </c>
    </row>
    <row r="191" customFormat="false" ht="15" hidden="false" customHeight="false" outlineLevel="0" collapsed="false">
      <c r="A191" s="3" t="n">
        <v>44951</v>
      </c>
      <c r="B191" s="10" t="n">
        <v>0.03181485</v>
      </c>
      <c r="C191" s="5" t="n">
        <f aca="false">C190*(1+B191)</f>
        <v>2470.80416654352</v>
      </c>
      <c r="D191" s="10" t="n">
        <v>0.03878422</v>
      </c>
      <c r="E191" s="5" t="n">
        <f aca="false">E190*(1+D191)</f>
        <v>2605.80615387166</v>
      </c>
      <c r="F191" s="4" t="n">
        <f aca="false">D191*Varsayımlar!$B$3</f>
        <v>0.048480275</v>
      </c>
      <c r="G191" s="5" t="n">
        <f aca="false">G190*(1+F191)</f>
        <v>2756.99860134259</v>
      </c>
    </row>
    <row r="192" customFormat="false" ht="15" hidden="false" customHeight="false" outlineLevel="0" collapsed="false">
      <c r="A192" s="3" t="n">
        <v>44952</v>
      </c>
      <c r="B192" s="10" t="n">
        <v>0.00544195</v>
      </c>
      <c r="C192" s="5" t="n">
        <f aca="false">C191*(1+B192)</f>
        <v>2484.25015927764</v>
      </c>
      <c r="D192" s="10" t="n">
        <v>0.00283452</v>
      </c>
      <c r="E192" s="5" t="n">
        <f aca="false">E191*(1+D192)</f>
        <v>2613.19236353094</v>
      </c>
      <c r="F192" s="4" t="n">
        <f aca="false">D192*Varsayımlar!$B$3</f>
        <v>0.00354315</v>
      </c>
      <c r="G192" s="5" t="n">
        <f aca="false">G191*(1+F192)</f>
        <v>2766.76706093694</v>
      </c>
    </row>
    <row r="193" customFormat="false" ht="15" hidden="false" customHeight="false" outlineLevel="0" collapsed="false">
      <c r="A193" s="3" t="n">
        <v>44953</v>
      </c>
      <c r="B193" s="10" t="n">
        <v>-0.0047887</v>
      </c>
      <c r="C193" s="5" t="n">
        <f aca="false">C192*(1+B193)</f>
        <v>2472.35383053991</v>
      </c>
      <c r="D193" s="10" t="n">
        <v>-0.00731346</v>
      </c>
      <c r="E193" s="5" t="n">
        <f aca="false">E192*(1+D193)</f>
        <v>2594.08088570795</v>
      </c>
      <c r="F193" s="4" t="n">
        <f aca="false">D193*Varsayımlar!$B$3</f>
        <v>-0.009141825</v>
      </c>
      <c r="G193" s="5" t="n">
        <f aca="false">G192*(1+F193)</f>
        <v>2741.47376065009</v>
      </c>
    </row>
    <row r="194" customFormat="false" ht="15" hidden="false" customHeight="false" outlineLevel="0" collapsed="false">
      <c r="A194" s="3" t="n">
        <v>44954</v>
      </c>
      <c r="B194" s="10" t="n">
        <v>-0.00176042</v>
      </c>
      <c r="C194" s="5" t="n">
        <f aca="false">C193*(1+B194)</f>
        <v>2468.00144940955</v>
      </c>
      <c r="D194" s="10" t="n">
        <v>0.00111835</v>
      </c>
      <c r="E194" s="5" t="n">
        <f aca="false">E193*(1+D194)</f>
        <v>2596.98197606648</v>
      </c>
      <c r="F194" s="4" t="n">
        <f aca="false">D194*Varsayımlar!$B$3</f>
        <v>0.0013979375</v>
      </c>
      <c r="G194" s="5" t="n">
        <f aca="false">G193*(1+F194)</f>
        <v>2745.30616962537</v>
      </c>
    </row>
    <row r="195" customFormat="false" ht="15" hidden="false" customHeight="false" outlineLevel="0" collapsed="false">
      <c r="A195" s="3" t="n">
        <v>44955</v>
      </c>
      <c r="B195" s="10" t="n">
        <v>-0.00688155</v>
      </c>
      <c r="C195" s="5" t="n">
        <f aca="false">C194*(1+B195)</f>
        <v>2451.01777403537</v>
      </c>
      <c r="D195" s="10" t="n">
        <v>-0.0035765</v>
      </c>
      <c r="E195" s="5" t="n">
        <f aca="false">E194*(1+D195)</f>
        <v>2587.69387002908</v>
      </c>
      <c r="F195" s="4" t="n">
        <f aca="false">D195*Varsayımlar!$B$3</f>
        <v>-0.004470625</v>
      </c>
      <c r="G195" s="5" t="n">
        <f aca="false">G194*(1+F195)</f>
        <v>2733.03293523079</v>
      </c>
    </row>
    <row r="196" customFormat="false" ht="15" hidden="false" customHeight="false" outlineLevel="0" collapsed="false">
      <c r="A196" s="3" t="n">
        <v>44956</v>
      </c>
      <c r="B196" s="10" t="n">
        <v>0.00395583</v>
      </c>
      <c r="C196" s="5" t="n">
        <f aca="false">C195*(1+B196)</f>
        <v>2460.71358367643</v>
      </c>
      <c r="D196" s="10" t="n">
        <v>0.00858655</v>
      </c>
      <c r="E196" s="5" t="n">
        <f aca="false">E195*(1+D196)</f>
        <v>2609.91323282878</v>
      </c>
      <c r="F196" s="4" t="n">
        <f aca="false">D196*Varsayımlar!$B$3</f>
        <v>0.0107331875</v>
      </c>
      <c r="G196" s="5" t="n">
        <f aca="false">G195*(1+F196)</f>
        <v>2762.3670901683</v>
      </c>
    </row>
    <row r="197" customFormat="false" ht="15" hidden="false" customHeight="false" outlineLevel="0" collapsed="false">
      <c r="A197" s="3" t="n">
        <v>44957</v>
      </c>
      <c r="B197" s="10" t="n">
        <v>-0.01440215</v>
      </c>
      <c r="C197" s="5" t="n">
        <f aca="false">C196*(1+B197)</f>
        <v>2425.27401753728</v>
      </c>
      <c r="D197" s="10" t="n">
        <v>-0.01614038</v>
      </c>
      <c r="E197" s="5" t="n">
        <f aca="false">E196*(1+D197)</f>
        <v>2567.78824148389</v>
      </c>
      <c r="F197" s="4" t="n">
        <f aca="false">D197*Varsayımlar!$B$3</f>
        <v>-0.020175475</v>
      </c>
      <c r="G197" s="5" t="n">
        <f aca="false">G196*(1+F197)</f>
        <v>2706.63502199978</v>
      </c>
    </row>
    <row r="198" customFormat="false" ht="15" hidden="false" customHeight="false" outlineLevel="0" collapsed="false">
      <c r="A198" s="3" t="n">
        <v>44958</v>
      </c>
      <c r="B198" s="10" t="n">
        <v>0.0137751</v>
      </c>
      <c r="C198" s="5" t="n">
        <f aca="false">C197*(1+B198)</f>
        <v>2458.68240965626</v>
      </c>
      <c r="D198" s="10" t="n">
        <v>0.01277852</v>
      </c>
      <c r="E198" s="5" t="n">
        <f aca="false">E197*(1+D198)</f>
        <v>2600.60077488346</v>
      </c>
      <c r="F198" s="4" t="n">
        <f aca="false">D198*Varsayımlar!$B$3</f>
        <v>0.01597315</v>
      </c>
      <c r="G198" s="5" t="n">
        <f aca="false">G197*(1+F198)</f>
        <v>2749.86850920144</v>
      </c>
    </row>
    <row r="199" customFormat="false" ht="15" hidden="false" customHeight="false" outlineLevel="0" collapsed="false">
      <c r="A199" s="3" t="n">
        <v>44959</v>
      </c>
      <c r="B199" s="10" t="n">
        <v>-0.00437061</v>
      </c>
      <c r="C199" s="5" t="n">
        <f aca="false">C198*(1+B199)</f>
        <v>2447.93646772979</v>
      </c>
      <c r="D199" s="10" t="n">
        <v>-0.00480321</v>
      </c>
      <c r="E199" s="5" t="n">
        <f aca="false">E198*(1+D199)</f>
        <v>2588.10954323553</v>
      </c>
      <c r="F199" s="4" t="n">
        <f aca="false">D199*Varsayımlar!$B$3</f>
        <v>-0.0060040125</v>
      </c>
      <c r="G199" s="5" t="n">
        <f aca="false">G198*(1+F199)</f>
        <v>2733.35826429884</v>
      </c>
    </row>
    <row r="200" customFormat="false" ht="15" hidden="false" customHeight="false" outlineLevel="0" collapsed="false">
      <c r="A200" s="3" t="n">
        <v>44960</v>
      </c>
      <c r="B200" s="10" t="n">
        <v>-0.00411141</v>
      </c>
      <c r="C200" s="5" t="n">
        <f aca="false">C199*(1+B200)</f>
        <v>2437.871997257</v>
      </c>
      <c r="D200" s="10" t="n">
        <v>-0.0108974</v>
      </c>
      <c r="E200" s="5" t="n">
        <f aca="false">E199*(1+D200)</f>
        <v>2559.90587829907</v>
      </c>
      <c r="F200" s="4" t="n">
        <f aca="false">D200*Varsayımlar!$B$3</f>
        <v>-0.01362175</v>
      </c>
      <c r="G200" s="5" t="n">
        <f aca="false">G199*(1+F200)</f>
        <v>2696.12514136212</v>
      </c>
    </row>
    <row r="201" customFormat="false" ht="15" hidden="false" customHeight="false" outlineLevel="0" collapsed="false">
      <c r="A201" s="3" t="n">
        <v>44961</v>
      </c>
      <c r="B201" s="10" t="n">
        <v>-0.02014513</v>
      </c>
      <c r="C201" s="5" t="n">
        <f aca="false">C200*(1+B201)</f>
        <v>2388.7607489489</v>
      </c>
      <c r="D201" s="10" t="n">
        <v>-0.02198678</v>
      </c>
      <c r="E201" s="5" t="n">
        <f aca="false">E200*(1+D201)</f>
        <v>2503.62179093221</v>
      </c>
      <c r="F201" s="4" t="n">
        <f aca="false">D201*Varsayımlar!$B$3</f>
        <v>-0.027483475</v>
      </c>
      <c r="G201" s="5" t="n">
        <f aca="false">G200*(1+F201)</f>
        <v>2622.02625344263</v>
      </c>
    </row>
    <row r="202" customFormat="false" ht="15" hidden="false" customHeight="false" outlineLevel="0" collapsed="false">
      <c r="A202" s="3" t="n">
        <v>44962</v>
      </c>
      <c r="B202" s="10" t="n">
        <v>0.00776938</v>
      </c>
      <c r="C202" s="5" t="n">
        <f aca="false">C201*(1+B202)</f>
        <v>2407.31993893657</v>
      </c>
      <c r="D202" s="10" t="n">
        <v>0.00825512</v>
      </c>
      <c r="E202" s="5" t="n">
        <f aca="false">E201*(1+D202)</f>
        <v>2524.28948925097</v>
      </c>
      <c r="F202" s="4" t="n">
        <f aca="false">D202*Varsayımlar!$B$3</f>
        <v>0.0103189</v>
      </c>
      <c r="G202" s="5" t="n">
        <f aca="false">G201*(1+F202)</f>
        <v>2649.08268014928</v>
      </c>
    </row>
    <row r="203" customFormat="false" ht="15" hidden="false" customHeight="false" outlineLevel="0" collapsed="false">
      <c r="A203" s="3" t="n">
        <v>44963</v>
      </c>
      <c r="B203" s="10" t="n">
        <v>0.00201251</v>
      </c>
      <c r="C203" s="5" t="n">
        <f aca="false">C202*(1+B203)</f>
        <v>2412.16469438688</v>
      </c>
      <c r="D203" s="10" t="n">
        <v>0.00291812</v>
      </c>
      <c r="E203" s="5" t="n">
        <f aca="false">E202*(1+D203)</f>
        <v>2531.65566889534</v>
      </c>
      <c r="F203" s="4" t="n">
        <f aca="false">D203*Varsayımlar!$B$3</f>
        <v>0.00364765</v>
      </c>
      <c r="G203" s="5" t="n">
        <f aca="false">G202*(1+F203)</f>
        <v>2658.74560658752</v>
      </c>
    </row>
    <row r="204" customFormat="false" ht="15" hidden="false" customHeight="false" outlineLevel="0" collapsed="false">
      <c r="A204" s="3" t="n">
        <v>44964</v>
      </c>
      <c r="B204" s="10" t="n">
        <v>0.00502215</v>
      </c>
      <c r="C204" s="5" t="n">
        <f aca="false">C203*(1+B204)</f>
        <v>2424.2789473068</v>
      </c>
      <c r="D204" s="10" t="n">
        <v>0.00856292</v>
      </c>
      <c r="E204" s="5" t="n">
        <f aca="false">E203*(1+D204)</f>
        <v>2553.33403385564</v>
      </c>
      <c r="F204" s="4" t="n">
        <f aca="false">D204*Varsayımlar!$B$3</f>
        <v>0.01070365</v>
      </c>
      <c r="G204" s="5" t="n">
        <f aca="false">G203*(1+F204)</f>
        <v>2687.20388899947</v>
      </c>
    </row>
    <row r="205" customFormat="false" ht="15" hidden="false" customHeight="false" outlineLevel="0" collapsed="false">
      <c r="A205" s="3" t="n">
        <v>44965</v>
      </c>
      <c r="B205" s="10" t="n">
        <v>-0.00215354</v>
      </c>
      <c r="C205" s="5" t="n">
        <f aca="false">C204*(1+B205)</f>
        <v>2419.05816562261</v>
      </c>
      <c r="D205" s="10" t="n">
        <v>0.00131465</v>
      </c>
      <c r="E205" s="5" t="n">
        <f aca="false">E204*(1+D205)</f>
        <v>2556.69077444325</v>
      </c>
      <c r="F205" s="4" t="n">
        <f aca="false">D205*Varsayımlar!$B$3</f>
        <v>0.0016433125</v>
      </c>
      <c r="G205" s="5" t="n">
        <f aca="false">G204*(1+F205)</f>
        <v>2691.61980474031</v>
      </c>
    </row>
    <row r="206" customFormat="false" ht="15" hidden="false" customHeight="false" outlineLevel="0" collapsed="false">
      <c r="A206" s="3" t="n">
        <v>44966</v>
      </c>
      <c r="B206" s="10" t="n">
        <v>0.01795657</v>
      </c>
      <c r="C206" s="5" t="n">
        <f aca="false">C205*(1+B206)</f>
        <v>2462.49615290769</v>
      </c>
      <c r="D206" s="10" t="n">
        <v>0.01363028</v>
      </c>
      <c r="E206" s="5" t="n">
        <f aca="false">E205*(1+D206)</f>
        <v>2591.53918557232</v>
      </c>
      <c r="F206" s="4" t="n">
        <f aca="false">D206*Varsayımlar!$B$3</f>
        <v>0.01703785</v>
      </c>
      <c r="G206" s="5" t="n">
        <f aca="false">G205*(1+F206)</f>
        <v>2737.47921923051</v>
      </c>
    </row>
    <row r="207" customFormat="false" ht="15" hidden="false" customHeight="false" outlineLevel="0" collapsed="false">
      <c r="A207" s="3" t="n">
        <v>44967</v>
      </c>
      <c r="B207" s="10" t="n">
        <v>0.00205705</v>
      </c>
      <c r="C207" s="5" t="n">
        <f aca="false">C206*(1+B207)</f>
        <v>2467.56163061903</v>
      </c>
      <c r="D207" s="10" t="n">
        <v>0.00268829</v>
      </c>
      <c r="E207" s="5" t="n">
        <f aca="false">E206*(1+D207)</f>
        <v>2598.50599444951</v>
      </c>
      <c r="F207" s="4" t="n">
        <f aca="false">D207*Varsayımlar!$B$3</f>
        <v>0.0033603625</v>
      </c>
      <c r="G207" s="5" t="n">
        <f aca="false">G206*(1+F207)</f>
        <v>2746.67814174334</v>
      </c>
    </row>
    <row r="208" customFormat="false" ht="15" hidden="false" customHeight="false" outlineLevel="0" collapsed="false">
      <c r="A208" s="3" t="n">
        <v>44968</v>
      </c>
      <c r="B208" s="10" t="n">
        <v>-0.00413956</v>
      </c>
      <c r="C208" s="5" t="n">
        <f aca="false">C207*(1+B208)</f>
        <v>2457.34701119538</v>
      </c>
      <c r="D208" s="10" t="n">
        <v>-0.00248139</v>
      </c>
      <c r="E208" s="5" t="n">
        <f aca="false">E207*(1+D208)</f>
        <v>2592.05808765994</v>
      </c>
      <c r="F208" s="4" t="n">
        <f aca="false">D208*Varsayımlar!$B$3</f>
        <v>-0.0031017375</v>
      </c>
      <c r="G208" s="5" t="n">
        <f aca="false">G207*(1+F208)</f>
        <v>2738.15866715066</v>
      </c>
    </row>
    <row r="209" customFormat="false" ht="15" hidden="false" customHeight="false" outlineLevel="0" collapsed="false">
      <c r="A209" s="3" t="n">
        <v>44969</v>
      </c>
      <c r="B209" s="10" t="n">
        <v>0.01150285</v>
      </c>
      <c r="C209" s="5" t="n">
        <f aca="false">C208*(1+B209)</f>
        <v>2485.61350526311</v>
      </c>
      <c r="D209" s="10" t="n">
        <v>0.01069396</v>
      </c>
      <c r="E209" s="5" t="n">
        <f aca="false">E208*(1+D209)</f>
        <v>2619.77745316705</v>
      </c>
      <c r="F209" s="4" t="n">
        <f aca="false">D209*Varsayımlar!$B$3</f>
        <v>0.01336745</v>
      </c>
      <c r="G209" s="5" t="n">
        <f aca="false">G208*(1+F209)</f>
        <v>2774.76086622587</v>
      </c>
    </row>
    <row r="210" customFormat="false" ht="15" hidden="false" customHeight="false" outlineLevel="0" collapsed="false">
      <c r="A210" s="3" t="n">
        <v>44970</v>
      </c>
      <c r="B210" s="10" t="n">
        <v>-0.01638801</v>
      </c>
      <c r="C210" s="5" t="n">
        <f aca="false">C209*(1+B210)</f>
        <v>2444.87924628272</v>
      </c>
      <c r="D210" s="10" t="n">
        <v>-0.01730539</v>
      </c>
      <c r="E210" s="5" t="n">
        <f aca="false">E209*(1+D210)</f>
        <v>2574.44118262679</v>
      </c>
      <c r="F210" s="4" t="n">
        <f aca="false">D210*Varsayımlar!$B$3</f>
        <v>-0.0216317375</v>
      </c>
      <c r="G210" s="5" t="n">
        <f aca="false">G209*(1+F210)</f>
        <v>2714.7379675424</v>
      </c>
    </row>
    <row r="211" customFormat="false" ht="15" hidden="false" customHeight="false" outlineLevel="0" collapsed="false">
      <c r="A211" s="3" t="n">
        <v>44971</v>
      </c>
      <c r="B211" s="10" t="n">
        <v>-0.01140319</v>
      </c>
      <c r="C211" s="5" t="n">
        <f aca="false">C210*(1+B211)</f>
        <v>2416.9998237103</v>
      </c>
      <c r="D211" s="10" t="n">
        <v>-0.01116313</v>
      </c>
      <c r="E211" s="5" t="n">
        <f aca="false">E210*(1+D211)</f>
        <v>2545.70236102777</v>
      </c>
      <c r="F211" s="4" t="n">
        <f aca="false">D211*Varsayımlar!$B$3</f>
        <v>-0.0139539125</v>
      </c>
      <c r="G211" s="5" t="n">
        <f aca="false">G210*(1+F211)</f>
        <v>2676.85675148288</v>
      </c>
    </row>
    <row r="212" customFormat="false" ht="15" hidden="false" customHeight="false" outlineLevel="0" collapsed="false">
      <c r="A212" s="3" t="n">
        <v>44972</v>
      </c>
      <c r="B212" s="10" t="n">
        <v>0.00644056</v>
      </c>
      <c r="C212" s="5" t="n">
        <f aca="false">C211*(1+B212)</f>
        <v>2432.5666560949</v>
      </c>
      <c r="D212" s="10" t="n">
        <v>0.00786062</v>
      </c>
      <c r="E212" s="5" t="n">
        <f aca="false">E211*(1+D212)</f>
        <v>2565.71315992091</v>
      </c>
      <c r="F212" s="4" t="n">
        <f aca="false">D212*Varsayımlar!$B$3</f>
        <v>0.009825775</v>
      </c>
      <c r="G212" s="5" t="n">
        <f aca="false">G211*(1+F212)</f>
        <v>2703.15894363018</v>
      </c>
    </row>
    <row r="213" customFormat="false" ht="15" hidden="false" customHeight="false" outlineLevel="0" collapsed="false">
      <c r="A213" s="3" t="n">
        <v>44973</v>
      </c>
      <c r="B213" s="10" t="n">
        <v>-0.00607877</v>
      </c>
      <c r="C213" s="5" t="n">
        <f aca="false">C212*(1+B213)</f>
        <v>2417.77964288283</v>
      </c>
      <c r="D213" s="10" t="n">
        <v>-0.00879237</v>
      </c>
      <c r="E213" s="5" t="n">
        <f aca="false">E212*(1+D213)</f>
        <v>2543.15446050502</v>
      </c>
      <c r="F213" s="4" t="n">
        <f aca="false">D213*Varsayımlar!$B$3</f>
        <v>-0.0109904625</v>
      </c>
      <c r="G213" s="5" t="n">
        <f aca="false">G212*(1+F213)</f>
        <v>2673.44997662868</v>
      </c>
    </row>
    <row r="214" customFormat="false" ht="15" hidden="false" customHeight="false" outlineLevel="0" collapsed="false">
      <c r="A214" s="3" t="n">
        <v>44974</v>
      </c>
      <c r="B214" s="10" t="n">
        <v>-0.02459313</v>
      </c>
      <c r="C214" s="5" t="n">
        <f aca="false">C213*(1+B214)</f>
        <v>2358.31887381406</v>
      </c>
      <c r="D214" s="10" t="n">
        <v>-0.03773948</v>
      </c>
      <c r="E214" s="5" t="n">
        <f aca="false">E213*(1+D214)</f>
        <v>2447.17713360588</v>
      </c>
      <c r="F214" s="4" t="n">
        <f aca="false">D214*Varsayımlar!$B$3</f>
        <v>-0.04717435</v>
      </c>
      <c r="G214" s="5" t="n">
        <f aca="false">G213*(1+F214)</f>
        <v>2547.3317117237</v>
      </c>
    </row>
    <row r="215" customFormat="false" ht="15" hidden="false" customHeight="false" outlineLevel="0" collapsed="false">
      <c r="A215" s="3" t="n">
        <v>44975</v>
      </c>
      <c r="B215" s="10" t="n">
        <v>0.00191628</v>
      </c>
      <c r="C215" s="5" t="n">
        <f aca="false">C214*(1+B215)</f>
        <v>2362.83807310557</v>
      </c>
      <c r="D215" s="10" t="n">
        <v>0.00295427</v>
      </c>
      <c r="E215" s="5" t="n">
        <f aca="false">E214*(1+D215)</f>
        <v>2454.40675559638</v>
      </c>
      <c r="F215" s="4" t="n">
        <f aca="false">D215*Varsayımlar!$B$3</f>
        <v>0.0036928375</v>
      </c>
      <c r="G215" s="5" t="n">
        <f aca="false">G214*(1+F215)</f>
        <v>2556.7385937937</v>
      </c>
    </row>
    <row r="216" customFormat="false" ht="15" hidden="false" customHeight="false" outlineLevel="0" collapsed="false">
      <c r="A216" s="3" t="n">
        <v>44976</v>
      </c>
      <c r="B216" s="10" t="n">
        <v>-0.01121801</v>
      </c>
      <c r="C216" s="5" t="n">
        <f aca="false">C215*(1+B216)</f>
        <v>2336.33173197309</v>
      </c>
      <c r="D216" s="10" t="n">
        <v>-0.01658262</v>
      </c>
      <c r="E216" s="5" t="n">
        <f aca="false">E215*(1+D216)</f>
        <v>2413.70626104289</v>
      </c>
      <c r="F216" s="4" t="n">
        <f aca="false">D216*Varsayımlar!$B$3</f>
        <v>-0.020728275</v>
      </c>
      <c r="G216" s="5" t="n">
        <f aca="false">G215*(1+F216)</f>
        <v>2503.74181311843</v>
      </c>
    </row>
    <row r="217" customFormat="false" ht="15" hidden="false" customHeight="false" outlineLevel="0" collapsed="false">
      <c r="A217" s="3" t="n">
        <v>44977</v>
      </c>
      <c r="B217" s="10" t="n">
        <v>-0.00223258</v>
      </c>
      <c r="C217" s="5" t="n">
        <f aca="false">C216*(1+B217)</f>
        <v>2331.11568447492</v>
      </c>
      <c r="D217" s="10" t="n">
        <v>-0.00206825</v>
      </c>
      <c r="E217" s="5" t="n">
        <f aca="false">E216*(1+D217)</f>
        <v>2408.71411306849</v>
      </c>
      <c r="F217" s="4" t="n">
        <f aca="false">D217*Varsayımlar!$B$3</f>
        <v>-0.0025853125</v>
      </c>
      <c r="G217" s="5" t="n">
        <f aca="false">G216*(1+F217)</f>
        <v>2497.2688581122</v>
      </c>
    </row>
    <row r="218" customFormat="false" ht="15" hidden="false" customHeight="false" outlineLevel="0" collapsed="false">
      <c r="A218" s="3" t="n">
        <v>44978</v>
      </c>
      <c r="B218" s="10" t="n">
        <v>-0.0084606</v>
      </c>
      <c r="C218" s="5" t="n">
        <f aca="false">C217*(1+B218)</f>
        <v>2311.39304711485</v>
      </c>
      <c r="D218" s="10" t="n">
        <v>-0.0146122</v>
      </c>
      <c r="E218" s="5" t="n">
        <f aca="false">E217*(1+D218)</f>
        <v>2373.51750070551</v>
      </c>
      <c r="F218" s="4" t="n">
        <f aca="false">D218*Varsayımlar!$B$3</f>
        <v>-0.01826525</v>
      </c>
      <c r="G218" s="5" t="n">
        <f aca="false">G217*(1+F218)</f>
        <v>2451.65561810157</v>
      </c>
    </row>
    <row r="219" customFormat="false" ht="15" hidden="false" customHeight="false" outlineLevel="0" collapsed="false">
      <c r="A219" s="3" t="n">
        <v>44979</v>
      </c>
      <c r="B219" s="10" t="n">
        <v>0.0009728</v>
      </c>
      <c r="C219" s="5" t="n">
        <f aca="false">C218*(1+B219)</f>
        <v>2313.64157027109</v>
      </c>
      <c r="D219" s="10" t="n">
        <v>0.00234988</v>
      </c>
      <c r="E219" s="5" t="n">
        <f aca="false">E218*(1+D219)</f>
        <v>2379.09498201007</v>
      </c>
      <c r="F219" s="4" t="n">
        <f aca="false">D219*Varsayımlar!$B$3</f>
        <v>0.00293735</v>
      </c>
      <c r="G219" s="5" t="n">
        <f aca="false">G218*(1+F219)</f>
        <v>2458.8569887314</v>
      </c>
    </row>
    <row r="220" customFormat="false" ht="15" hidden="false" customHeight="false" outlineLevel="0" collapsed="false">
      <c r="A220" s="3" t="n">
        <v>44980</v>
      </c>
      <c r="B220" s="10" t="n">
        <v>-0.00467839</v>
      </c>
      <c r="C220" s="5" t="n">
        <f aca="false">C219*(1+B220)</f>
        <v>2302.81745268515</v>
      </c>
      <c r="D220" s="10" t="n">
        <v>-0.00797313</v>
      </c>
      <c r="E220" s="5" t="n">
        <f aca="false">E219*(1+D220)</f>
        <v>2360.12614843615</v>
      </c>
      <c r="F220" s="4" t="n">
        <f aca="false">D220*Varsayımlar!$B$3</f>
        <v>-0.0099664125</v>
      </c>
      <c r="G220" s="5" t="n">
        <f aca="false">G219*(1+F220)</f>
        <v>2434.35100570319</v>
      </c>
    </row>
    <row r="221" customFormat="false" ht="15" hidden="false" customHeight="false" outlineLevel="0" collapsed="false">
      <c r="A221" s="3" t="n">
        <v>44981</v>
      </c>
      <c r="B221" s="10" t="n">
        <v>-0.00429554</v>
      </c>
      <c r="C221" s="5" t="n">
        <f aca="false">C220*(1+B221)</f>
        <v>2292.92560820444</v>
      </c>
      <c r="D221" s="10" t="n">
        <v>-0.00394799</v>
      </c>
      <c r="E221" s="5" t="n">
        <f aca="false">E220*(1+D221)</f>
        <v>2350.80839400339</v>
      </c>
      <c r="F221" s="4" t="n">
        <f aca="false">D221*Varsayımlar!$B$3</f>
        <v>-0.0049349875</v>
      </c>
      <c r="G221" s="5" t="n">
        <f aca="false">G220*(1+F221)</f>
        <v>2422.33751391943</v>
      </c>
    </row>
    <row r="222" customFormat="false" ht="15" hidden="false" customHeight="false" outlineLevel="0" collapsed="false">
      <c r="A222" s="3" t="n">
        <v>44982</v>
      </c>
      <c r="B222" s="10" t="n">
        <v>-0.00328003</v>
      </c>
      <c r="C222" s="5" t="n">
        <f aca="false">C221*(1+B222)</f>
        <v>2285.40474342176</v>
      </c>
      <c r="D222" s="10" t="n">
        <v>-0.00552866</v>
      </c>
      <c r="E222" s="5" t="n">
        <f aca="false">E221*(1+D222)</f>
        <v>2337.8115736678</v>
      </c>
      <c r="F222" s="4" t="n">
        <f aca="false">D222*Varsayımlar!$B$3</f>
        <v>-0.006910825</v>
      </c>
      <c r="G222" s="5" t="n">
        <f aca="false">G221*(1+F222)</f>
        <v>2405.5971632698</v>
      </c>
    </row>
    <row r="223" customFormat="false" ht="15" hidden="false" customHeight="false" outlineLevel="0" collapsed="false">
      <c r="A223" s="3" t="n">
        <v>44983</v>
      </c>
      <c r="B223" s="10" t="n">
        <v>0.00842474</v>
      </c>
      <c r="C223" s="5" t="n">
        <f aca="false">C222*(1+B223)</f>
        <v>2304.65868417985</v>
      </c>
      <c r="D223" s="10" t="n">
        <v>0.00747511</v>
      </c>
      <c r="E223" s="5" t="n">
        <f aca="false">E222*(1+D223)</f>
        <v>2355.28697234024</v>
      </c>
      <c r="F223" s="4" t="n">
        <f aca="false">D223*Varsayımlar!$B$3</f>
        <v>0.0093438875</v>
      </c>
      <c r="G223" s="5" t="n">
        <f aca="false">G222*(1+F223)</f>
        <v>2428.07479253371</v>
      </c>
    </row>
    <row r="224" customFormat="false" ht="15" hidden="false" customHeight="false" outlineLevel="0" collapsed="false">
      <c r="A224" s="3" t="n">
        <v>44984</v>
      </c>
      <c r="B224" s="10" t="n">
        <v>-0.00177919</v>
      </c>
      <c r="C224" s="5" t="n">
        <f aca="false">C223*(1+B224)</f>
        <v>2300.55825849555</v>
      </c>
      <c r="D224" s="10" t="n">
        <v>-0.00146325</v>
      </c>
      <c r="E224" s="5" t="n">
        <f aca="false">E223*(1+D224)</f>
        <v>2351.84059867796</v>
      </c>
      <c r="F224" s="4" t="n">
        <f aca="false">D224*Varsayımlar!$B$3</f>
        <v>-0.0018290625</v>
      </c>
      <c r="G224" s="5" t="n">
        <f aca="false">G223*(1+F224)</f>
        <v>2423.6336919835</v>
      </c>
    </row>
    <row r="225" customFormat="false" ht="15" hidden="false" customHeight="false" outlineLevel="0" collapsed="false">
      <c r="A225" s="3" t="n">
        <v>44985</v>
      </c>
      <c r="B225" s="10" t="n">
        <v>-0.00858153</v>
      </c>
      <c r="C225" s="5" t="n">
        <f aca="false">C224*(1+B225)</f>
        <v>2280.81594878352</v>
      </c>
      <c r="D225" s="10" t="n">
        <v>-0.01002591</v>
      </c>
      <c r="E225" s="5" t="n">
        <f aca="false">E224*(1+D225)</f>
        <v>2328.26125650127</v>
      </c>
      <c r="F225" s="4" t="n">
        <f aca="false">D225*Varsayımlar!$B$3</f>
        <v>-0.0125323875</v>
      </c>
      <c r="G225" s="5" t="n">
        <f aca="false">G224*(1+F225)</f>
        <v>2393.2597753975</v>
      </c>
    </row>
    <row r="226" customFormat="false" ht="15" hidden="false" customHeight="false" outlineLevel="0" collapsed="false">
      <c r="A226" s="3" t="n">
        <v>44986</v>
      </c>
      <c r="B226" s="10" t="n">
        <v>-0.00973754</v>
      </c>
      <c r="C226" s="5" t="n">
        <f aca="false">C225*(1+B226)</f>
        <v>2258.6064122496</v>
      </c>
      <c r="D226" s="10" t="n">
        <v>-0.00803091</v>
      </c>
      <c r="E226" s="5" t="n">
        <f aca="false">E225*(1+D226)</f>
        <v>2309.56319989382</v>
      </c>
      <c r="F226" s="4" t="n">
        <f aca="false">D226*Varsayımlar!$B$3</f>
        <v>-0.0100386375</v>
      </c>
      <c r="G226" s="5" t="n">
        <f aca="false">G225*(1+F226)</f>
        <v>2369.23470806896</v>
      </c>
    </row>
    <row r="227" customFormat="false" ht="15" hidden="false" customHeight="false" outlineLevel="0" collapsed="false">
      <c r="A227" s="3" t="n">
        <v>44987</v>
      </c>
      <c r="B227" s="10" t="n">
        <v>-0.00784932</v>
      </c>
      <c r="C227" s="5" t="n">
        <f aca="false">C226*(1+B227)</f>
        <v>2240.8778877658</v>
      </c>
      <c r="D227" s="10" t="n">
        <v>-0.00746076</v>
      </c>
      <c r="E227" s="5" t="n">
        <f aca="false">E226*(1+D227)</f>
        <v>2292.33210315458</v>
      </c>
      <c r="F227" s="4" t="n">
        <f aca="false">D227*Varsayımlar!$B$3</f>
        <v>-0.00932595</v>
      </c>
      <c r="G227" s="5" t="n">
        <f aca="false">G226*(1+F227)</f>
        <v>2347.13934364324</v>
      </c>
    </row>
    <row r="228" customFormat="false" ht="15" hidden="false" customHeight="false" outlineLevel="0" collapsed="false">
      <c r="A228" s="3" t="n">
        <v>44988</v>
      </c>
      <c r="B228" s="10" t="n">
        <v>0.00279852</v>
      </c>
      <c r="C228" s="5" t="n">
        <f aca="false">C227*(1+B228)</f>
        <v>2247.14902935227</v>
      </c>
      <c r="D228" s="10" t="n">
        <v>0.00319772</v>
      </c>
      <c r="E228" s="5" t="n">
        <f aca="false">E227*(1+D228)</f>
        <v>2299.66233936748</v>
      </c>
      <c r="F228" s="4" t="n">
        <f aca="false">D228*Varsayımlar!$B$3</f>
        <v>0.00399715</v>
      </c>
      <c r="G228" s="5" t="n">
        <f aca="false">G227*(1+F228)</f>
        <v>2356.52121167068</v>
      </c>
    </row>
    <row r="229" customFormat="false" ht="15" hidden="false" customHeight="false" outlineLevel="0" collapsed="false">
      <c r="A229" s="3" t="n">
        <v>44989</v>
      </c>
      <c r="B229" s="10" t="n">
        <v>0.00231101</v>
      </c>
      <c r="C229" s="5" t="n">
        <f aca="false">C228*(1+B229)</f>
        <v>2252.3422132306</v>
      </c>
      <c r="D229" s="10" t="n">
        <v>0.00417794</v>
      </c>
      <c r="E229" s="5" t="n">
        <f aca="false">E228*(1+D229)</f>
        <v>2309.27019064162</v>
      </c>
      <c r="F229" s="4" t="n">
        <f aca="false">D229*Varsayımlar!$B$3</f>
        <v>0.005222425</v>
      </c>
      <c r="G229" s="5" t="n">
        <f aca="false">G228*(1+F229)</f>
        <v>2368.82796695954</v>
      </c>
    </row>
    <row r="230" customFormat="false" ht="15" hidden="false" customHeight="false" outlineLevel="0" collapsed="false">
      <c r="A230" s="3" t="n">
        <v>44990</v>
      </c>
      <c r="B230" s="10" t="n">
        <v>0.00611276</v>
      </c>
      <c r="C230" s="5" t="n">
        <f aca="false">C229*(1+B230)</f>
        <v>2266.11024061795</v>
      </c>
      <c r="D230" s="10" t="n">
        <v>0.00707825</v>
      </c>
      <c r="E230" s="5" t="n">
        <f aca="false">E229*(1+D230)</f>
        <v>2325.61578236853</v>
      </c>
      <c r="F230" s="4" t="n">
        <f aca="false">D230*Varsayımlar!$B$3</f>
        <v>0.0088478125</v>
      </c>
      <c r="G230" s="5" t="n">
        <f aca="false">G229*(1+F230)</f>
        <v>2389.78691265596</v>
      </c>
    </row>
    <row r="231" customFormat="false" ht="15" hidden="false" customHeight="false" outlineLevel="0" collapsed="false">
      <c r="A231" s="3" t="n">
        <v>44991</v>
      </c>
      <c r="B231" s="10" t="n">
        <v>0.00026411</v>
      </c>
      <c r="C231" s="5" t="n">
        <f aca="false">C230*(1+B231)</f>
        <v>2266.7087429936</v>
      </c>
      <c r="D231" s="10" t="n">
        <v>0.0008295</v>
      </c>
      <c r="E231" s="5" t="n">
        <f aca="false">E230*(1+D231)</f>
        <v>2327.54488066</v>
      </c>
      <c r="F231" s="4" t="n">
        <f aca="false">D231*Varsayımlar!$B$3</f>
        <v>0.001036875</v>
      </c>
      <c r="G231" s="5" t="n">
        <f aca="false">G230*(1+F231)</f>
        <v>2392.26482296102</v>
      </c>
    </row>
    <row r="232" customFormat="false" ht="15" hidden="false" customHeight="false" outlineLevel="0" collapsed="false">
      <c r="A232" s="3" t="n">
        <v>44992</v>
      </c>
      <c r="B232" s="10" t="n">
        <v>-0.00151105</v>
      </c>
      <c r="C232" s="5" t="n">
        <f aca="false">C231*(1+B232)</f>
        <v>2263.28363274749</v>
      </c>
      <c r="D232" s="10" t="n">
        <v>-0.0037844</v>
      </c>
      <c r="E232" s="5" t="n">
        <f aca="false">E231*(1+D232)</f>
        <v>2318.73651981363</v>
      </c>
      <c r="F232" s="4" t="n">
        <f aca="false">D232*Varsayımlar!$B$3</f>
        <v>-0.0047305</v>
      </c>
      <c r="G232" s="5" t="n">
        <f aca="false">G231*(1+F232)</f>
        <v>2380.948214216</v>
      </c>
    </row>
    <row r="233" customFormat="false" ht="15" hidden="false" customHeight="false" outlineLevel="0" collapsed="false">
      <c r="A233" s="3" t="n">
        <v>44993</v>
      </c>
      <c r="B233" s="10" t="n">
        <v>-0.01315041</v>
      </c>
      <c r="C233" s="5" t="n">
        <f aca="false">C232*(1+B233)</f>
        <v>2233.52052503058</v>
      </c>
      <c r="D233" s="10" t="n">
        <v>-0.01446376</v>
      </c>
      <c r="E233" s="5" t="n">
        <f aca="false">E232*(1+D233)</f>
        <v>2285.19887128781</v>
      </c>
      <c r="F233" s="4" t="n">
        <f aca="false">D233*Varsayımlar!$B$3</f>
        <v>-0.0180797</v>
      </c>
      <c r="G233" s="5" t="n">
        <f aca="false">G232*(1+F233)</f>
        <v>2337.90138478744</v>
      </c>
    </row>
    <row r="234" customFormat="false" ht="15" hidden="false" customHeight="false" outlineLevel="0" collapsed="false">
      <c r="A234" s="3" t="n">
        <v>44994</v>
      </c>
      <c r="B234" s="10" t="n">
        <v>-0.00409637</v>
      </c>
      <c r="C234" s="5" t="n">
        <f aca="false">C233*(1+B234)</f>
        <v>2224.37119855746</v>
      </c>
      <c r="D234" s="10" t="n">
        <v>-0.00607549</v>
      </c>
      <c r="E234" s="5" t="n">
        <f aca="false">E233*(1+D234)</f>
        <v>2271.31516839729</v>
      </c>
      <c r="F234" s="4" t="n">
        <f aca="false">D234*Varsayımlar!$B$3</f>
        <v>-0.0075943625</v>
      </c>
      <c r="G234" s="5" t="n">
        <f aca="false">G233*(1+F234)</f>
        <v>2320.14651418211</v>
      </c>
    </row>
    <row r="235" customFormat="false" ht="15" hidden="false" customHeight="false" outlineLevel="0" collapsed="false">
      <c r="A235" s="3" t="n">
        <v>44995</v>
      </c>
      <c r="B235" s="10" t="n">
        <v>-0.00273989</v>
      </c>
      <c r="C235" s="5" t="n">
        <f aca="false">C234*(1+B235)</f>
        <v>2218.27666615424</v>
      </c>
      <c r="D235" s="10" t="n">
        <v>0.00893411</v>
      </c>
      <c r="E235" s="5" t="n">
        <f aca="false">E234*(1+D235)</f>
        <v>2291.60734795642</v>
      </c>
      <c r="F235" s="4" t="n">
        <f aca="false">D235*Varsayımlar!$B$3</f>
        <v>0.0111676375</v>
      </c>
      <c r="G235" s="5" t="n">
        <f aca="false">G234*(1+F235)</f>
        <v>2346.05706939939</v>
      </c>
    </row>
    <row r="236" customFormat="false" ht="15" hidden="false" customHeight="false" outlineLevel="0" collapsed="false">
      <c r="A236" s="3" t="n">
        <v>44996</v>
      </c>
      <c r="B236" s="10" t="n">
        <v>-0.015268</v>
      </c>
      <c r="C236" s="5" t="n">
        <f aca="false">C235*(1+B236)</f>
        <v>2184.4080180154</v>
      </c>
      <c r="D236" s="10" t="n">
        <v>-0.01568664</v>
      </c>
      <c r="E236" s="5" t="n">
        <f aca="false">E235*(1+D236)</f>
        <v>2255.65972846767</v>
      </c>
      <c r="F236" s="4" t="n">
        <f aca="false">D236*Varsayımlar!$B$3</f>
        <v>-0.0196083</v>
      </c>
      <c r="G236" s="5" t="n">
        <f aca="false">G235*(1+F236)</f>
        <v>2300.05487856548</v>
      </c>
    </row>
    <row r="237" customFormat="false" ht="15" hidden="false" customHeight="false" outlineLevel="0" collapsed="false">
      <c r="A237" s="3" t="n">
        <v>44997</v>
      </c>
      <c r="B237" s="10" t="n">
        <v>0.02626998</v>
      </c>
      <c r="C237" s="5" t="n">
        <f aca="false">C236*(1+B237)</f>
        <v>2241.7923729605</v>
      </c>
      <c r="D237" s="10" t="n">
        <v>0.02906674</v>
      </c>
      <c r="E237" s="5" t="n">
        <f aca="false">E236*(1+D237)</f>
        <v>2321.22440332351</v>
      </c>
      <c r="F237" s="4" t="n">
        <f aca="false">D237*Varsayımlar!$B$3</f>
        <v>0.036333425</v>
      </c>
      <c r="G237" s="5" t="n">
        <f aca="false">G236*(1+F237)</f>
        <v>2383.62374999172</v>
      </c>
    </row>
    <row r="238" customFormat="false" ht="15" hidden="false" customHeight="false" outlineLevel="0" collapsed="false">
      <c r="A238" s="3" t="n">
        <v>44998</v>
      </c>
      <c r="B238" s="10" t="n">
        <v>0.01630194</v>
      </c>
      <c r="C238" s="5" t="n">
        <f aca="false">C237*(1+B238)</f>
        <v>2278.33793771696</v>
      </c>
      <c r="D238" s="10" t="n">
        <v>0.01402501</v>
      </c>
      <c r="E238" s="5" t="n">
        <f aca="false">E237*(1+D238)</f>
        <v>2353.77959879237</v>
      </c>
      <c r="F238" s="4" t="n">
        <f aca="false">D238*Varsayımlar!$B$3</f>
        <v>0.0175312625</v>
      </c>
      <c r="G238" s="5" t="n">
        <f aca="false">G237*(1+F238)</f>
        <v>2425.41168365406</v>
      </c>
    </row>
    <row r="239" customFormat="false" ht="15" hidden="false" customHeight="false" outlineLevel="0" collapsed="false">
      <c r="A239" s="3" t="n">
        <v>44999</v>
      </c>
      <c r="B239" s="10" t="n">
        <v>0.01733616</v>
      </c>
      <c r="C239" s="5" t="n">
        <f aca="false">C238*(1+B239)</f>
        <v>2317.83556873929</v>
      </c>
      <c r="D239" s="10" t="n">
        <v>0.02097843</v>
      </c>
      <c r="E239" s="5" t="n">
        <f aca="false">E238*(1+D239)</f>
        <v>2403.15819934106</v>
      </c>
      <c r="F239" s="4" t="n">
        <f aca="false">D239*Varsayımlar!$B$3</f>
        <v>0.0262230375</v>
      </c>
      <c r="G239" s="5" t="n">
        <f aca="false">G238*(1+F239)</f>
        <v>2489.01334518746</v>
      </c>
    </row>
    <row r="240" customFormat="false" ht="15" hidden="false" customHeight="false" outlineLevel="0" collapsed="false">
      <c r="A240" s="3" t="n">
        <v>45000</v>
      </c>
      <c r="B240" s="10" t="n">
        <v>0.00713821</v>
      </c>
      <c r="C240" s="5" t="n">
        <f aca="false">C239*(1+B240)</f>
        <v>2334.38076577442</v>
      </c>
      <c r="D240" s="10" t="n">
        <v>0.01031913</v>
      </c>
      <c r="E240" s="5" t="n">
        <f aca="false">E239*(1+D240)</f>
        <v>2427.95670121063</v>
      </c>
      <c r="F240" s="4" t="n">
        <f aca="false">D240*Varsayımlar!$B$3</f>
        <v>0.0128989125</v>
      </c>
      <c r="G240" s="5" t="n">
        <f aca="false">G239*(1+F240)</f>
        <v>2521.11891053837</v>
      </c>
    </row>
    <row r="241" customFormat="false" ht="15" hidden="false" customHeight="false" outlineLevel="0" collapsed="false">
      <c r="A241" s="3" t="n">
        <v>45001</v>
      </c>
      <c r="B241" s="10" t="n">
        <v>-0.008063</v>
      </c>
      <c r="C241" s="5" t="n">
        <f aca="false">C240*(1+B241)</f>
        <v>2315.55865365998</v>
      </c>
      <c r="D241" s="10" t="n">
        <v>-0.00556712</v>
      </c>
      <c r="E241" s="5" t="n">
        <f aca="false">E240*(1+D241)</f>
        <v>2414.43997490019</v>
      </c>
      <c r="F241" s="4" t="n">
        <f aca="false">D241*Varsayımlar!$B$3</f>
        <v>-0.0069589</v>
      </c>
      <c r="G241" s="5" t="n">
        <f aca="false">G240*(1+F241)</f>
        <v>2503.57469615182</v>
      </c>
    </row>
    <row r="242" customFormat="false" ht="15" hidden="false" customHeight="false" outlineLevel="0" collapsed="false">
      <c r="A242" s="3" t="n">
        <v>45002</v>
      </c>
      <c r="B242" s="10" t="n">
        <v>0.014162</v>
      </c>
      <c r="C242" s="5" t="n">
        <f aca="false">C241*(1+B242)</f>
        <v>2348.35159531312</v>
      </c>
      <c r="D242" s="10" t="n">
        <v>0.02269281</v>
      </c>
      <c r="E242" s="5" t="n">
        <f aca="false">E241*(1+D242)</f>
        <v>2469.230402507</v>
      </c>
      <c r="F242" s="4" t="n">
        <f aca="false">D242*Varsayımlar!$B$3</f>
        <v>0.0283660125</v>
      </c>
      <c r="G242" s="5" t="n">
        <f aca="false">G241*(1+F242)</f>
        <v>2574.59112727755</v>
      </c>
    </row>
    <row r="243" customFormat="false" ht="15" hidden="false" customHeight="false" outlineLevel="0" collapsed="false">
      <c r="A243" s="3" t="n">
        <v>45003</v>
      </c>
      <c r="B243" s="10" t="n">
        <v>0.0192557</v>
      </c>
      <c r="C243" s="5" t="n">
        <f aca="false">C242*(1+B243)</f>
        <v>2393.57074912699</v>
      </c>
      <c r="D243" s="10" t="n">
        <v>0.02142841</v>
      </c>
      <c r="E243" s="5" t="n">
        <f aca="false">E242*(1+D243)</f>
        <v>2522.14208395639</v>
      </c>
      <c r="F243" s="4" t="n">
        <f aca="false">D243*Varsayımlar!$B$3</f>
        <v>0.0267855125</v>
      </c>
      <c r="G243" s="5" t="n">
        <f aca="false">G242*(1+F243)</f>
        <v>2643.55287009963</v>
      </c>
    </row>
    <row r="244" customFormat="false" ht="15" hidden="false" customHeight="false" outlineLevel="0" collapsed="false">
      <c r="A244" s="3" t="n">
        <v>45004</v>
      </c>
      <c r="B244" s="10" t="n">
        <v>-0.0030617</v>
      </c>
      <c r="C244" s="5" t="n">
        <f aca="false">C243*(1+B244)</f>
        <v>2386.24235356439</v>
      </c>
      <c r="D244" s="10" t="n">
        <v>-0.00581718</v>
      </c>
      <c r="E244" s="5" t="n">
        <f aca="false">E243*(1+D244)</f>
        <v>2507.47032946844</v>
      </c>
      <c r="F244" s="4" t="n">
        <f aca="false">D244*Varsayımlar!$B$3</f>
        <v>-0.007271475</v>
      </c>
      <c r="G244" s="5" t="n">
        <f aca="false">G243*(1+F244)</f>
        <v>2624.33034149352</v>
      </c>
    </row>
    <row r="245" customFormat="false" ht="15" hidden="false" customHeight="false" outlineLevel="0" collapsed="false">
      <c r="A245" s="3" t="n">
        <v>45005</v>
      </c>
      <c r="B245" s="10" t="n">
        <v>0.01122886</v>
      </c>
      <c r="C245" s="5" t="n">
        <f aca="false">C244*(1+B245)</f>
        <v>2413.03713487863</v>
      </c>
      <c r="D245" s="10" t="n">
        <v>0.00540301</v>
      </c>
      <c r="E245" s="5" t="n">
        <f aca="false">E244*(1+D245)</f>
        <v>2521.01821673326</v>
      </c>
      <c r="F245" s="4" t="n">
        <f aca="false">D245*Varsayımlar!$B$3</f>
        <v>0.0067537625</v>
      </c>
      <c r="G245" s="5" t="n">
        <f aca="false">G244*(1+F245)</f>
        <v>2642.05444534151</v>
      </c>
    </row>
    <row r="246" customFormat="false" ht="15" hidden="false" customHeight="false" outlineLevel="0" collapsed="false">
      <c r="A246" s="3" t="n">
        <v>45006</v>
      </c>
      <c r="B246" s="10" t="n">
        <v>-0.03341685</v>
      </c>
      <c r="C246" s="5" t="n">
        <f aca="false">C245*(1+B246)</f>
        <v>2332.40103489796</v>
      </c>
      <c r="D246" s="10" t="n">
        <v>-0.0337768</v>
      </c>
      <c r="E246" s="5" t="n">
        <f aca="false">E245*(1+D246)</f>
        <v>2435.8662886303</v>
      </c>
      <c r="F246" s="4" t="n">
        <f aca="false">D246*Varsayımlar!$B$3</f>
        <v>-0.042221</v>
      </c>
      <c r="G246" s="5" t="n">
        <f aca="false">G245*(1+F246)</f>
        <v>2530.50426460475</v>
      </c>
    </row>
    <row r="247" customFormat="false" ht="15" hidden="false" customHeight="false" outlineLevel="0" collapsed="false">
      <c r="A247" s="3" t="n">
        <v>45007</v>
      </c>
      <c r="B247" s="10" t="n">
        <v>0.00823626</v>
      </c>
      <c r="C247" s="5" t="n">
        <f aca="false">C246*(1+B247)</f>
        <v>2351.61129624565</v>
      </c>
      <c r="D247" s="10" t="n">
        <v>0.00700857</v>
      </c>
      <c r="E247" s="5" t="n">
        <f aca="false">E246*(1+D247)</f>
        <v>2452.93822802481</v>
      </c>
      <c r="F247" s="4" t="n">
        <f aca="false">D247*Varsayımlar!$B$3</f>
        <v>0.0087607125</v>
      </c>
      <c r="G247" s="5" t="n">
        <f aca="false">G246*(1+F247)</f>
        <v>2552.67328494698</v>
      </c>
    </row>
    <row r="248" customFormat="false" ht="15" hidden="false" customHeight="false" outlineLevel="0" collapsed="false">
      <c r="A248" s="3" t="n">
        <v>45008</v>
      </c>
      <c r="B248" s="10" t="n">
        <v>0.01023172</v>
      </c>
      <c r="C248" s="5" t="n">
        <f aca="false">C247*(1+B248)</f>
        <v>2375.67232457767</v>
      </c>
      <c r="D248" s="10" t="n">
        <v>0.01298826</v>
      </c>
      <c r="E248" s="5" t="n">
        <f aca="false">E247*(1+D248)</f>
        <v>2484.79762749433</v>
      </c>
      <c r="F248" s="4" t="n">
        <f aca="false">D248*Varsayımlar!$B$3</f>
        <v>0.016235325</v>
      </c>
      <c r="G248" s="5" t="n">
        <f aca="false">G247*(1+F248)</f>
        <v>2594.11676534691</v>
      </c>
    </row>
    <row r="249" customFormat="false" ht="15" hidden="false" customHeight="false" outlineLevel="0" collapsed="false">
      <c r="A249" s="3" t="n">
        <v>45009</v>
      </c>
      <c r="B249" s="10" t="n">
        <v>0.00694921</v>
      </c>
      <c r="C249" s="5" t="n">
        <f aca="false">C248*(1+B249)</f>
        <v>2392.18137045235</v>
      </c>
      <c r="D249" s="10" t="n">
        <v>0.00688068</v>
      </c>
      <c r="E249" s="5" t="n">
        <f aca="false">E248*(1+D249)</f>
        <v>2501.89472483388</v>
      </c>
      <c r="F249" s="4" t="n">
        <f aca="false">D249*Varsayımlar!$B$3</f>
        <v>0.00860085</v>
      </c>
      <c r="G249" s="5" t="n">
        <f aca="false">G248*(1+F249)</f>
        <v>2616.42837452814</v>
      </c>
    </row>
    <row r="250" customFormat="false" ht="15" hidden="false" customHeight="false" outlineLevel="0" collapsed="false">
      <c r="A250" s="3" t="n">
        <v>45010</v>
      </c>
      <c r="B250" s="10" t="n">
        <v>-0.01965723</v>
      </c>
      <c r="C250" s="5" t="n">
        <f aca="false">C249*(1+B250)</f>
        <v>2345.15771105165</v>
      </c>
      <c r="D250" s="10" t="n">
        <v>-0.0223236</v>
      </c>
      <c r="E250" s="5" t="n">
        <f aca="false">E249*(1+D250)</f>
        <v>2446.04342775458</v>
      </c>
      <c r="F250" s="4" t="n">
        <f aca="false">D250*Varsayımlar!$B$3</f>
        <v>-0.0279045</v>
      </c>
      <c r="G250" s="5" t="n">
        <f aca="false">G249*(1+F250)</f>
        <v>2543.41824895112</v>
      </c>
    </row>
    <row r="251" customFormat="false" ht="15" hidden="false" customHeight="false" outlineLevel="0" collapsed="false">
      <c r="A251" s="3" t="n">
        <v>45011</v>
      </c>
      <c r="B251" s="10" t="n">
        <v>0.00822757</v>
      </c>
      <c r="C251" s="5" t="n">
        <f aca="false">C250*(1+B251)</f>
        <v>2364.45266028037</v>
      </c>
      <c r="D251" s="10" t="n">
        <v>0.01305093</v>
      </c>
      <c r="E251" s="5" t="n">
        <f aca="false">E250*(1+D251)</f>
        <v>2477.96656930716</v>
      </c>
      <c r="F251" s="4" t="n">
        <f aca="false">D251*Varsayımlar!$B$3</f>
        <v>0.0163136625</v>
      </c>
      <c r="G251" s="5" t="n">
        <f aca="false">G250*(1+F251)</f>
        <v>2584.91071586085</v>
      </c>
    </row>
    <row r="252" customFormat="false" ht="15" hidden="false" customHeight="false" outlineLevel="0" collapsed="false">
      <c r="A252" s="3" t="n">
        <v>45012</v>
      </c>
      <c r="B252" s="10" t="n">
        <v>-0.01417277</v>
      </c>
      <c r="C252" s="5" t="n">
        <f aca="false">C251*(1+B252)</f>
        <v>2330.94181655033</v>
      </c>
      <c r="D252" s="10" t="n">
        <v>-0.01984093</v>
      </c>
      <c r="E252" s="5" t="n">
        <f aca="false">E251*(1+D252)</f>
        <v>2428.8014080632</v>
      </c>
      <c r="F252" s="4" t="n">
        <f aca="false">D252*Varsayımlar!$B$3</f>
        <v>-0.0248011625</v>
      </c>
      <c r="G252" s="5" t="n">
        <f aca="false">G251*(1+F252)</f>
        <v>2520.8019251488</v>
      </c>
    </row>
    <row r="253" customFormat="false" ht="15" hidden="false" customHeight="false" outlineLevel="0" collapsed="false">
      <c r="A253" s="3" t="n">
        <v>45013</v>
      </c>
      <c r="B253" s="10" t="n">
        <v>0.01017943</v>
      </c>
      <c r="C253" s="5" t="n">
        <f aca="false">C252*(1+B253)</f>
        <v>2354.66947560598</v>
      </c>
      <c r="D253" s="10" t="n">
        <v>0.01528274</v>
      </c>
      <c r="E253" s="5" t="n">
        <f aca="false">E252*(1+D253)</f>
        <v>2465.92014849426</v>
      </c>
      <c r="F253" s="4" t="n">
        <f aca="false">D253*Varsayımlar!$B$3</f>
        <v>0.019103425</v>
      </c>
      <c r="G253" s="5" t="n">
        <f aca="false">G252*(1+F253)</f>
        <v>2568.95787566573</v>
      </c>
    </row>
    <row r="254" customFormat="false" ht="15" hidden="false" customHeight="false" outlineLevel="0" collapsed="false">
      <c r="A254" s="3" t="n">
        <v>45014</v>
      </c>
      <c r="B254" s="10" t="n">
        <v>0.00013884</v>
      </c>
      <c r="C254" s="5" t="n">
        <f aca="false">C253*(1+B254)</f>
        <v>2354.99639791597</v>
      </c>
      <c r="D254" s="10" t="n">
        <v>0.00587012</v>
      </c>
      <c r="E254" s="5" t="n">
        <f aca="false">E253*(1+D254)</f>
        <v>2480.39539567634</v>
      </c>
      <c r="F254" s="4" t="n">
        <f aca="false">D254*Varsayımlar!$B$3</f>
        <v>0.00733765</v>
      </c>
      <c r="G254" s="5" t="n">
        <f aca="false">G253*(1+F254)</f>
        <v>2587.80798942211</v>
      </c>
    </row>
    <row r="255" customFormat="false" ht="15" hidden="false" customHeight="false" outlineLevel="0" collapsed="false">
      <c r="A255" s="3" t="n">
        <v>45015</v>
      </c>
      <c r="B255" s="10" t="n">
        <v>-0.00210426</v>
      </c>
      <c r="C255" s="5" t="n">
        <f aca="false">C254*(1+B255)</f>
        <v>2350.04087319569</v>
      </c>
      <c r="D255" s="10" t="n">
        <v>0.00208819</v>
      </c>
      <c r="E255" s="5" t="n">
        <f aca="false">E254*(1+D255)</f>
        <v>2485.57493253764</v>
      </c>
      <c r="F255" s="4" t="n">
        <f aca="false">D255*Varsayımlar!$B$3</f>
        <v>0.0026102375</v>
      </c>
      <c r="G255" s="5" t="n">
        <f aca="false">G254*(1+F255)</f>
        <v>2594.5627828789</v>
      </c>
    </row>
    <row r="256" customFormat="false" ht="15" hidden="false" customHeight="false" outlineLevel="0" collapsed="false">
      <c r="A256" s="3" t="n">
        <v>45016</v>
      </c>
      <c r="B256" s="10" t="n">
        <v>-0.00042541</v>
      </c>
      <c r="C256" s="5" t="n">
        <f aca="false">C255*(1+B256)</f>
        <v>2349.04114230783</v>
      </c>
      <c r="D256" s="10" t="n">
        <v>0.0109209</v>
      </c>
      <c r="E256" s="5" t="n">
        <f aca="false">E255*(1+D256)</f>
        <v>2512.71964781839</v>
      </c>
      <c r="F256" s="4" t="n">
        <f aca="false">D256*Varsayımlar!$B$3</f>
        <v>0.013651125</v>
      </c>
      <c r="G256" s="5" t="n">
        <f aca="false">G255*(1+F256)</f>
        <v>2629.98148374833</v>
      </c>
    </row>
    <row r="257" customFormat="false" ht="15" hidden="false" customHeight="false" outlineLevel="0" collapsed="false">
      <c r="A257" s="3" t="n">
        <v>45017</v>
      </c>
      <c r="B257" s="10" t="n">
        <v>-0.00768953</v>
      </c>
      <c r="C257" s="5" t="n">
        <f aca="false">C256*(1+B257)</f>
        <v>2330.97811997282</v>
      </c>
      <c r="D257" s="10" t="n">
        <v>0.00461752</v>
      </c>
      <c r="E257" s="5" t="n">
        <f aca="false">E256*(1+D257)</f>
        <v>2524.32218104658</v>
      </c>
      <c r="F257" s="4" t="n">
        <f aca="false">D257*Varsayımlar!$B$3</f>
        <v>0.0057719</v>
      </c>
      <c r="G257" s="5" t="n">
        <f aca="false">G256*(1+F257)</f>
        <v>2645.16147387437</v>
      </c>
    </row>
    <row r="258" customFormat="false" ht="15" hidden="false" customHeight="false" outlineLevel="0" collapsed="false">
      <c r="A258" s="3" t="n">
        <v>45018</v>
      </c>
      <c r="B258" s="10" t="n">
        <v>0.00250979</v>
      </c>
      <c r="C258" s="5" t="n">
        <f aca="false">C257*(1+B258)</f>
        <v>2336.82838554854</v>
      </c>
      <c r="D258" s="10" t="n">
        <v>0.00410467</v>
      </c>
      <c r="E258" s="5" t="n">
        <f aca="false">E257*(1+D258)</f>
        <v>2534.68369057346</v>
      </c>
      <c r="F258" s="4" t="n">
        <f aca="false">D258*Varsayımlar!$B$3</f>
        <v>0.0051308375</v>
      </c>
      <c r="G258" s="5" t="n">
        <f aca="false">G257*(1+F258)</f>
        <v>2658.73336755808</v>
      </c>
    </row>
    <row r="259" customFormat="false" ht="15" hidden="false" customHeight="false" outlineLevel="0" collapsed="false">
      <c r="A259" s="3" t="n">
        <v>45019</v>
      </c>
      <c r="B259" s="10" t="n">
        <v>0.0245996</v>
      </c>
      <c r="C259" s="5" t="n">
        <f aca="false">C258*(1+B259)</f>
        <v>2394.31342910168</v>
      </c>
      <c r="D259" s="10" t="n">
        <v>0.04591365</v>
      </c>
      <c r="E259" s="5" t="n">
        <f aca="false">E258*(1+D259)</f>
        <v>2651.06027040316</v>
      </c>
      <c r="F259" s="4" t="n">
        <f aca="false">D259*Varsayımlar!$B$3</f>
        <v>0.0573920625</v>
      </c>
      <c r="G259" s="5" t="n">
        <f aca="false">G258*(1+F259)</f>
        <v>2811.32355915981</v>
      </c>
    </row>
    <row r="260" customFormat="false" ht="15" hidden="false" customHeight="false" outlineLevel="0" collapsed="false">
      <c r="A260" s="3" t="n">
        <v>45020</v>
      </c>
      <c r="B260" s="10" t="n">
        <v>0.01238571</v>
      </c>
      <c r="C260" s="5" t="n">
        <f aca="false">C259*(1+B260)</f>
        <v>2423.96870088364</v>
      </c>
      <c r="D260" s="10" t="n">
        <v>0.00355592</v>
      </c>
      <c r="E260" s="5" t="n">
        <f aca="false">E259*(1+D260)</f>
        <v>2660.48722863989</v>
      </c>
      <c r="F260" s="4" t="n">
        <f aca="false">D260*Varsayımlar!$B$3</f>
        <v>0.0044449</v>
      </c>
      <c r="G260" s="5" t="n">
        <f aca="false">G259*(1+F260)</f>
        <v>2823.81961124792</v>
      </c>
    </row>
    <row r="261" customFormat="false" ht="15" hidden="false" customHeight="false" outlineLevel="0" collapsed="false">
      <c r="A261" s="3" t="n">
        <v>45021</v>
      </c>
      <c r="B261" s="10" t="n">
        <v>-0.00885868</v>
      </c>
      <c r="C261" s="5" t="n">
        <f aca="false">C260*(1+B261)</f>
        <v>2402.4955378325</v>
      </c>
      <c r="D261" s="10" t="n">
        <v>-0.00907756</v>
      </c>
      <c r="E261" s="5" t="n">
        <f aca="false">E260*(1+D261)</f>
        <v>2636.33649619268</v>
      </c>
      <c r="F261" s="4" t="n">
        <f aca="false">D261*Varsayımlar!$B$3</f>
        <v>-0.01134695</v>
      </c>
      <c r="G261" s="5" t="n">
        <f aca="false">G260*(1+F261)</f>
        <v>2791.77787131007</v>
      </c>
    </row>
    <row r="262" customFormat="false" ht="15" hidden="false" customHeight="false" outlineLevel="0" collapsed="false">
      <c r="A262" s="3" t="n">
        <v>45022</v>
      </c>
      <c r="B262" s="10" t="n">
        <v>0.00175721</v>
      </c>
      <c r="C262" s="5" t="n">
        <f aca="false">C261*(1+B262)</f>
        <v>2406.71722701653</v>
      </c>
      <c r="D262" s="10" t="n">
        <v>-0.00222366</v>
      </c>
      <c r="E262" s="5" t="n">
        <f aca="false">E261*(1+D262)</f>
        <v>2630.47418017956</v>
      </c>
      <c r="F262" s="4" t="n">
        <f aca="false">D262*Varsayımlar!$B$3</f>
        <v>-0.002779575</v>
      </c>
      <c r="G262" s="5" t="n">
        <f aca="false">G261*(1+F262)</f>
        <v>2784.01791533343</v>
      </c>
    </row>
    <row r="263" customFormat="false" ht="15" hidden="false" customHeight="false" outlineLevel="0" collapsed="false">
      <c r="A263" s="3" t="n">
        <v>45023</v>
      </c>
      <c r="B263" s="10" t="n">
        <v>-0.00864213</v>
      </c>
      <c r="C263" s="5" t="n">
        <f aca="false">C262*(1+B263)</f>
        <v>2385.91806386742</v>
      </c>
      <c r="D263" s="10" t="n">
        <v>-0.00970168</v>
      </c>
      <c r="E263" s="5" t="n">
        <f aca="false">E262*(1+D263)</f>
        <v>2604.95416143519</v>
      </c>
      <c r="F263" s="4" t="n">
        <f aca="false">D263*Varsayımlar!$B$3</f>
        <v>-0.0121271</v>
      </c>
      <c r="G263" s="5" t="n">
        <f aca="false">G262*(1+F263)</f>
        <v>2750.25585167239</v>
      </c>
    </row>
    <row r="264" customFormat="false" ht="15" hidden="false" customHeight="false" outlineLevel="0" collapsed="false">
      <c r="A264" s="3" t="n">
        <v>45024</v>
      </c>
      <c r="B264" s="10" t="n">
        <v>-0.01646084</v>
      </c>
      <c r="C264" s="5" t="n">
        <f aca="false">C263*(1+B264)</f>
        <v>2346.64384836498</v>
      </c>
      <c r="D264" s="10" t="n">
        <v>-0.02024781</v>
      </c>
      <c r="E264" s="5" t="n">
        <f aca="false">E263*(1+D264)</f>
        <v>2552.20954451574</v>
      </c>
      <c r="F264" s="4" t="n">
        <f aca="false">D264*Varsayımlar!$B$3</f>
        <v>-0.0253097625</v>
      </c>
      <c r="G264" s="5" t="n">
        <f aca="false">G263*(1+F264)</f>
        <v>2680.64752925232</v>
      </c>
    </row>
    <row r="265" customFormat="false" ht="15" hidden="false" customHeight="false" outlineLevel="0" collapsed="false">
      <c r="A265" s="3" t="n">
        <v>45025</v>
      </c>
      <c r="B265" s="10" t="n">
        <v>-0.00146588</v>
      </c>
      <c r="C265" s="5" t="n">
        <f aca="false">C264*(1+B265)</f>
        <v>2343.20395008054</v>
      </c>
      <c r="D265" s="10" t="n">
        <v>0.00026032</v>
      </c>
      <c r="E265" s="5" t="n">
        <f aca="false">E264*(1+D265)</f>
        <v>2552.87393570437</v>
      </c>
      <c r="F265" s="4" t="n">
        <f aca="false">D265*Varsayımlar!$B$3</f>
        <v>0.0003254</v>
      </c>
      <c r="G265" s="5" t="n">
        <f aca="false">G264*(1+F265)</f>
        <v>2681.51981195834</v>
      </c>
    </row>
    <row r="266" customFormat="false" ht="15" hidden="false" customHeight="false" outlineLevel="0" collapsed="false">
      <c r="A266" s="3" t="n">
        <v>45026</v>
      </c>
      <c r="B266" s="10" t="n">
        <v>-0.00023464</v>
      </c>
      <c r="C266" s="5" t="n">
        <f aca="false">C265*(1+B266)</f>
        <v>2342.6541407057</v>
      </c>
      <c r="D266" s="10" t="n">
        <v>0.00187898</v>
      </c>
      <c r="E266" s="5" t="n">
        <f aca="false">E265*(1+D266)</f>
        <v>2557.67073477208</v>
      </c>
      <c r="F266" s="4" t="n">
        <f aca="false">D266*Varsayımlar!$B$3</f>
        <v>0.002348725</v>
      </c>
      <c r="G266" s="5" t="n">
        <f aca="false">G265*(1+F266)</f>
        <v>2687.81796457868</v>
      </c>
    </row>
    <row r="267" customFormat="false" ht="15" hidden="false" customHeight="false" outlineLevel="0" collapsed="false">
      <c r="A267" s="3" t="n">
        <v>45027</v>
      </c>
      <c r="B267" s="10" t="n">
        <v>-0.00136773</v>
      </c>
      <c r="C267" s="5" t="n">
        <f aca="false">C266*(1+B267)</f>
        <v>2339.45002235783</v>
      </c>
      <c r="D267" s="10" t="n">
        <v>0.00536668</v>
      </c>
      <c r="E267" s="5" t="n">
        <f aca="false">E266*(1+D267)</f>
        <v>2571.39693515097</v>
      </c>
      <c r="F267" s="4" t="n">
        <f aca="false">D267*Varsayımlar!$B$3</f>
        <v>0.00670835</v>
      </c>
      <c r="G267" s="5" t="n">
        <f aca="false">G266*(1+F267)</f>
        <v>2705.84878822136</v>
      </c>
    </row>
    <row r="268" customFormat="false" ht="15" hidden="false" customHeight="false" outlineLevel="0" collapsed="false">
      <c r="A268" s="3" t="n">
        <v>45028</v>
      </c>
      <c r="B268" s="10" t="n">
        <v>-0.00732274</v>
      </c>
      <c r="C268" s="5" t="n">
        <f aca="false">C267*(1+B268)</f>
        <v>2322.31883810111</v>
      </c>
      <c r="D268" s="10" t="n">
        <v>-0.00711064</v>
      </c>
      <c r="E268" s="5" t="n">
        <f aca="false">E267*(1+D268)</f>
        <v>2553.11265724801</v>
      </c>
      <c r="F268" s="4" t="n">
        <f aca="false">D268*Varsayımlar!$B$3</f>
        <v>-0.0088883</v>
      </c>
      <c r="G268" s="5" t="n">
        <f aca="false">G267*(1+F268)</f>
        <v>2681.79839243702</v>
      </c>
    </row>
    <row r="269" customFormat="false" ht="15" hidden="false" customHeight="false" outlineLevel="0" collapsed="false">
      <c r="A269" s="3" t="n">
        <v>45029</v>
      </c>
      <c r="B269" s="10" t="n">
        <v>-0.00632913</v>
      </c>
      <c r="C269" s="5" t="n">
        <f aca="false">C268*(1+B269)</f>
        <v>2307.62058027332</v>
      </c>
      <c r="D269" s="10" t="n">
        <v>-0.0028181</v>
      </c>
      <c r="E269" s="5" t="n">
        <f aca="false">E268*(1+D269)</f>
        <v>2545.91773046861</v>
      </c>
      <c r="F269" s="4" t="n">
        <f aca="false">D269*Varsayımlar!$B$3</f>
        <v>-0.003522625</v>
      </c>
      <c r="G269" s="5" t="n">
        <f aca="false">G268*(1+F269)</f>
        <v>2672.35142237486</v>
      </c>
    </row>
    <row r="270" customFormat="false" ht="15" hidden="false" customHeight="false" outlineLevel="0" collapsed="false">
      <c r="A270" s="3" t="n">
        <v>45030</v>
      </c>
      <c r="B270" s="10" t="n">
        <v>0.02933972</v>
      </c>
      <c r="C270" s="5" t="n">
        <f aca="false">C269*(1+B270)</f>
        <v>2375.32552196477</v>
      </c>
      <c r="D270" s="10" t="n">
        <v>0.03318056</v>
      </c>
      <c r="E270" s="5" t="n">
        <f aca="false">E269*(1+D270)</f>
        <v>2630.39270647949</v>
      </c>
      <c r="F270" s="4" t="n">
        <f aca="false">D270*Varsayımlar!$B$3</f>
        <v>0.0414757</v>
      </c>
      <c r="G270" s="5" t="n">
        <f aca="false">G269*(1+F270)</f>
        <v>2783.18906826385</v>
      </c>
    </row>
    <row r="271" customFormat="false" ht="15" hidden="false" customHeight="false" outlineLevel="0" collapsed="false">
      <c r="A271" s="3" t="n">
        <v>45031</v>
      </c>
      <c r="B271" s="10" t="n">
        <v>0.00470654</v>
      </c>
      <c r="C271" s="5" t="n">
        <f aca="false">C270*(1+B271)</f>
        <v>2386.50508654692</v>
      </c>
      <c r="D271" s="10" t="n">
        <v>0.00345765</v>
      </c>
      <c r="E271" s="5" t="n">
        <f aca="false">E270*(1+D271)</f>
        <v>2639.48768382105</v>
      </c>
      <c r="F271" s="4" t="n">
        <f aca="false">D271*Varsayımlar!$B$3</f>
        <v>0.0043220625</v>
      </c>
      <c r="G271" s="5" t="n">
        <f aca="false">G270*(1+F271)</f>
        <v>2795.2181853662</v>
      </c>
    </row>
    <row r="272" customFormat="false" ht="15" hidden="false" customHeight="false" outlineLevel="0" collapsed="false">
      <c r="A272" s="3" t="n">
        <v>45032</v>
      </c>
      <c r="B272" s="10" t="n">
        <v>0.00871083</v>
      </c>
      <c r="C272" s="5" t="n">
        <f aca="false">C271*(1+B272)</f>
        <v>2407.29352664997</v>
      </c>
      <c r="D272" s="10" t="n">
        <v>0.011302</v>
      </c>
      <c r="E272" s="5" t="n">
        <f aca="false">E271*(1+D272)</f>
        <v>2669.3191736236</v>
      </c>
      <c r="F272" s="4" t="n">
        <f aca="false">D272*Varsayımlar!$B$3</f>
        <v>0.0141275</v>
      </c>
      <c r="G272" s="5" t="n">
        <f aca="false">G271*(1+F272)</f>
        <v>2834.70763027996</v>
      </c>
    </row>
    <row r="273" customFormat="false" ht="15" hidden="false" customHeight="false" outlineLevel="0" collapsed="false">
      <c r="A273" s="3" t="n">
        <v>45033</v>
      </c>
      <c r="B273" s="10" t="n">
        <v>-0.00580878</v>
      </c>
      <c r="C273" s="5" t="n">
        <f aca="false">C272*(1+B273)</f>
        <v>2393.31008815823</v>
      </c>
      <c r="D273" s="10" t="n">
        <v>-0.00233059</v>
      </c>
      <c r="E273" s="5" t="n">
        <f aca="false">E272*(1+D273)</f>
        <v>2663.09808505074</v>
      </c>
      <c r="F273" s="4" t="n">
        <f aca="false">D273*Varsayımlar!$B$3</f>
        <v>-0.0029132375</v>
      </c>
      <c r="G273" s="5" t="n">
        <f aca="false">G272*(1+F273)</f>
        <v>2826.4494537099</v>
      </c>
    </row>
    <row r="274" customFormat="false" ht="15" hidden="false" customHeight="false" outlineLevel="0" collapsed="false">
      <c r="A274" s="3" t="n">
        <v>45034</v>
      </c>
      <c r="B274" s="10" t="n">
        <v>-0.00738383</v>
      </c>
      <c r="C274" s="5" t="n">
        <f aca="false">C273*(1+B274)</f>
        <v>2375.63829332999</v>
      </c>
      <c r="D274" s="10" t="n">
        <v>-0.00479275</v>
      </c>
      <c r="E274" s="5" t="n">
        <f aca="false">E273*(1+D274)</f>
        <v>2650.33452170361</v>
      </c>
      <c r="F274" s="4" t="n">
        <f aca="false">D274*Varsayımlar!$B$3</f>
        <v>-0.0059909375</v>
      </c>
      <c r="G274" s="5" t="n">
        <f aca="false">G273*(1+F274)</f>
        <v>2809.51637168581</v>
      </c>
    </row>
    <row r="275" customFormat="false" ht="15" hidden="false" customHeight="false" outlineLevel="0" collapsed="false">
      <c r="A275" s="3" t="n">
        <v>45035</v>
      </c>
      <c r="B275" s="10" t="n">
        <v>0.01306866</v>
      </c>
      <c r="C275" s="5" t="n">
        <f aca="false">C274*(1+B275)</f>
        <v>2406.6847024685</v>
      </c>
      <c r="D275" s="10" t="n">
        <v>0.01540118</v>
      </c>
      <c r="E275" s="5" t="n">
        <f aca="false">E274*(1+D275)</f>
        <v>2691.15280073258</v>
      </c>
      <c r="F275" s="4" t="n">
        <f aca="false">D275*Varsayımlar!$B$3</f>
        <v>0.019251475</v>
      </c>
      <c r="G275" s="5" t="n">
        <f aca="false">G274*(1+F275)</f>
        <v>2863.60370587741</v>
      </c>
    </row>
    <row r="276" customFormat="false" ht="15" hidden="false" customHeight="false" outlineLevel="0" collapsed="false">
      <c r="A276" s="3" t="n">
        <v>45036</v>
      </c>
      <c r="B276" s="10" t="n">
        <v>-0.00468511</v>
      </c>
      <c r="C276" s="5" t="n">
        <f aca="false">C275*(1+B276)</f>
        <v>2395.40911990212</v>
      </c>
      <c r="D276" s="10" t="n">
        <v>-0.00387384</v>
      </c>
      <c r="E276" s="5" t="n">
        <f aca="false">E275*(1+D276)</f>
        <v>2680.72770536699</v>
      </c>
      <c r="F276" s="4" t="n">
        <f aca="false">D276*Varsayımlar!$B$3</f>
        <v>-0.0048423</v>
      </c>
      <c r="G276" s="5" t="n">
        <f aca="false">G275*(1+F276)</f>
        <v>2849.73727765244</v>
      </c>
    </row>
    <row r="277" customFormat="false" ht="15" hidden="false" customHeight="false" outlineLevel="0" collapsed="false">
      <c r="A277" s="3" t="n">
        <v>45037</v>
      </c>
      <c r="B277" s="10" t="n">
        <v>0.00248537</v>
      </c>
      <c r="C277" s="5" t="n">
        <f aca="false">C276*(1+B277)</f>
        <v>2401.36259786645</v>
      </c>
      <c r="D277" s="10" t="n">
        <v>-0.00319767</v>
      </c>
      <c r="E277" s="5" t="n">
        <f aca="false">E276*(1+D277)</f>
        <v>2672.15562280537</v>
      </c>
      <c r="F277" s="4" t="n">
        <f aca="false">D277*Varsayımlar!$B$3</f>
        <v>-0.0039970875</v>
      </c>
      <c r="G277" s="5" t="n">
        <f aca="false">G276*(1+F277)</f>
        <v>2838.34662840165</v>
      </c>
    </row>
    <row r="278" customFormat="false" ht="15" hidden="false" customHeight="false" outlineLevel="0" collapsed="false">
      <c r="A278" s="3" t="n">
        <v>45038</v>
      </c>
      <c r="B278" s="10" t="n">
        <v>0.01608381</v>
      </c>
      <c r="C278" s="5" t="n">
        <f aca="false">C277*(1+B278)</f>
        <v>2439.98565763164</v>
      </c>
      <c r="D278" s="10" t="n">
        <v>0.01803829</v>
      </c>
      <c r="E278" s="5" t="n">
        <f aca="false">E277*(1+D278)</f>
        <v>2720.35674085467</v>
      </c>
      <c r="F278" s="4" t="n">
        <f aca="false">D278*Varsayımlar!$B$3</f>
        <v>0.0225478625</v>
      </c>
      <c r="G278" s="5" t="n">
        <f aca="false">G277*(1+F278)</f>
        <v>2902.34527790619</v>
      </c>
    </row>
    <row r="279" customFormat="false" ht="15" hidden="false" customHeight="false" outlineLevel="0" collapsed="false">
      <c r="A279" s="3" t="n">
        <v>45039</v>
      </c>
      <c r="B279" s="10" t="n">
        <v>-0.01322865</v>
      </c>
      <c r="C279" s="5" t="n">
        <f aca="false">C278*(1+B279)</f>
        <v>2407.70794136181</v>
      </c>
      <c r="D279" s="10" t="n">
        <v>-0.01397359</v>
      </c>
      <c r="E279" s="5" t="n">
        <f aca="false">E278*(1+D279)</f>
        <v>2682.34359110423</v>
      </c>
      <c r="F279" s="4" t="n">
        <f aca="false">D279*Varsayımlar!$B$3</f>
        <v>-0.0174669875</v>
      </c>
      <c r="G279" s="5" t="n">
        <f aca="false">G278*(1+F279)</f>
        <v>2851.65004921632</v>
      </c>
    </row>
    <row r="280" customFormat="false" ht="15" hidden="false" customHeight="false" outlineLevel="0" collapsed="false">
      <c r="A280" s="3" t="n">
        <v>45040</v>
      </c>
      <c r="B280" s="10" t="n">
        <v>-0.00530828</v>
      </c>
      <c r="C280" s="5" t="n">
        <f aca="false">C279*(1+B280)</f>
        <v>2394.92715345084</v>
      </c>
      <c r="D280" s="10" t="n">
        <v>-0.00390749</v>
      </c>
      <c r="E280" s="5" t="n">
        <f aca="false">E279*(1+D280)</f>
        <v>2671.86236034542</v>
      </c>
      <c r="F280" s="4" t="n">
        <f aca="false">D280*Varsayımlar!$B$3</f>
        <v>-0.0048843625</v>
      </c>
      <c r="G280" s="5" t="n">
        <f aca="false">G279*(1+F280)</f>
        <v>2837.72155665281</v>
      </c>
    </row>
    <row r="281" customFormat="false" ht="15" hidden="false" customHeight="false" outlineLevel="0" collapsed="false">
      <c r="A281" s="3" t="n">
        <v>45041</v>
      </c>
      <c r="B281" s="10" t="n">
        <v>0.01371791</v>
      </c>
      <c r="C281" s="5" t="n">
        <f aca="false">C280*(1+B281)</f>
        <v>2427.78054859843</v>
      </c>
      <c r="D281" s="10" t="n">
        <v>0.0134399</v>
      </c>
      <c r="E281" s="5" t="n">
        <f aca="false">E280*(1+D281)</f>
        <v>2707.77192328223</v>
      </c>
      <c r="F281" s="4" t="n">
        <f aca="false">D281*Varsayımlar!$B$3</f>
        <v>0.016799875</v>
      </c>
      <c r="G281" s="5" t="n">
        <f aca="false">G280*(1+F281)</f>
        <v>2885.39492408938</v>
      </c>
    </row>
    <row r="282" customFormat="false" ht="15" hidden="false" customHeight="false" outlineLevel="0" collapsed="false">
      <c r="A282" s="3" t="n">
        <v>45042</v>
      </c>
      <c r="B282" s="10" t="n">
        <v>0.00675285</v>
      </c>
      <c r="C282" s="5" t="n">
        <f aca="false">C281*(1+B282)</f>
        <v>2444.17498647604</v>
      </c>
      <c r="D282" s="10" t="n">
        <v>0.01482913</v>
      </c>
      <c r="E282" s="5" t="n">
        <f aca="false">E281*(1+D282)</f>
        <v>2747.92582514293</v>
      </c>
      <c r="F282" s="4" t="n">
        <f aca="false">D282*Varsayımlar!$B$3</f>
        <v>0.0185364125</v>
      </c>
      <c r="G282" s="5" t="n">
        <f aca="false">G281*(1+F282)</f>
        <v>2938.87979462771</v>
      </c>
    </row>
    <row r="283" customFormat="false" ht="15" hidden="false" customHeight="false" outlineLevel="0" collapsed="false">
      <c r="A283" s="3" t="n">
        <v>45043</v>
      </c>
      <c r="B283" s="10" t="n">
        <v>0.00554354</v>
      </c>
      <c r="C283" s="5" t="n">
        <f aca="false">C282*(1+B283)</f>
        <v>2457.72436828057</v>
      </c>
      <c r="D283" s="10" t="n">
        <v>0.00632713</v>
      </c>
      <c r="E283" s="5" t="n">
        <f aca="false">E282*(1+D283)</f>
        <v>2765.31230906897</v>
      </c>
      <c r="F283" s="4" t="n">
        <f aca="false">D283*Varsayımlar!$B$3</f>
        <v>0.0079089125</v>
      </c>
      <c r="G283" s="5" t="n">
        <f aca="false">G282*(1+F283)</f>
        <v>2962.12313777143</v>
      </c>
    </row>
    <row r="284" customFormat="false" ht="15" hidden="false" customHeight="false" outlineLevel="0" collapsed="false">
      <c r="A284" s="3" t="n">
        <v>45044</v>
      </c>
      <c r="B284" s="10" t="n">
        <v>-0.01280881</v>
      </c>
      <c r="C284" s="5" t="n">
        <f aca="false">C283*(1+B284)</f>
        <v>2426.24384381489</v>
      </c>
      <c r="D284" s="10" t="n">
        <v>-0.01341174</v>
      </c>
      <c r="E284" s="5" t="n">
        <f aca="false">E283*(1+D284)</f>
        <v>2728.22465936094</v>
      </c>
      <c r="F284" s="4" t="n">
        <f aca="false">D284*Varsayımlar!$B$3</f>
        <v>-0.016764675</v>
      </c>
      <c r="G284" s="5" t="n">
        <f aca="false">G283*(1+F284)</f>
        <v>2912.46410605672</v>
      </c>
    </row>
    <row r="285" customFormat="false" ht="15" hidden="false" customHeight="false" outlineLevel="0" collapsed="false">
      <c r="A285" s="3" t="n">
        <v>45045</v>
      </c>
      <c r="B285" s="10" t="n">
        <v>-0.00463315</v>
      </c>
      <c r="C285" s="5" t="n">
        <f aca="false">C284*(1+B285)</f>
        <v>2415.00269214992</v>
      </c>
      <c r="D285" s="10" t="n">
        <v>-0.00157536</v>
      </c>
      <c r="E285" s="5" t="n">
        <f aca="false">E284*(1+D285)</f>
        <v>2723.92672336157</v>
      </c>
      <c r="F285" s="4" t="n">
        <f aca="false">D285*Varsayımlar!$B$3</f>
        <v>-0.0019692</v>
      </c>
      <c r="G285" s="5" t="n">
        <f aca="false">G284*(1+F285)</f>
        <v>2906.72888173907</v>
      </c>
    </row>
    <row r="286" customFormat="false" ht="15" hidden="false" customHeight="false" outlineLevel="0" collapsed="false">
      <c r="A286" s="3" t="n">
        <v>45046</v>
      </c>
      <c r="B286" s="10" t="n">
        <v>-0.00253791</v>
      </c>
      <c r="C286" s="5" t="n">
        <f aca="false">C285*(1+B286)</f>
        <v>2408.87363266749</v>
      </c>
      <c r="D286" s="10" t="n">
        <v>-0.00277785</v>
      </c>
      <c r="E286" s="5" t="n">
        <f aca="false">E285*(1+D286)</f>
        <v>2716.36006351308</v>
      </c>
      <c r="F286" s="4" t="n">
        <f aca="false">D286*Varsayımlar!$B$3</f>
        <v>-0.0034723125</v>
      </c>
      <c r="G286" s="5" t="n">
        <f aca="false">G285*(1+F286)</f>
        <v>2896.63581070889</v>
      </c>
    </row>
    <row r="287" customFormat="false" ht="15" hidden="false" customHeight="false" outlineLevel="0" collapsed="false">
      <c r="A287" s="3" t="n">
        <v>45047</v>
      </c>
      <c r="B287" s="10" t="n">
        <v>0.00550052</v>
      </c>
      <c r="C287" s="5" t="n">
        <f aca="false">C286*(1+B287)</f>
        <v>2422.12369026145</v>
      </c>
      <c r="D287" s="10" t="n">
        <v>0.00221972</v>
      </c>
      <c r="E287" s="5" t="n">
        <f aca="false">E286*(1+D287)</f>
        <v>2722.38962227326</v>
      </c>
      <c r="F287" s="4" t="n">
        <f aca="false">D287*Varsayımlar!$B$3</f>
        <v>0.00277465</v>
      </c>
      <c r="G287" s="5" t="n">
        <f aca="false">G286*(1+F287)</f>
        <v>2904.67296126108</v>
      </c>
    </row>
    <row r="288" customFormat="false" ht="15" hidden="false" customHeight="false" outlineLevel="0" collapsed="false">
      <c r="A288" s="3" t="n">
        <v>45048</v>
      </c>
      <c r="B288" s="10" t="n">
        <v>-0.00368201</v>
      </c>
      <c r="C288" s="5" t="n">
        <f aca="false">C287*(1+B288)</f>
        <v>2413.20540661267</v>
      </c>
      <c r="D288" s="10" t="n">
        <v>-0.00855286</v>
      </c>
      <c r="E288" s="5" t="n">
        <f aca="false">E287*(1+D288)</f>
        <v>2699.1054049685</v>
      </c>
      <c r="F288" s="4" t="n">
        <f aca="false">D288*Varsayımlar!$B$3</f>
        <v>-0.010691075</v>
      </c>
      <c r="G288" s="5" t="n">
        <f aca="false">G287*(1+F288)</f>
        <v>2873.61888478176</v>
      </c>
    </row>
    <row r="289" customFormat="false" ht="15" hidden="false" customHeight="false" outlineLevel="0" collapsed="false">
      <c r="A289" s="3" t="n">
        <v>45049</v>
      </c>
      <c r="B289" s="10" t="n">
        <v>0.00028473</v>
      </c>
      <c r="C289" s="5" t="n">
        <f aca="false">C288*(1+B289)</f>
        <v>2413.89251858809</v>
      </c>
      <c r="D289" s="10" t="n">
        <v>0.0046256</v>
      </c>
      <c r="E289" s="5" t="n">
        <f aca="false">E288*(1+D289)</f>
        <v>2711.59038692972</v>
      </c>
      <c r="F289" s="4" t="n">
        <f aca="false">D289*Varsayımlar!$B$3</f>
        <v>0.005782</v>
      </c>
      <c r="G289" s="5" t="n">
        <f aca="false">G288*(1+F289)</f>
        <v>2890.23414917357</v>
      </c>
    </row>
    <row r="290" customFormat="false" ht="15" hidden="false" customHeight="false" outlineLevel="0" collapsed="false">
      <c r="A290" s="3" t="n">
        <v>45050</v>
      </c>
      <c r="B290" s="10" t="n">
        <v>-0.00712441</v>
      </c>
      <c r="C290" s="5" t="n">
        <f aca="false">C289*(1+B290)</f>
        <v>2396.69495858974</v>
      </c>
      <c r="D290" s="10" t="n">
        <v>-0.00608811</v>
      </c>
      <c r="E290" s="5" t="n">
        <f aca="false">E289*(1+D290)</f>
        <v>2695.08192637915</v>
      </c>
      <c r="F290" s="4" t="n">
        <f aca="false">D290*Varsayımlar!$B$3</f>
        <v>-0.0076101375</v>
      </c>
      <c r="G290" s="5" t="n">
        <f aca="false">G289*(1+F290)</f>
        <v>2868.23906989117</v>
      </c>
    </row>
    <row r="291" customFormat="false" ht="15" hidden="false" customHeight="false" outlineLevel="0" collapsed="false">
      <c r="A291" s="3" t="n">
        <v>45051</v>
      </c>
      <c r="B291" s="10" t="n">
        <v>0.00945653</v>
      </c>
      <c r="C291" s="5" t="n">
        <f aca="false">C290*(1+B291)</f>
        <v>2419.35937636649</v>
      </c>
      <c r="D291" s="10" t="n">
        <v>0.00659415</v>
      </c>
      <c r="E291" s="5" t="n">
        <f aca="false">E290*(1+D291)</f>
        <v>2712.85370086399</v>
      </c>
      <c r="F291" s="4" t="n">
        <f aca="false">D291*Varsayımlar!$B$3</f>
        <v>0.0082426875</v>
      </c>
      <c r="G291" s="5" t="n">
        <f aca="false">G290*(1+F291)</f>
        <v>2891.88106821957</v>
      </c>
    </row>
    <row r="292" customFormat="false" ht="15" hidden="false" customHeight="false" outlineLevel="0" collapsed="false">
      <c r="A292" s="3" t="n">
        <v>45052</v>
      </c>
      <c r="B292" s="10" t="n">
        <v>0.00328253</v>
      </c>
      <c r="C292" s="5" t="n">
        <f aca="false">C291*(1+B292)</f>
        <v>2427.30099610019</v>
      </c>
      <c r="D292" s="10" t="n">
        <v>0.00755083</v>
      </c>
      <c r="E292" s="5" t="n">
        <f aca="false">E291*(1+D292)</f>
        <v>2733.33799797408</v>
      </c>
      <c r="F292" s="4" t="n">
        <f aca="false">D292*Varsayımlar!$B$3</f>
        <v>0.0094385375</v>
      </c>
      <c r="G292" s="5" t="n">
        <f aca="false">G291*(1+F292)</f>
        <v>2919.1761961275</v>
      </c>
    </row>
    <row r="293" customFormat="false" ht="15" hidden="false" customHeight="false" outlineLevel="0" collapsed="false">
      <c r="A293" s="3" t="n">
        <v>45053</v>
      </c>
      <c r="B293" s="10" t="n">
        <v>0.00505694</v>
      </c>
      <c r="C293" s="5" t="n">
        <f aca="false">C292*(1+B293)</f>
        <v>2439.57571159941</v>
      </c>
      <c r="D293" s="10" t="n">
        <v>0.00700245</v>
      </c>
      <c r="E293" s="5" t="n">
        <f aca="false">E292*(1+D293)</f>
        <v>2752.47806063799</v>
      </c>
      <c r="F293" s="4" t="n">
        <f aca="false">D293*Varsayımlar!$B$3</f>
        <v>0.0087530625</v>
      </c>
      <c r="G293" s="5" t="n">
        <f aca="false">G292*(1+F293)</f>
        <v>2944.72792782072</v>
      </c>
    </row>
    <row r="294" customFormat="false" ht="15" hidden="false" customHeight="false" outlineLevel="0" collapsed="false">
      <c r="A294" s="3" t="n">
        <v>45054</v>
      </c>
      <c r="B294" s="10" t="n">
        <v>0.00022595</v>
      </c>
      <c r="C294" s="5" t="n">
        <f aca="false">C293*(1+B294)</f>
        <v>2440.12693373145</v>
      </c>
      <c r="D294" s="10" t="n">
        <v>0.00935993</v>
      </c>
      <c r="E294" s="5" t="n">
        <f aca="false">E293*(1+D294)</f>
        <v>2778.2410626121</v>
      </c>
      <c r="F294" s="4" t="n">
        <f aca="false">D294*Varsayımlar!$B$3</f>
        <v>0.0116999125</v>
      </c>
      <c r="G294" s="5" t="n">
        <f aca="false">G293*(1+F294)</f>
        <v>2979.18098691252</v>
      </c>
    </row>
    <row r="295" customFormat="false" ht="15" hidden="false" customHeight="false" outlineLevel="0" collapsed="false">
      <c r="A295" s="3" t="n">
        <v>45055</v>
      </c>
      <c r="B295" s="10" t="n">
        <v>-0.01392058</v>
      </c>
      <c r="C295" s="5" t="n">
        <f aca="false">C294*(1+B295)</f>
        <v>2406.15895154028</v>
      </c>
      <c r="D295" s="10" t="n">
        <v>-0.01494688</v>
      </c>
      <c r="E295" s="5" t="n">
        <f aca="false">E294*(1+D295)</f>
        <v>2736.71502683817</v>
      </c>
      <c r="F295" s="4" t="n">
        <f aca="false">D295*Varsayımlar!$B$3</f>
        <v>-0.0186836</v>
      </c>
      <c r="G295" s="5" t="n">
        <f aca="false">G294*(1+F295)</f>
        <v>2923.51916102545</v>
      </c>
    </row>
    <row r="296" customFormat="false" ht="15" hidden="false" customHeight="false" outlineLevel="0" collapsed="false">
      <c r="A296" s="3" t="n">
        <v>45056</v>
      </c>
      <c r="B296" s="10" t="n">
        <v>0.01247247</v>
      </c>
      <c r="C296" s="5" t="n">
        <f aca="false">C295*(1+B296)</f>
        <v>2436.1696968786</v>
      </c>
      <c r="D296" s="10" t="n">
        <v>0.00393163</v>
      </c>
      <c r="E296" s="5" t="n">
        <f aca="false">E295*(1+D296)</f>
        <v>2747.47477773913</v>
      </c>
      <c r="F296" s="4" t="n">
        <f aca="false">D296*Varsayımlar!$B$3</f>
        <v>0.0049145375</v>
      </c>
      <c r="G296" s="5" t="n">
        <f aca="false">G295*(1+F296)</f>
        <v>2937.88690557427</v>
      </c>
    </row>
    <row r="297" customFormat="false" ht="15" hidden="false" customHeight="false" outlineLevel="0" collapsed="false">
      <c r="A297" s="3" t="n">
        <v>45057</v>
      </c>
      <c r="B297" s="10" t="n">
        <v>-0.0110987</v>
      </c>
      <c r="C297" s="5" t="n">
        <f aca="false">C296*(1+B297)</f>
        <v>2409.13138026386</v>
      </c>
      <c r="D297" s="10" t="n">
        <v>-0.00883718</v>
      </c>
      <c r="E297" s="5" t="n">
        <f aca="false">E296*(1+D297)</f>
        <v>2723.19484858279</v>
      </c>
      <c r="F297" s="4" t="n">
        <f aca="false">D297*Varsayımlar!$B$3</f>
        <v>-0.011046475</v>
      </c>
      <c r="G297" s="5" t="n">
        <f aca="false">G296*(1+F297)</f>
        <v>2905.43361131902</v>
      </c>
    </row>
    <row r="298" customFormat="false" ht="15" hidden="false" customHeight="false" outlineLevel="0" collapsed="false">
      <c r="A298" s="3" t="n">
        <v>45058</v>
      </c>
      <c r="B298" s="10" t="n">
        <v>0.01575699</v>
      </c>
      <c r="C298" s="5" t="n">
        <f aca="false">C297*(1+B298)</f>
        <v>2447.09203933136</v>
      </c>
      <c r="D298" s="10" t="n">
        <v>0.01746044</v>
      </c>
      <c r="E298" s="5" t="n">
        <f aca="false">E297*(1+D298)</f>
        <v>2770.74302884478</v>
      </c>
      <c r="F298" s="4" t="n">
        <f aca="false">D298*Varsayımlar!$B$3</f>
        <v>0.02182555</v>
      </c>
      <c r="G298" s="5" t="n">
        <f aca="false">G297*(1+F298)</f>
        <v>2968.84629787454</v>
      </c>
    </row>
    <row r="299" customFormat="false" ht="15" hidden="false" customHeight="false" outlineLevel="0" collapsed="false">
      <c r="A299" s="3" t="n">
        <v>45059</v>
      </c>
      <c r="B299" s="10" t="n">
        <v>0.00194504</v>
      </c>
      <c r="C299" s="5" t="n">
        <f aca="false">C298*(1+B299)</f>
        <v>2451.85173123154</v>
      </c>
      <c r="D299" s="10" t="n">
        <v>0.00227184</v>
      </c>
      <c r="E299" s="5" t="n">
        <f aca="false">E298*(1+D299)</f>
        <v>2777.03771368743</v>
      </c>
      <c r="F299" s="4" t="n">
        <f aca="false">D299*Varsayımlar!$B$3</f>
        <v>0.0028398</v>
      </c>
      <c r="G299" s="5" t="n">
        <f aca="false">G298*(1+F299)</f>
        <v>2977.27722759125</v>
      </c>
    </row>
    <row r="300" customFormat="false" ht="15" hidden="false" customHeight="false" outlineLevel="0" collapsed="false">
      <c r="A300" s="3" t="n">
        <v>45060</v>
      </c>
      <c r="B300" s="10" t="n">
        <v>0.00156154</v>
      </c>
      <c r="C300" s="5" t="n">
        <f aca="false">C299*(1+B300)</f>
        <v>2455.68039578393</v>
      </c>
      <c r="D300" s="10" t="n">
        <v>0.00079197</v>
      </c>
      <c r="E300" s="5" t="n">
        <f aca="false">E299*(1+D300)</f>
        <v>2779.23704424554</v>
      </c>
      <c r="F300" s="4" t="n">
        <f aca="false">D300*Varsayımlar!$B$3</f>
        <v>0.0009899625</v>
      </c>
      <c r="G300" s="5" t="n">
        <f aca="false">G299*(1+F300)</f>
        <v>2980.22462039867</v>
      </c>
    </row>
    <row r="301" customFormat="false" ht="15" hidden="false" customHeight="false" outlineLevel="0" collapsed="false">
      <c r="A301" s="3" t="n">
        <v>45061</v>
      </c>
      <c r="B301" s="10" t="n">
        <v>0.00108484</v>
      </c>
      <c r="C301" s="5" t="n">
        <f aca="false">C300*(1+B301)</f>
        <v>2458.34441610449</v>
      </c>
      <c r="D301" s="10" t="n">
        <v>-0.00126367</v>
      </c>
      <c r="E301" s="5" t="n">
        <f aca="false">E300*(1+D301)</f>
        <v>2775.72500576984</v>
      </c>
      <c r="F301" s="4" t="n">
        <f aca="false">D301*Varsayımlar!$B$3</f>
        <v>-0.0015795875</v>
      </c>
      <c r="G301" s="5" t="n">
        <f aca="false">G300*(1+F301)</f>
        <v>2975.51709484109</v>
      </c>
    </row>
    <row r="302" customFormat="false" ht="15" hidden="false" customHeight="false" outlineLevel="0" collapsed="false">
      <c r="A302" s="3" t="n">
        <v>45062</v>
      </c>
      <c r="B302" s="10" t="n">
        <v>-0.0107565</v>
      </c>
      <c r="C302" s="5" t="n">
        <f aca="false">C301*(1+B302)</f>
        <v>2431.90123439266</v>
      </c>
      <c r="D302" s="10" t="n">
        <v>-0.01285777</v>
      </c>
      <c r="E302" s="5" t="n">
        <f aca="false">E301*(1+D302)</f>
        <v>2740.0353720624</v>
      </c>
      <c r="F302" s="4" t="n">
        <f aca="false">D302*Varsayımlar!$B$3</f>
        <v>-0.0160722125</v>
      </c>
      <c r="G302" s="5" t="n">
        <f aca="false">G301*(1+F302)</f>
        <v>2927.69395179542</v>
      </c>
    </row>
    <row r="303" customFormat="false" ht="15" hidden="false" customHeight="false" outlineLevel="0" collapsed="false">
      <c r="A303" s="3" t="n">
        <v>45063</v>
      </c>
      <c r="B303" s="10" t="n">
        <v>0.0207294</v>
      </c>
      <c r="C303" s="5" t="n">
        <f aca="false">C302*(1+B303)</f>
        <v>2482.31308784088</v>
      </c>
      <c r="D303" s="10" t="n">
        <v>0.0188916</v>
      </c>
      <c r="E303" s="5" t="n">
        <f aca="false">E302*(1+D303)</f>
        <v>2791.79902429726</v>
      </c>
      <c r="F303" s="4" t="n">
        <f aca="false">D303*Varsayımlar!$B$3</f>
        <v>0.0236145</v>
      </c>
      <c r="G303" s="5" t="n">
        <f aca="false">G302*(1+F303)</f>
        <v>2996.8299806201</v>
      </c>
    </row>
    <row r="304" customFormat="false" ht="15" hidden="false" customHeight="false" outlineLevel="0" collapsed="false">
      <c r="A304" s="3" t="n">
        <v>45064</v>
      </c>
      <c r="B304" s="10" t="n">
        <v>0.00548352</v>
      </c>
      <c r="C304" s="5" t="n">
        <f aca="false">C303*(1+B304)</f>
        <v>2495.92490130432</v>
      </c>
      <c r="D304" s="10" t="n">
        <v>0.0044821</v>
      </c>
      <c r="E304" s="5" t="n">
        <f aca="false">E303*(1+D304)</f>
        <v>2804.31214670406</v>
      </c>
      <c r="F304" s="4" t="n">
        <f aca="false">D304*Varsayımlar!$B$3</f>
        <v>0.005602625</v>
      </c>
      <c r="G304" s="5" t="n">
        <f aca="false">G303*(1+F304)</f>
        <v>3013.62009519027</v>
      </c>
    </row>
    <row r="305" customFormat="false" ht="15" hidden="false" customHeight="false" outlineLevel="0" collapsed="false">
      <c r="A305" s="3" t="n">
        <v>45065</v>
      </c>
      <c r="B305" s="10" t="n">
        <v>0.0071601</v>
      </c>
      <c r="C305" s="5" t="n">
        <f aca="false">C304*(1+B305)</f>
        <v>2513.79597319015</v>
      </c>
      <c r="D305" s="10" t="n">
        <v>0.00708501</v>
      </c>
      <c r="E305" s="5" t="n">
        <f aca="false">E304*(1+D305)</f>
        <v>2824.18072630658</v>
      </c>
      <c r="F305" s="4" t="n">
        <f aca="false">D305*Varsayımlar!$B$3</f>
        <v>0.0088562625</v>
      </c>
      <c r="G305" s="5" t="n">
        <f aca="false">G304*(1+F305)</f>
        <v>3040.30950582855</v>
      </c>
    </row>
    <row r="306" customFormat="false" ht="15" hidden="false" customHeight="false" outlineLevel="0" collapsed="false">
      <c r="A306" s="3" t="n">
        <v>45066</v>
      </c>
      <c r="B306" s="10" t="n">
        <v>0.0093637</v>
      </c>
      <c r="C306" s="5" t="n">
        <f aca="false">C305*(1+B306)</f>
        <v>2537.33440454431</v>
      </c>
      <c r="D306" s="10" t="n">
        <v>0.00637366</v>
      </c>
      <c r="E306" s="5" t="n">
        <f aca="false">E305*(1+D306)</f>
        <v>2842.18109403461</v>
      </c>
      <c r="F306" s="4" t="n">
        <f aca="false">D306*Varsayımlar!$B$3</f>
        <v>0.007967075</v>
      </c>
      <c r="G306" s="5" t="n">
        <f aca="false">G305*(1+F306)</f>
        <v>3064.5318796847</v>
      </c>
    </row>
    <row r="307" customFormat="false" ht="15" hidden="false" customHeight="false" outlineLevel="0" collapsed="false">
      <c r="A307" s="3" t="n">
        <v>45067</v>
      </c>
      <c r="B307" s="10" t="n">
        <v>0.01248714</v>
      </c>
      <c r="C307" s="5" t="n">
        <f aca="false">C306*(1+B307)</f>
        <v>2569.01845448067</v>
      </c>
      <c r="D307" s="10" t="n">
        <v>0.01330005</v>
      </c>
      <c r="E307" s="5" t="n">
        <f aca="false">E306*(1+D307)</f>
        <v>2879.98224469433</v>
      </c>
      <c r="F307" s="4" t="n">
        <f aca="false">D307*Varsayımlar!$B$3</f>
        <v>0.0166250625</v>
      </c>
      <c r="G307" s="5" t="n">
        <f aca="false">G306*(1+F307)</f>
        <v>3115.4799137177</v>
      </c>
    </row>
    <row r="308" customFormat="false" ht="15" hidden="false" customHeight="false" outlineLevel="0" collapsed="false">
      <c r="A308" s="3" t="n">
        <v>45068</v>
      </c>
      <c r="B308" s="10" t="n">
        <v>0.0146058</v>
      </c>
      <c r="C308" s="5" t="n">
        <f aca="false">C307*(1+B308)</f>
        <v>2606.54102422312</v>
      </c>
      <c r="D308" s="10" t="n">
        <v>0.00968156</v>
      </c>
      <c r="E308" s="5" t="n">
        <f aca="false">E307*(1+D308)</f>
        <v>2907.86496559527</v>
      </c>
      <c r="F308" s="4" t="n">
        <f aca="false">D308*Varsayımlar!$B$3</f>
        <v>0.01210195</v>
      </c>
      <c r="G308" s="5" t="n">
        <f aca="false">G307*(1+F308)</f>
        <v>3153.18329585952</v>
      </c>
    </row>
    <row r="309" customFormat="false" ht="15" hidden="false" customHeight="false" outlineLevel="0" collapsed="false">
      <c r="A309" s="3" t="n">
        <v>45069</v>
      </c>
      <c r="B309" s="10" t="n">
        <v>0.05224745</v>
      </c>
      <c r="C309" s="5" t="n">
        <f aca="false">C308*(1+B309)</f>
        <v>2742.72614605917</v>
      </c>
      <c r="D309" s="10" t="n">
        <v>0.03207454</v>
      </c>
      <c r="E309" s="5" t="n">
        <f aca="false">E308*(1+D309)</f>
        <v>3001.13339674885</v>
      </c>
      <c r="F309" s="4" t="n">
        <f aca="false">D309*Varsayımlar!$B$3</f>
        <v>0.040093175</v>
      </c>
      <c r="G309" s="5" t="n">
        <f aca="false">G308*(1+F309)</f>
        <v>3279.60442554749</v>
      </c>
    </row>
    <row r="310" customFormat="false" ht="15" hidden="false" customHeight="false" outlineLevel="0" collapsed="false">
      <c r="A310" s="3" t="n">
        <v>45070</v>
      </c>
      <c r="B310" s="10" t="n">
        <v>0.02915718</v>
      </c>
      <c r="C310" s="5" t="n">
        <f aca="false">C309*(1+B310)</f>
        <v>2822.69630599052</v>
      </c>
      <c r="D310" s="10" t="n">
        <v>0.04361536</v>
      </c>
      <c r="E310" s="5" t="n">
        <f aca="false">E309*(1+D310)</f>
        <v>3132.02891025608</v>
      </c>
      <c r="F310" s="4" t="n">
        <f aca="false">D310*Varsayımlar!$B$3</f>
        <v>0.0545192</v>
      </c>
      <c r="G310" s="5" t="n">
        <f aca="false">G309*(1+F310)</f>
        <v>3458.4058351448</v>
      </c>
    </row>
    <row r="311" customFormat="false" ht="15" hidden="false" customHeight="false" outlineLevel="0" collapsed="false">
      <c r="A311" s="3" t="n">
        <v>45071</v>
      </c>
      <c r="B311" s="10" t="n">
        <v>-0.00331126</v>
      </c>
      <c r="C311" s="5" t="n">
        <f aca="false">C310*(1+B311)</f>
        <v>2813.34962462035</v>
      </c>
      <c r="D311" s="10" t="n">
        <v>-0.00572774</v>
      </c>
      <c r="E311" s="5" t="n">
        <f aca="false">E310*(1+D311)</f>
        <v>3114.08946298565</v>
      </c>
      <c r="F311" s="4" t="n">
        <f aca="false">D311*Varsayımlar!$B$3</f>
        <v>-0.007159675</v>
      </c>
      <c r="G311" s="5" t="n">
        <f aca="false">G310*(1+F311)</f>
        <v>3433.64477334706</v>
      </c>
    </row>
    <row r="312" customFormat="false" ht="15" hidden="false" customHeight="false" outlineLevel="0" collapsed="false">
      <c r="A312" s="3" t="n">
        <v>45072</v>
      </c>
      <c r="B312" s="10" t="n">
        <v>-0.0059789</v>
      </c>
      <c r="C312" s="5" t="n">
        <f aca="false">C311*(1+B312)</f>
        <v>2796.52888854971</v>
      </c>
      <c r="D312" s="10" t="n">
        <v>-0.01037598</v>
      </c>
      <c r="E312" s="5" t="n">
        <f aca="false">E311*(1+D312)</f>
        <v>3081.7777329995</v>
      </c>
      <c r="F312" s="4" t="n">
        <f aca="false">D312*Varsayımlar!$B$3</f>
        <v>-0.012969975</v>
      </c>
      <c r="G312" s="5" t="n">
        <f aca="false">G311*(1+F312)</f>
        <v>3389.11048647786</v>
      </c>
    </row>
    <row r="313" customFormat="false" ht="15" hidden="false" customHeight="false" outlineLevel="0" collapsed="false">
      <c r="A313" s="3" t="n">
        <v>45073</v>
      </c>
      <c r="B313" s="10" t="n">
        <v>-0.01615231</v>
      </c>
      <c r="C313" s="5" t="n">
        <f aca="false">C312*(1+B313)</f>
        <v>2751.3584870179</v>
      </c>
      <c r="D313" s="10" t="n">
        <v>-0.02033543</v>
      </c>
      <c r="E313" s="5" t="n">
        <f aca="false">E312*(1+D313)</f>
        <v>3019.10845763453</v>
      </c>
      <c r="F313" s="4" t="n">
        <f aca="false">D313*Varsayımlar!$B$3</f>
        <v>-0.0254192875</v>
      </c>
      <c r="G313" s="5" t="n">
        <f aca="false">G312*(1+F313)</f>
        <v>3302.96171265282</v>
      </c>
    </row>
    <row r="314" customFormat="false" ht="15" hidden="false" customHeight="false" outlineLevel="0" collapsed="false">
      <c r="A314" s="3" t="n">
        <v>45074</v>
      </c>
      <c r="B314" s="10" t="n">
        <v>0.03077775</v>
      </c>
      <c r="C314" s="5" t="n">
        <f aca="false">C313*(1+B314)</f>
        <v>2836.03911069171</v>
      </c>
      <c r="D314" s="10" t="n">
        <v>0.05418981</v>
      </c>
      <c r="E314" s="5" t="n">
        <f aca="false">E313*(1+D314)</f>
        <v>3182.71337132313</v>
      </c>
      <c r="F314" s="4" t="n">
        <f aca="false">D314*Varsayımlar!$B$3</f>
        <v>0.0677372625</v>
      </c>
      <c r="G314" s="5" t="n">
        <f aca="false">G313*(1+F314)</f>
        <v>3526.69529721023</v>
      </c>
    </row>
    <row r="315" customFormat="false" ht="15" hidden="false" customHeight="false" outlineLevel="0" collapsed="false">
      <c r="A315" s="3" t="n">
        <v>45075</v>
      </c>
      <c r="B315" s="10" t="n">
        <v>0.00023679</v>
      </c>
      <c r="C315" s="5" t="n">
        <f aca="false">C314*(1+B315)</f>
        <v>2836.71065639273</v>
      </c>
      <c r="D315" s="10" t="n">
        <v>-0.00164001</v>
      </c>
      <c r="E315" s="5" t="n">
        <f aca="false">E314*(1+D315)</f>
        <v>3177.49368956703</v>
      </c>
      <c r="F315" s="4" t="n">
        <f aca="false">D315*Varsayımlar!$B$3</f>
        <v>-0.0020500125</v>
      </c>
      <c r="G315" s="5" t="n">
        <f aca="false">G314*(1+F315)</f>
        <v>3519.46552776726</v>
      </c>
    </row>
    <row r="316" customFormat="false" ht="15" hidden="false" customHeight="false" outlineLevel="0" collapsed="false">
      <c r="A316" s="3" t="n">
        <v>45076</v>
      </c>
      <c r="B316" s="10" t="n">
        <v>0.01273906</v>
      </c>
      <c r="C316" s="5" t="n">
        <f aca="false">C315*(1+B316)</f>
        <v>2872.84768364716</v>
      </c>
      <c r="D316" s="10" t="n">
        <v>0.02189898</v>
      </c>
      <c r="E316" s="5" t="n">
        <f aca="false">E315*(1+D316)</f>
        <v>3247.07756032498</v>
      </c>
      <c r="F316" s="4" t="n">
        <f aca="false">D316*Varsayımlar!$B$3</f>
        <v>0.027373725</v>
      </c>
      <c r="G316" s="5" t="n">
        <f aca="false">G315*(1+F316)</f>
        <v>3615.80640927134</v>
      </c>
    </row>
    <row r="317" customFormat="false" ht="15" hidden="false" customHeight="false" outlineLevel="0" collapsed="false">
      <c r="A317" s="3" t="n">
        <v>45077</v>
      </c>
      <c r="B317" s="10" t="n">
        <v>0.0068019</v>
      </c>
      <c r="C317" s="5" t="n">
        <f aca="false">C316*(1+B317)</f>
        <v>2892.38850630656</v>
      </c>
      <c r="D317" s="10" t="n">
        <v>0.00690653</v>
      </c>
      <c r="E317" s="5" t="n">
        <f aca="false">E316*(1+D317)</f>
        <v>3269.5035989077</v>
      </c>
      <c r="F317" s="4" t="n">
        <f aca="false">D317*Varsayımlar!$B$3</f>
        <v>0.0086331625</v>
      </c>
      <c r="G317" s="5" t="n">
        <f aca="false">G316*(1+F317)</f>
        <v>3647.02225357112</v>
      </c>
    </row>
    <row r="318" customFormat="false" ht="15" hidden="false" customHeight="false" outlineLevel="0" collapsed="false">
      <c r="A318" s="3" t="n">
        <v>45078</v>
      </c>
      <c r="B318" s="10" t="n">
        <v>-0.00365532</v>
      </c>
      <c r="C318" s="5" t="n">
        <f aca="false">C317*(1+B318)</f>
        <v>2881.81590075168</v>
      </c>
      <c r="D318" s="10" t="n">
        <v>-0.00424954</v>
      </c>
      <c r="E318" s="5" t="n">
        <f aca="false">E317*(1+D318)</f>
        <v>3255.60971258399</v>
      </c>
      <c r="F318" s="4" t="n">
        <f aca="false">D318*Varsayımlar!$B$3</f>
        <v>-0.005311925</v>
      </c>
      <c r="G318" s="5" t="n">
        <f aca="false">G317*(1+F318)</f>
        <v>3627.64954488682</v>
      </c>
    </row>
    <row r="319" customFormat="false" ht="15" hidden="false" customHeight="false" outlineLevel="0" collapsed="false">
      <c r="A319" s="3" t="n">
        <v>45079</v>
      </c>
      <c r="B319" s="10" t="n">
        <v>-0.00550654</v>
      </c>
      <c r="C319" s="5" t="n">
        <f aca="false">C318*(1+B319)</f>
        <v>2865.94706622156</v>
      </c>
      <c r="D319" s="10" t="n">
        <v>-0.00423646</v>
      </c>
      <c r="E319" s="5" t="n">
        <f aca="false">E318*(1+D319)</f>
        <v>3241.81745226102</v>
      </c>
      <c r="F319" s="4" t="n">
        <f aca="false">D319*Varsayımlar!$B$3</f>
        <v>-0.005295575</v>
      </c>
      <c r="G319" s="5" t="n">
        <f aca="false">G318*(1+F319)</f>
        <v>3608.43905464816</v>
      </c>
    </row>
    <row r="320" customFormat="false" ht="15" hidden="false" customHeight="false" outlineLevel="0" collapsed="false">
      <c r="A320" s="3" t="n">
        <v>45080</v>
      </c>
      <c r="B320" s="10" t="n">
        <v>-0.01372747</v>
      </c>
      <c r="C320" s="5" t="n">
        <f aca="false">C319*(1+B320)</f>
        <v>2826.60486384841</v>
      </c>
      <c r="D320" s="10" t="n">
        <v>-0.01761483</v>
      </c>
      <c r="E320" s="5" t="n">
        <f aca="false">E319*(1+D320)</f>
        <v>3184.71338894841</v>
      </c>
      <c r="F320" s="4" t="n">
        <f aca="false">D320*Varsayımlar!$B$3</f>
        <v>-0.0220185375</v>
      </c>
      <c r="G320" s="5" t="n">
        <f aca="false">G319*(1+F320)</f>
        <v>3528.98650400692</v>
      </c>
    </row>
    <row r="321" customFormat="false" ht="15" hidden="false" customHeight="false" outlineLevel="0" collapsed="false">
      <c r="A321" s="3" t="n">
        <v>45081</v>
      </c>
      <c r="B321" s="10" t="n">
        <v>-0.00880066</v>
      </c>
      <c r="C321" s="5" t="n">
        <f aca="false">C320*(1+B321)</f>
        <v>2801.72887548734</v>
      </c>
      <c r="D321" s="10" t="n">
        <v>-0.00760611</v>
      </c>
      <c r="E321" s="5" t="n">
        <f aca="false">E320*(1+D321)</f>
        <v>3160.49010859359</v>
      </c>
      <c r="F321" s="4" t="n">
        <f aca="false">D321*Varsayımlar!$B$3</f>
        <v>-0.0095076375</v>
      </c>
      <c r="G321" s="5" t="n">
        <f aca="false">G320*(1+F321)</f>
        <v>3495.43417958443</v>
      </c>
    </row>
    <row r="322" customFormat="false" ht="15" hidden="false" customHeight="false" outlineLevel="0" collapsed="false">
      <c r="A322" s="3" t="n">
        <v>45082</v>
      </c>
      <c r="B322" s="10" t="n">
        <v>0.00488453</v>
      </c>
      <c r="C322" s="5" t="n">
        <f aca="false">C321*(1+B322)</f>
        <v>2815.41400423152</v>
      </c>
      <c r="D322" s="10" t="n">
        <v>-0.00301189</v>
      </c>
      <c r="E322" s="5" t="n">
        <f aca="false">E321*(1+D322)</f>
        <v>3150.97106004042</v>
      </c>
      <c r="F322" s="4" t="n">
        <f aca="false">D322*Varsayımlar!$B$3</f>
        <v>-0.0037648625</v>
      </c>
      <c r="G322" s="5" t="n">
        <f aca="false">G321*(1+F322)</f>
        <v>3482.2743505205</v>
      </c>
    </row>
    <row r="323" customFormat="false" ht="15" hidden="false" customHeight="false" outlineLevel="0" collapsed="false">
      <c r="A323" s="3" t="n">
        <v>45083</v>
      </c>
      <c r="B323" s="10" t="n">
        <v>-0.00038441</v>
      </c>
      <c r="C323" s="5" t="n">
        <f aca="false">C322*(1+B323)</f>
        <v>2814.33173093416</v>
      </c>
      <c r="D323" s="10" t="n">
        <v>0.00277945</v>
      </c>
      <c r="E323" s="5" t="n">
        <f aca="false">E322*(1+D323)</f>
        <v>3159.72902655325</v>
      </c>
      <c r="F323" s="4" t="n">
        <f aca="false">D323*Varsayımlar!$B$3</f>
        <v>0.0034743125</v>
      </c>
      <c r="G323" s="5" t="n">
        <f aca="false">G322*(1+F323)</f>
        <v>3494.37285982494</v>
      </c>
    </row>
    <row r="324" customFormat="false" ht="15" hidden="false" customHeight="false" outlineLevel="0" collapsed="false">
      <c r="A324" s="3" t="n">
        <v>45084</v>
      </c>
      <c r="B324" s="10" t="n">
        <v>0.00639218</v>
      </c>
      <c r="C324" s="5" t="n">
        <f aca="false">C323*(1+B324)</f>
        <v>2832.321445938</v>
      </c>
      <c r="D324" s="10" t="n">
        <v>-0.00253989</v>
      </c>
      <c r="E324" s="5" t="n">
        <f aca="false">E323*(1+D324)</f>
        <v>3151.703662396</v>
      </c>
      <c r="F324" s="4" t="n">
        <f aca="false">D324*Varsayımlar!$B$3</f>
        <v>-0.0031748625</v>
      </c>
      <c r="G324" s="5" t="n">
        <f aca="false">G323*(1+F324)</f>
        <v>3483.27870647126</v>
      </c>
    </row>
    <row r="325" customFormat="false" ht="15" hidden="false" customHeight="false" outlineLevel="0" collapsed="false">
      <c r="A325" s="3" t="n">
        <v>45085</v>
      </c>
      <c r="B325" s="10" t="n">
        <v>-0.00124821</v>
      </c>
      <c r="C325" s="5" t="n">
        <f aca="false">C324*(1+B325)</f>
        <v>2828.78611398596</v>
      </c>
      <c r="D325" s="10" t="n">
        <v>-0.0018432</v>
      </c>
      <c r="E325" s="5" t="n">
        <f aca="false">E324*(1+D325)</f>
        <v>3145.89444220547</v>
      </c>
      <c r="F325" s="4" t="n">
        <f aca="false">D325*Varsayımlar!$B$3</f>
        <v>-0.002304</v>
      </c>
      <c r="G325" s="5" t="n">
        <f aca="false">G324*(1+F325)</f>
        <v>3475.25323233155</v>
      </c>
    </row>
    <row r="326" customFormat="false" ht="15" hidden="false" customHeight="false" outlineLevel="0" collapsed="false">
      <c r="A326" s="3" t="n">
        <v>45086</v>
      </c>
      <c r="B326" s="10" t="n">
        <v>0.00621685</v>
      </c>
      <c r="C326" s="5" t="n">
        <f aca="false">C325*(1+B326)</f>
        <v>2846.3722529387</v>
      </c>
      <c r="D326" s="10" t="n">
        <v>0.00429915</v>
      </c>
      <c r="E326" s="5" t="n">
        <f aca="false">E325*(1+D326)</f>
        <v>3159.41911429668</v>
      </c>
      <c r="F326" s="4" t="n">
        <f aca="false">D326*Varsayımlar!$B$3</f>
        <v>0.0053739375</v>
      </c>
      <c r="G326" s="5" t="n">
        <f aca="false">G325*(1+F326)</f>
        <v>3493.92902599878</v>
      </c>
    </row>
    <row r="327" customFormat="false" ht="15" hidden="false" customHeight="false" outlineLevel="0" collapsed="false">
      <c r="A327" s="3" t="n">
        <v>45087</v>
      </c>
      <c r="B327" s="10" t="n">
        <v>0.01287226</v>
      </c>
      <c r="C327" s="5" t="n">
        <f aca="false">C326*(1+B327)</f>
        <v>2883.01149663531</v>
      </c>
      <c r="D327" s="10" t="n">
        <v>0.01083674</v>
      </c>
      <c r="E327" s="5" t="n">
        <f aca="false">E326*(1+D327)</f>
        <v>3193.65691778934</v>
      </c>
      <c r="F327" s="4" t="n">
        <f aca="false">D327*Varsayımlar!$B$3</f>
        <v>0.013545925</v>
      </c>
      <c r="G327" s="5" t="n">
        <f aca="false">G326*(1+F327)</f>
        <v>3541.25752654028</v>
      </c>
    </row>
    <row r="328" customFormat="false" ht="15" hidden="false" customHeight="false" outlineLevel="0" collapsed="false">
      <c r="A328" s="3" t="n">
        <v>45088</v>
      </c>
      <c r="B328" s="10" t="n">
        <v>0.00623745</v>
      </c>
      <c r="C328" s="5" t="n">
        <f aca="false">C327*(1+B328)</f>
        <v>2900.994136695</v>
      </c>
      <c r="D328" s="10" t="n">
        <v>0.00774996</v>
      </c>
      <c r="E328" s="5" t="n">
        <f aca="false">E327*(1+D328)</f>
        <v>3218.40763115593</v>
      </c>
      <c r="F328" s="4" t="n">
        <f aca="false">D328*Varsayımlar!$B$3</f>
        <v>0.00968745</v>
      </c>
      <c r="G328" s="5" t="n">
        <f aca="false">G327*(1+F328)</f>
        <v>3575.56328176576</v>
      </c>
    </row>
    <row r="329" customFormat="false" ht="15" hidden="false" customHeight="false" outlineLevel="0" collapsed="false">
      <c r="A329" s="3" t="n">
        <v>45089</v>
      </c>
      <c r="B329" s="10" t="n">
        <v>0.01251656</v>
      </c>
      <c r="C329" s="5" t="n">
        <f aca="false">C328*(1+B329)</f>
        <v>2937.30460386659</v>
      </c>
      <c r="D329" s="10" t="n">
        <v>0.00951042</v>
      </c>
      <c r="E329" s="5" t="n">
        <f aca="false">E328*(1+D329)</f>
        <v>3249.01603945943</v>
      </c>
      <c r="F329" s="4" t="n">
        <f aca="false">D329*Varsayımlar!$B$3</f>
        <v>0.011888025</v>
      </c>
      <c r="G329" s="5" t="n">
        <f aca="false">G328*(1+F329)</f>
        <v>3618.06966744847</v>
      </c>
    </row>
    <row r="330" customFormat="false" ht="15" hidden="false" customHeight="false" outlineLevel="0" collapsed="false">
      <c r="A330" s="3" t="n">
        <v>45090</v>
      </c>
      <c r="B330" s="10" t="n">
        <v>-0.00495857</v>
      </c>
      <c r="C330" s="5" t="n">
        <f aca="false">C329*(1+B330)</f>
        <v>2922.73977337699</v>
      </c>
      <c r="D330" s="10" t="n">
        <v>-0.0053324</v>
      </c>
      <c r="E330" s="5" t="n">
        <f aca="false">E329*(1+D330)</f>
        <v>3231.69098633062</v>
      </c>
      <c r="F330" s="4" t="n">
        <f aca="false">D330*Varsayımlar!$B$3</f>
        <v>-0.0066655</v>
      </c>
      <c r="G330" s="5" t="n">
        <f aca="false">G329*(1+F330)</f>
        <v>3593.9534240801</v>
      </c>
    </row>
    <row r="331" customFormat="false" ht="15" hidden="false" customHeight="false" outlineLevel="0" collapsed="false">
      <c r="A331" s="3" t="n">
        <v>45091</v>
      </c>
      <c r="B331" s="10" t="n">
        <v>0.0098332</v>
      </c>
      <c r="C331" s="5" t="n">
        <f aca="false">C330*(1+B331)</f>
        <v>2951.47965811657</v>
      </c>
      <c r="D331" s="10" t="n">
        <v>0.01046827</v>
      </c>
      <c r="E331" s="5" t="n">
        <f aca="false">E330*(1+D331)</f>
        <v>3265.52120013209</v>
      </c>
      <c r="F331" s="4" t="n">
        <f aca="false">D331*Varsayımlar!$B$3</f>
        <v>0.0130853375</v>
      </c>
      <c r="G331" s="5" t="n">
        <f aca="false">G330*(1+F331)</f>
        <v>3640.98151759346</v>
      </c>
    </row>
    <row r="332" customFormat="false" ht="15" hidden="false" customHeight="false" outlineLevel="0" collapsed="false">
      <c r="A332" s="3" t="n">
        <v>45092</v>
      </c>
      <c r="B332" s="10" t="n">
        <v>-0.00819563</v>
      </c>
      <c r="C332" s="5" t="n">
        <f aca="false">C331*(1+B332)</f>
        <v>2927.29042288612</v>
      </c>
      <c r="D332" s="10" t="n">
        <v>-0.01295771</v>
      </c>
      <c r="E332" s="5" t="n">
        <f aca="false">E331*(1+D332)</f>
        <v>3223.20752342193</v>
      </c>
      <c r="F332" s="4" t="n">
        <f aca="false">D332*Varsayımlar!$B$3</f>
        <v>-0.0161971375</v>
      </c>
      <c r="G332" s="5" t="n">
        <f aca="false">G331*(1+F332)</f>
        <v>3582.00803931804</v>
      </c>
    </row>
    <row r="333" customFormat="false" ht="15" hidden="false" customHeight="false" outlineLevel="0" collapsed="false">
      <c r="A333" s="3" t="n">
        <v>45093</v>
      </c>
      <c r="B333" s="10" t="n">
        <v>-0.00750696</v>
      </c>
      <c r="C333" s="5" t="n">
        <f aca="false">C332*(1+B333)</f>
        <v>2905.31537077313</v>
      </c>
      <c r="D333" s="10" t="n">
        <v>-0.0082935</v>
      </c>
      <c r="E333" s="5" t="n">
        <f aca="false">E332*(1+D333)</f>
        <v>3196.47585182643</v>
      </c>
      <c r="F333" s="4" t="n">
        <f aca="false">D333*Varsayımlar!$B$3</f>
        <v>-0.010366875</v>
      </c>
      <c r="G333" s="5" t="n">
        <f aca="false">G332*(1+F333)</f>
        <v>3544.87380972544</v>
      </c>
    </row>
    <row r="334" customFormat="false" ht="15" hidden="false" customHeight="false" outlineLevel="0" collapsed="false">
      <c r="A334" s="3" t="n">
        <v>45094</v>
      </c>
      <c r="B334" s="10" t="n">
        <v>-0.0052914</v>
      </c>
      <c r="C334" s="5" t="n">
        <f aca="false">C333*(1+B334)</f>
        <v>2889.94218502022</v>
      </c>
      <c r="D334" s="10" t="n">
        <v>-0.00376701</v>
      </c>
      <c r="E334" s="5" t="n">
        <f aca="false">E333*(1+D334)</f>
        <v>3184.43469532784</v>
      </c>
      <c r="F334" s="4" t="n">
        <f aca="false">D334*Varsayımlar!$B$3</f>
        <v>-0.0047087625</v>
      </c>
      <c r="G334" s="5" t="n">
        <f aca="false">G333*(1+F334)</f>
        <v>3528.18184086297</v>
      </c>
    </row>
    <row r="335" customFormat="false" ht="15" hidden="false" customHeight="false" outlineLevel="0" collapsed="false">
      <c r="A335" s="3" t="n">
        <v>45095</v>
      </c>
      <c r="B335" s="10" t="n">
        <v>-0.01228423</v>
      </c>
      <c r="C335" s="5" t="n">
        <f aca="false">C334*(1+B335)</f>
        <v>2854.44147053273</v>
      </c>
      <c r="D335" s="10" t="n">
        <v>-0.01497983</v>
      </c>
      <c r="E335" s="5" t="n">
        <f aca="false">E334*(1+D335)</f>
        <v>3136.73240494573</v>
      </c>
      <c r="F335" s="4" t="n">
        <f aca="false">D335*Varsayımlar!$B$3</f>
        <v>-0.0187247875</v>
      </c>
      <c r="G335" s="5" t="n">
        <f aca="false">G334*(1+F335)</f>
        <v>3462.11738563145</v>
      </c>
    </row>
    <row r="336" customFormat="false" ht="15" hidden="false" customHeight="false" outlineLevel="0" collapsed="false">
      <c r="A336" s="3" t="n">
        <v>45096</v>
      </c>
      <c r="B336" s="10" t="n">
        <v>0.0066795</v>
      </c>
      <c r="C336" s="5" t="n">
        <f aca="false">C335*(1+B336)</f>
        <v>2873.50771233515</v>
      </c>
      <c r="D336" s="10" t="n">
        <v>0.00884733</v>
      </c>
      <c r="E336" s="5" t="n">
        <f aca="false">E335*(1+D336)</f>
        <v>3164.48411165398</v>
      </c>
      <c r="F336" s="4" t="n">
        <f aca="false">D336*Varsayımlar!$B$3</f>
        <v>0.0110591625</v>
      </c>
      <c r="G336" s="5" t="n">
        <f aca="false">G335*(1+F336)</f>
        <v>3500.40550439323</v>
      </c>
    </row>
    <row r="337" customFormat="false" ht="15" hidden="false" customHeight="false" outlineLevel="0" collapsed="false">
      <c r="A337" s="3" t="n">
        <v>45097</v>
      </c>
      <c r="B337" s="10" t="n">
        <v>0.00945923</v>
      </c>
      <c r="C337" s="5" t="n">
        <f aca="false">C336*(1+B337)</f>
        <v>2900.6888826929</v>
      </c>
      <c r="D337" s="10" t="n">
        <v>0.01496713</v>
      </c>
      <c r="E337" s="5" t="n">
        <f aca="false">E336*(1+D337)</f>
        <v>3211.84735673604</v>
      </c>
      <c r="F337" s="4" t="n">
        <f aca="false">D337*Varsayımlar!$B$3</f>
        <v>0.0187089125</v>
      </c>
      <c r="G337" s="5" t="n">
        <f aca="false">G336*(1+F337)</f>
        <v>3565.89428468944</v>
      </c>
    </row>
    <row r="338" customFormat="false" ht="15" hidden="false" customHeight="false" outlineLevel="0" collapsed="false">
      <c r="A338" s="3" t="n">
        <v>45098</v>
      </c>
      <c r="B338" s="10" t="n">
        <v>0.00090209</v>
      </c>
      <c r="C338" s="5" t="n">
        <f aca="false">C337*(1+B338)</f>
        <v>2903.30556512709</v>
      </c>
      <c r="D338" s="10" t="n">
        <v>-0.0011558</v>
      </c>
      <c r="E338" s="5" t="n">
        <f aca="false">E337*(1+D338)</f>
        <v>3208.13510356112</v>
      </c>
      <c r="F338" s="4" t="n">
        <f aca="false">D338*Varsayımlar!$B$3</f>
        <v>-0.00144475</v>
      </c>
      <c r="G338" s="5" t="n">
        <f aca="false">G337*(1+F338)</f>
        <v>3560.74245892163</v>
      </c>
    </row>
    <row r="339" customFormat="false" ht="15" hidden="false" customHeight="false" outlineLevel="0" collapsed="false">
      <c r="A339" s="3" t="n">
        <v>45099</v>
      </c>
      <c r="B339" s="10" t="n">
        <v>-0.00909736</v>
      </c>
      <c r="C339" s="5" t="n">
        <f aca="false">C338*(1+B339)</f>
        <v>2876.89314921113</v>
      </c>
      <c r="D339" s="10" t="n">
        <v>-0.00753711</v>
      </c>
      <c r="E339" s="5" t="n">
        <f aca="false">E338*(1+D339)</f>
        <v>3183.95503639072</v>
      </c>
      <c r="F339" s="4" t="n">
        <f aca="false">D339*Varsayımlar!$B$3</f>
        <v>-0.0094213875</v>
      </c>
      <c r="G339" s="5" t="n">
        <f aca="false">G338*(1+F339)</f>
        <v>3527.19532442843</v>
      </c>
    </row>
    <row r="340" customFormat="false" ht="15" hidden="false" customHeight="false" outlineLevel="0" collapsed="false">
      <c r="A340" s="3" t="n">
        <v>45100</v>
      </c>
      <c r="B340" s="10" t="n">
        <v>-0.00936401</v>
      </c>
      <c r="C340" s="5" t="n">
        <f aca="false">C339*(1+B340)</f>
        <v>2849.95389299298</v>
      </c>
      <c r="D340" s="10" t="n">
        <v>-0.01325472</v>
      </c>
      <c r="E340" s="5" t="n">
        <f aca="false">E339*(1+D340)</f>
        <v>3141.75260389077</v>
      </c>
      <c r="F340" s="4" t="n">
        <f aca="false">D340*Varsayımlar!$B$3</f>
        <v>-0.0165684</v>
      </c>
      <c r="G340" s="5" t="n">
        <f aca="false">G339*(1+F340)</f>
        <v>3468.75534141517</v>
      </c>
    </row>
    <row r="341" customFormat="false" ht="15" hidden="false" customHeight="false" outlineLevel="0" collapsed="false">
      <c r="A341" s="3" t="n">
        <v>45101</v>
      </c>
      <c r="B341" s="10" t="n">
        <v>-0.00812103</v>
      </c>
      <c r="C341" s="5" t="n">
        <f aca="false">C340*(1+B341)</f>
        <v>2826.80933192937</v>
      </c>
      <c r="D341" s="10" t="n">
        <v>-0.01183973</v>
      </c>
      <c r="E341" s="5" t="n">
        <f aca="false">E340*(1+D341)</f>
        <v>3104.55510133391</v>
      </c>
      <c r="F341" s="4" t="n">
        <f aca="false">D341*Varsayımlar!$B$3</f>
        <v>-0.0147996625</v>
      </c>
      <c r="G341" s="5" t="n">
        <f aca="false">G340*(1+F341)</f>
        <v>3417.41893306715</v>
      </c>
    </row>
    <row r="342" customFormat="false" ht="15" hidden="false" customHeight="false" outlineLevel="0" collapsed="false">
      <c r="A342" s="3" t="n">
        <v>45102</v>
      </c>
      <c r="B342" s="10" t="n">
        <v>-0.00386179</v>
      </c>
      <c r="C342" s="5" t="n">
        <f aca="false">C341*(1+B342)</f>
        <v>2815.89278791942</v>
      </c>
      <c r="D342" s="10" t="n">
        <v>-0.00563909</v>
      </c>
      <c r="E342" s="5" t="n">
        <f aca="false">E341*(1+D342)</f>
        <v>3087.04823570753</v>
      </c>
      <c r="F342" s="4" t="n">
        <f aca="false">D342*Varsayımlar!$B$3</f>
        <v>-0.0070488625</v>
      </c>
      <c r="G342" s="5" t="n">
        <f aca="false">G341*(1+F342)</f>
        <v>3393.33001690307</v>
      </c>
    </row>
    <row r="343" customFormat="false" ht="15" hidden="false" customHeight="false" outlineLevel="0" collapsed="false">
      <c r="A343" s="3" t="n">
        <v>45103</v>
      </c>
      <c r="B343" s="10" t="n">
        <v>0.00520395</v>
      </c>
      <c r="C343" s="5" t="n">
        <f aca="false">C342*(1+B343)</f>
        <v>2830.54655319311</v>
      </c>
      <c r="D343" s="10" t="n">
        <v>0.00777144</v>
      </c>
      <c r="E343" s="5" t="n">
        <f aca="false">E342*(1+D343)</f>
        <v>3111.03904584843</v>
      </c>
      <c r="F343" s="4" t="n">
        <f aca="false">D343*Varsayımlar!$B$3</f>
        <v>0.0097143</v>
      </c>
      <c r="G343" s="5" t="n">
        <f aca="false">G342*(1+F343)</f>
        <v>3426.29384268627</v>
      </c>
    </row>
    <row r="344" customFormat="false" ht="15" hidden="false" customHeight="false" outlineLevel="0" collapsed="false">
      <c r="A344" s="3" t="n">
        <v>45104</v>
      </c>
      <c r="B344" s="10" t="n">
        <v>0.00154304</v>
      </c>
      <c r="C344" s="5" t="n">
        <f aca="false">C343*(1+B344)</f>
        <v>2834.91419974655</v>
      </c>
      <c r="D344" s="10" t="n">
        <v>0.00464919</v>
      </c>
      <c r="E344" s="5" t="n">
        <f aca="false">E343*(1+D344)</f>
        <v>3125.50285747</v>
      </c>
      <c r="F344" s="4" t="n">
        <f aca="false">D344*Varsayımlar!$B$3</f>
        <v>0.0058114875</v>
      </c>
      <c r="G344" s="5" t="n">
        <f aca="false">G343*(1+F344)</f>
        <v>3446.20570652437</v>
      </c>
    </row>
    <row r="345" customFormat="false" ht="15" hidden="false" customHeight="false" outlineLevel="0" collapsed="false">
      <c r="A345" s="3" t="n">
        <v>45105</v>
      </c>
      <c r="B345" s="10" t="n">
        <v>0.00469618</v>
      </c>
      <c r="C345" s="5" t="n">
        <f aca="false">C344*(1+B345)</f>
        <v>2848.22746711312</v>
      </c>
      <c r="D345" s="10" t="n">
        <v>0.00432542</v>
      </c>
      <c r="E345" s="5" t="n">
        <f aca="false">E344*(1+D345)</f>
        <v>3139.02197003976</v>
      </c>
      <c r="F345" s="4" t="n">
        <f aca="false">D345*Varsayımlar!$B$3</f>
        <v>0.005406775</v>
      </c>
      <c r="G345" s="5" t="n">
        <f aca="false">G344*(1+F345)</f>
        <v>3464.83856538326</v>
      </c>
    </row>
    <row r="346" customFormat="false" ht="15" hidden="false" customHeight="false" outlineLevel="0" collapsed="false">
      <c r="A346" s="3" t="n">
        <v>45106</v>
      </c>
      <c r="B346" s="10" t="n">
        <v>0.0151261</v>
      </c>
      <c r="C346" s="5" t="n">
        <f aca="false">C345*(1+B346)</f>
        <v>2891.31004060342</v>
      </c>
      <c r="D346" s="10" t="n">
        <v>0.02095598</v>
      </c>
      <c r="E346" s="5" t="n">
        <f aca="false">E345*(1+D346)</f>
        <v>3204.80325166347</v>
      </c>
      <c r="F346" s="4" t="n">
        <f aca="false">D346*Varsayımlar!$B$3</f>
        <v>0.026194975</v>
      </c>
      <c r="G346" s="5" t="n">
        <f aca="false">G345*(1+F346)</f>
        <v>3555.59992498251</v>
      </c>
    </row>
    <row r="347" customFormat="false" ht="15" hidden="false" customHeight="false" outlineLevel="0" collapsed="false">
      <c r="A347" s="3" t="n">
        <v>45107</v>
      </c>
      <c r="B347" s="10" t="n">
        <v>0.00688271</v>
      </c>
      <c r="C347" s="5" t="n">
        <f aca="false">C346*(1+B347)</f>
        <v>2911.21008913298</v>
      </c>
      <c r="D347" s="10" t="n">
        <v>0.01377743</v>
      </c>
      <c r="E347" s="5" t="n">
        <f aca="false">E346*(1+D347)</f>
        <v>3248.95720412704</v>
      </c>
      <c r="F347" s="4" t="n">
        <f aca="false">D347*Varsayımlar!$B$3</f>
        <v>0.0172217875</v>
      </c>
      <c r="G347" s="5" t="n">
        <f aca="false">G346*(1+F347)</f>
        <v>3616.83371132557</v>
      </c>
    </row>
    <row r="348" customFormat="false" ht="15" hidden="false" customHeight="false" outlineLevel="0" collapsed="false">
      <c r="A348" s="3" t="n">
        <v>45108</v>
      </c>
      <c r="B348" s="10" t="n">
        <v>-0.00029252</v>
      </c>
      <c r="C348" s="5" t="n">
        <f aca="false">C347*(1+B348)</f>
        <v>2910.3585019577</v>
      </c>
      <c r="D348" s="10" t="n">
        <v>-0.00818539</v>
      </c>
      <c r="E348" s="5" t="n">
        <f aca="false">E347*(1+D348)</f>
        <v>3222.36322231795</v>
      </c>
      <c r="F348" s="4" t="n">
        <f aca="false">D348*Varsayımlar!$B$3</f>
        <v>-0.0102317375</v>
      </c>
      <c r="G348" s="5" t="n">
        <f aca="false">G347*(1+F348)</f>
        <v>3579.82721821014</v>
      </c>
    </row>
    <row r="349" customFormat="false" ht="15" hidden="false" customHeight="false" outlineLevel="0" collapsed="false">
      <c r="A349" s="3" t="n">
        <v>45109</v>
      </c>
      <c r="B349" s="10" t="n">
        <v>0.02031387</v>
      </c>
      <c r="C349" s="5" t="n">
        <f aca="false">C348*(1+B349)</f>
        <v>2969.47914621987</v>
      </c>
      <c r="D349" s="10" t="n">
        <v>0.03574607</v>
      </c>
      <c r="E349" s="5" t="n">
        <f aca="false">E348*(1+D349)</f>
        <v>3337.55004362835</v>
      </c>
      <c r="F349" s="4" t="n">
        <f aca="false">D349*Varsayımlar!$B$3</f>
        <v>0.0446825875</v>
      </c>
      <c r="G349" s="5" t="n">
        <f aca="false">G348*(1+F349)</f>
        <v>3739.7831611227</v>
      </c>
    </row>
    <row r="350" customFormat="false" ht="15" hidden="false" customHeight="false" outlineLevel="0" collapsed="false">
      <c r="A350" s="3" t="n">
        <v>45110</v>
      </c>
      <c r="B350" s="10" t="n">
        <v>-0.01629006</v>
      </c>
      <c r="C350" s="5" t="n">
        <f aca="false">C349*(1+B350)</f>
        <v>2921.1061527592</v>
      </c>
      <c r="D350" s="10" t="n">
        <v>-0.02491836</v>
      </c>
      <c r="E350" s="5" t="n">
        <f aca="false">E349*(1+D350)</f>
        <v>3254.3837701232</v>
      </c>
      <c r="F350" s="4" t="n">
        <f aca="false">D350*Varsayımlar!$B$3</f>
        <v>-0.03114795</v>
      </c>
      <c r="G350" s="5" t="n">
        <f aca="false">G349*(1+F350)</f>
        <v>3623.2965822092</v>
      </c>
    </row>
    <row r="351" customFormat="false" ht="15" hidden="false" customHeight="false" outlineLevel="0" collapsed="false">
      <c r="A351" s="3" t="n">
        <v>45111</v>
      </c>
      <c r="B351" s="10" t="n">
        <v>0.01303444</v>
      </c>
      <c r="C351" s="5" t="n">
        <f aca="false">C350*(1+B351)</f>
        <v>2959.18113564097</v>
      </c>
      <c r="D351" s="10" t="n">
        <v>0.02054091</v>
      </c>
      <c r="E351" s="5" t="n">
        <f aca="false">E350*(1+D351)</f>
        <v>3321.23177425077</v>
      </c>
      <c r="F351" s="4" t="n">
        <f aca="false">D351*Varsayımlar!$B$3</f>
        <v>0.0256761375</v>
      </c>
      <c r="G351" s="5" t="n">
        <f aca="false">G350*(1+F351)</f>
        <v>3716.32884345729</v>
      </c>
    </row>
    <row r="352" customFormat="false" ht="15" hidden="false" customHeight="false" outlineLevel="0" collapsed="false">
      <c r="A352" s="3" t="n">
        <v>45112</v>
      </c>
      <c r="B352" s="10" t="n">
        <v>-0.00460887</v>
      </c>
      <c r="C352" s="5" t="n">
        <f aca="false">C351*(1+B352)</f>
        <v>2945.54265448035</v>
      </c>
      <c r="D352" s="10" t="n">
        <v>-0.00493535</v>
      </c>
      <c r="E352" s="5" t="n">
        <f aca="false">E351*(1+D352)</f>
        <v>3304.84033301372</v>
      </c>
      <c r="F352" s="4" t="n">
        <f aca="false">D352*Varsayımlar!$B$3</f>
        <v>-0.0061691875</v>
      </c>
      <c r="G352" s="5" t="n">
        <f aca="false">G351*(1+F352)</f>
        <v>3693.40211401034</v>
      </c>
    </row>
    <row r="353" customFormat="false" ht="15" hidden="false" customHeight="false" outlineLevel="0" collapsed="false">
      <c r="A353" s="3" t="n">
        <v>45113</v>
      </c>
      <c r="B353" s="10" t="n">
        <v>0.00517291</v>
      </c>
      <c r="C353" s="5" t="n">
        <f aca="false">C352*(1+B353)</f>
        <v>2960.77968153313</v>
      </c>
      <c r="D353" s="10" t="n">
        <v>0.00633171</v>
      </c>
      <c r="E353" s="5" t="n">
        <f aca="false">E352*(1+D353)</f>
        <v>3325.76562359866</v>
      </c>
      <c r="F353" s="4" t="n">
        <f aca="false">D353*Varsayımlar!$B$3</f>
        <v>0.0079146375</v>
      </c>
      <c r="G353" s="5" t="n">
        <f aca="false">G352*(1+F353)</f>
        <v>3722.63405288447</v>
      </c>
    </row>
    <row r="354" customFormat="false" ht="15" hidden="false" customHeight="false" outlineLevel="0" collapsed="false">
      <c r="A354" s="3" t="n">
        <v>45114</v>
      </c>
      <c r="B354" s="10" t="n">
        <v>-0.00741497</v>
      </c>
      <c r="C354" s="5" t="n">
        <f aca="false">C353*(1+B354)</f>
        <v>2938.82558901796</v>
      </c>
      <c r="D354" s="10" t="n">
        <v>-0.00733901</v>
      </c>
      <c r="E354" s="5" t="n">
        <f aca="false">E353*(1+D354)</f>
        <v>3301.35779642942</v>
      </c>
      <c r="F354" s="4" t="n">
        <f aca="false">D354*Varsayımlar!$B$3</f>
        <v>-0.0091737625</v>
      </c>
      <c r="G354" s="5" t="n">
        <f aca="false">G353*(1+F354)</f>
        <v>3688.48349220889</v>
      </c>
    </row>
    <row r="355" customFormat="false" ht="15" hidden="false" customHeight="false" outlineLevel="0" collapsed="false">
      <c r="A355" s="3" t="n">
        <v>45115</v>
      </c>
      <c r="B355" s="10" t="n">
        <v>-0.00716805</v>
      </c>
      <c r="C355" s="5" t="n">
        <f aca="false">C354*(1+B355)</f>
        <v>2917.7599402546</v>
      </c>
      <c r="D355" s="10" t="n">
        <v>-0.01171328</v>
      </c>
      <c r="E355" s="5" t="n">
        <f aca="false">E354*(1+D355)</f>
        <v>3262.68806817966</v>
      </c>
      <c r="F355" s="4" t="n">
        <f aca="false">D355*Varsayımlar!$B$3</f>
        <v>-0.0146416</v>
      </c>
      <c r="G355" s="5" t="n">
        <f aca="false">G354*(1+F355)</f>
        <v>3634.47819230937</v>
      </c>
    </row>
    <row r="356" customFormat="false" ht="15" hidden="false" customHeight="false" outlineLevel="0" collapsed="false">
      <c r="A356" s="3" t="n">
        <v>45116</v>
      </c>
      <c r="B356" s="10" t="n">
        <v>0.0081678</v>
      </c>
      <c r="C356" s="5" t="n">
        <f aca="false">C355*(1+B356)</f>
        <v>2941.59161989461</v>
      </c>
      <c r="D356" s="10" t="n">
        <v>0.00778927</v>
      </c>
      <c r="E356" s="5" t="n">
        <f aca="false">E355*(1+D356)</f>
        <v>3288.10202646849</v>
      </c>
      <c r="F356" s="4" t="n">
        <f aca="false">D356*Varsayımlar!$B$3</f>
        <v>0.0097365875</v>
      </c>
      <c r="G356" s="5" t="n">
        <f aca="false">G355*(1+F356)</f>
        <v>3669.86560724563</v>
      </c>
    </row>
    <row r="357" customFormat="false" ht="15" hidden="false" customHeight="false" outlineLevel="0" collapsed="false">
      <c r="A357" s="3" t="n">
        <v>45117</v>
      </c>
      <c r="B357" s="10" t="n">
        <v>-0.00221626</v>
      </c>
      <c r="C357" s="5" t="n">
        <f aca="false">C356*(1+B357)</f>
        <v>2935.0722880511</v>
      </c>
      <c r="D357" s="10" t="n">
        <v>0.00061312</v>
      </c>
      <c r="E357" s="5" t="n">
        <f aca="false">E356*(1+D357)</f>
        <v>3290.11802758295</v>
      </c>
      <c r="F357" s="4" t="n">
        <f aca="false">D357*Varsayımlar!$B$3</f>
        <v>0.0007664</v>
      </c>
      <c r="G357" s="5" t="n">
        <f aca="false">G356*(1+F357)</f>
        <v>3672.67819224702</v>
      </c>
    </row>
    <row r="358" customFormat="false" ht="15" hidden="false" customHeight="false" outlineLevel="0" collapsed="false">
      <c r="A358" s="3" t="n">
        <v>45118</v>
      </c>
      <c r="B358" s="10" t="n">
        <v>0.00212473</v>
      </c>
      <c r="C358" s="5" t="n">
        <f aca="false">C357*(1+B358)</f>
        <v>2941.30852419369</v>
      </c>
      <c r="D358" s="10" t="n">
        <v>0.00132153</v>
      </c>
      <c r="E358" s="5" t="n">
        <f aca="false">E357*(1+D358)</f>
        <v>3294.46601725995</v>
      </c>
      <c r="F358" s="4" t="n">
        <f aca="false">D358*Varsayımlar!$B$3</f>
        <v>0.0016519125</v>
      </c>
      <c r="G358" s="5" t="n">
        <f aca="false">G357*(1+F358)</f>
        <v>3678.74513526127</v>
      </c>
    </row>
    <row r="359" customFormat="false" ht="15" hidden="false" customHeight="false" outlineLevel="0" collapsed="false">
      <c r="A359" s="3" t="n">
        <v>45119</v>
      </c>
      <c r="B359" s="10" t="n">
        <v>0.00666504</v>
      </c>
      <c r="C359" s="5" t="n">
        <f aca="false">C358*(1+B359)</f>
        <v>2960.91246315978</v>
      </c>
      <c r="D359" s="10" t="n">
        <v>0.00343809</v>
      </c>
      <c r="E359" s="5" t="n">
        <f aca="false">E358*(1+D359)</f>
        <v>3305.79268792923</v>
      </c>
      <c r="F359" s="4" t="n">
        <f aca="false">D359*Varsayımlar!$B$3</f>
        <v>0.0042976125</v>
      </c>
      <c r="G359" s="5" t="n">
        <f aca="false">G358*(1+F359)</f>
        <v>3694.55495633889</v>
      </c>
    </row>
    <row r="360" customFormat="false" ht="15" hidden="false" customHeight="false" outlineLevel="0" collapsed="false">
      <c r="A360" s="3" t="n">
        <v>45120</v>
      </c>
      <c r="B360" s="10" t="n">
        <v>-0.0523781</v>
      </c>
      <c r="C360" s="5" t="n">
        <f aca="false">C359*(1+B360)</f>
        <v>2805.82549407315</v>
      </c>
      <c r="D360" s="10" t="n">
        <v>-0.04343677</v>
      </c>
      <c r="E360" s="5" t="n">
        <f aca="false">E359*(1+D360)</f>
        <v>3162.19973127596</v>
      </c>
      <c r="F360" s="4" t="n">
        <f aca="false">D360*Varsayımlar!$B$3</f>
        <v>-0.0542959625</v>
      </c>
      <c r="G360" s="5" t="n">
        <f aca="false">G359*(1+F360)</f>
        <v>3493.95553897532</v>
      </c>
    </row>
    <row r="361" customFormat="false" ht="15" hidden="false" customHeight="false" outlineLevel="0" collapsed="false">
      <c r="A361" s="3" t="n">
        <v>45121</v>
      </c>
      <c r="B361" s="10" t="n">
        <v>0.03115197</v>
      </c>
      <c r="C361" s="5" t="n">
        <f aca="false">C360*(1+B361)</f>
        <v>2893.23248568976</v>
      </c>
      <c r="D361" s="10" t="n">
        <v>0.01814759</v>
      </c>
      <c r="E361" s="5" t="n">
        <f aca="false">E360*(1+D361)</f>
        <v>3219.58603549727</v>
      </c>
      <c r="F361" s="4" t="n">
        <f aca="false">D361*Varsayımlar!$B$3</f>
        <v>0.0226844875</v>
      </c>
      <c r="G361" s="5" t="n">
        <f aca="false">G360*(1+F361)</f>
        <v>3573.21412972476</v>
      </c>
    </row>
    <row r="362" customFormat="false" ht="15" hidden="false" customHeight="false" outlineLevel="0" collapsed="false">
      <c r="A362" s="3" t="n">
        <v>45122</v>
      </c>
      <c r="B362" s="10" t="n">
        <v>0.00439675</v>
      </c>
      <c r="C362" s="5" t="n">
        <f aca="false">C361*(1+B362)</f>
        <v>2905.95330562121</v>
      </c>
      <c r="D362" s="10" t="n">
        <v>0.00900216</v>
      </c>
      <c r="E362" s="5" t="n">
        <f aca="false">E361*(1+D362)</f>
        <v>3248.56926412258</v>
      </c>
      <c r="F362" s="4" t="n">
        <f aca="false">D362*Varsayımlar!$B$3</f>
        <v>0.0112527</v>
      </c>
      <c r="G362" s="5" t="n">
        <f aca="false">G361*(1+F362)</f>
        <v>3613.42243636232</v>
      </c>
    </row>
    <row r="363" customFormat="false" ht="15" hidden="false" customHeight="false" outlineLevel="0" collapsed="false">
      <c r="A363" s="3" t="n">
        <v>45123</v>
      </c>
      <c r="B363" s="10" t="n">
        <v>0.00273488</v>
      </c>
      <c r="C363" s="5" t="n">
        <f aca="false">C362*(1+B363)</f>
        <v>2913.90073919769</v>
      </c>
      <c r="D363" s="10" t="n">
        <v>0.00643599</v>
      </c>
      <c r="E363" s="5" t="n">
        <f aca="false">E362*(1+D363)</f>
        <v>3269.47702342078</v>
      </c>
      <c r="F363" s="4" t="n">
        <f aca="false">D363*Varsayımlar!$B$3</f>
        <v>0.0080449875</v>
      </c>
      <c r="G363" s="5" t="n">
        <f aca="false">G362*(1+F363)</f>
        <v>3642.49237469507</v>
      </c>
    </row>
    <row r="364" customFormat="false" ht="15" hidden="false" customHeight="false" outlineLevel="0" collapsed="false">
      <c r="A364" s="3" t="n">
        <v>45124</v>
      </c>
      <c r="B364" s="10" t="n">
        <v>-0.00886617</v>
      </c>
      <c r="C364" s="5" t="n">
        <f aca="false">C363*(1+B364)</f>
        <v>2888.06559988084</v>
      </c>
      <c r="D364" s="10" t="n">
        <v>-0.01769094</v>
      </c>
      <c r="E364" s="5" t="n">
        <f aca="false">E363*(1+D364)</f>
        <v>3211.63690156807</v>
      </c>
      <c r="F364" s="4" t="n">
        <f aca="false">D364*Varsayımlar!$B$3</f>
        <v>-0.022113675</v>
      </c>
      <c r="G364" s="5" t="n">
        <f aca="false">G363*(1+F364)</f>
        <v>3561.94348213109</v>
      </c>
    </row>
    <row r="365" customFormat="false" ht="15" hidden="false" customHeight="false" outlineLevel="0" collapsed="false">
      <c r="A365" s="3" t="n">
        <v>45125</v>
      </c>
      <c r="B365" s="10" t="n">
        <v>-0.00542646</v>
      </c>
      <c r="C365" s="5" t="n">
        <f aca="false">C364*(1+B365)</f>
        <v>2872.39362742571</v>
      </c>
      <c r="D365" s="10" t="n">
        <v>-0.00555142</v>
      </c>
      <c r="E365" s="5" t="n">
        <f aca="false">E364*(1+D365)</f>
        <v>3193.80775623996</v>
      </c>
      <c r="F365" s="4" t="n">
        <f aca="false">D365*Varsayımlar!$B$3</f>
        <v>-0.006939275</v>
      </c>
      <c r="G365" s="5" t="n">
        <f aca="false">G364*(1+F365)</f>
        <v>3537.22617677412</v>
      </c>
    </row>
    <row r="366" customFormat="false" ht="15" hidden="false" customHeight="false" outlineLevel="0" collapsed="false">
      <c r="A366" s="3" t="n">
        <v>45126</v>
      </c>
      <c r="B366" s="10" t="n">
        <v>-0.00176468</v>
      </c>
      <c r="C366" s="5" t="n">
        <f aca="false">C365*(1+B366)</f>
        <v>2867.32477183926</v>
      </c>
      <c r="D366" s="10" t="n">
        <v>-0.00187569</v>
      </c>
      <c r="E366" s="5" t="n">
        <f aca="false">E365*(1+D366)</f>
        <v>3187.81716296966</v>
      </c>
      <c r="F366" s="4" t="n">
        <f aca="false">D366*Varsayımlar!$B$3</f>
        <v>-0.0023446125</v>
      </c>
      <c r="G366" s="5" t="n">
        <f aca="false">G365*(1+F366)</f>
        <v>3528.93275206473</v>
      </c>
    </row>
    <row r="367" customFormat="false" ht="15" hidden="false" customHeight="false" outlineLevel="0" collapsed="false">
      <c r="A367" s="3" t="n">
        <v>45127</v>
      </c>
      <c r="B367" s="10" t="n">
        <v>0.01126173</v>
      </c>
      <c r="C367" s="5" t="n">
        <f aca="false">C366*(1+B367)</f>
        <v>2899.61580924203</v>
      </c>
      <c r="D367" s="10" t="n">
        <v>0.01227511</v>
      </c>
      <c r="E367" s="5" t="n">
        <f aca="false">E366*(1+D367)</f>
        <v>3226.947969305</v>
      </c>
      <c r="F367" s="4" t="n">
        <f aca="false">D367*Varsayımlar!$B$3</f>
        <v>0.0153438875</v>
      </c>
      <c r="G367" s="5" t="n">
        <f aca="false">G366*(1+F367)</f>
        <v>3583.08029920748</v>
      </c>
    </row>
    <row r="368" customFormat="false" ht="15" hidden="false" customHeight="false" outlineLevel="0" collapsed="false">
      <c r="A368" s="3" t="n">
        <v>45128</v>
      </c>
      <c r="B368" s="10" t="n">
        <v>-0.00097741</v>
      </c>
      <c r="C368" s="5" t="n">
        <f aca="false">C367*(1+B368)</f>
        <v>2896.78169575392</v>
      </c>
      <c r="D368" s="10" t="n">
        <v>0.00188641</v>
      </c>
      <c r="E368" s="5" t="n">
        <f aca="false">E367*(1+D368)</f>
        <v>3233.03531622378</v>
      </c>
      <c r="F368" s="4" t="n">
        <f aca="false">D368*Varsayımlar!$B$3</f>
        <v>0.0023580125</v>
      </c>
      <c r="G368" s="5" t="n">
        <f aca="false">G367*(1+F368)</f>
        <v>3591.52924734151</v>
      </c>
    </row>
    <row r="369" customFormat="false" ht="15" hidden="false" customHeight="false" outlineLevel="0" collapsed="false">
      <c r="A369" s="3" t="n">
        <v>45129</v>
      </c>
      <c r="B369" s="10" t="n">
        <v>0.01320821</v>
      </c>
      <c r="C369" s="5" t="n">
        <f aca="false">C368*(1+B369)</f>
        <v>2935.04299671559</v>
      </c>
      <c r="D369" s="10" t="n">
        <v>0.02505351</v>
      </c>
      <c r="E369" s="5" t="n">
        <f aca="false">E368*(1+D369)</f>
        <v>3314.03419884915</v>
      </c>
      <c r="F369" s="4" t="n">
        <f aca="false">D369*Varsayımlar!$B$3</f>
        <v>0.0313168875</v>
      </c>
      <c r="G369" s="5" t="n">
        <f aca="false">G368*(1+F369)</f>
        <v>3704.00476473347</v>
      </c>
    </row>
    <row r="370" customFormat="false" ht="15" hidden="false" customHeight="false" outlineLevel="0" collapsed="false">
      <c r="A370" s="3" t="n">
        <v>45130</v>
      </c>
      <c r="B370" s="10" t="n">
        <v>0.00423265</v>
      </c>
      <c r="C370" s="5" t="n">
        <f aca="false">C369*(1+B370)</f>
        <v>2947.46600645564</v>
      </c>
      <c r="D370" s="10" t="n">
        <v>0.01356517</v>
      </c>
      <c r="E370" s="5" t="n">
        <f aca="false">E369*(1+D370)</f>
        <v>3358.98963614235</v>
      </c>
      <c r="F370" s="4" t="n">
        <f aca="false">D370*Varsayımlar!$B$3</f>
        <v>0.0169564625</v>
      </c>
      <c r="G370" s="5" t="n">
        <f aca="false">G369*(1+F370)</f>
        <v>3766.81158262649</v>
      </c>
    </row>
    <row r="371" customFormat="false" ht="15" hidden="false" customHeight="false" outlineLevel="0" collapsed="false">
      <c r="A371" s="3" t="n">
        <v>45131</v>
      </c>
      <c r="B371" s="10" t="n">
        <v>-0.00724517</v>
      </c>
      <c r="C371" s="5" t="n">
        <f aca="false">C370*(1+B371)</f>
        <v>2926.11111416965</v>
      </c>
      <c r="D371" s="10" t="n">
        <v>-0.00539323</v>
      </c>
      <c r="E371" s="5" t="n">
        <f aca="false">E370*(1+D371)</f>
        <v>3340.87383246702</v>
      </c>
      <c r="F371" s="4" t="n">
        <f aca="false">D371*Varsayımlar!$B$3</f>
        <v>-0.0067415375</v>
      </c>
      <c r="G371" s="5" t="n">
        <f aca="false">G370*(1+F371)</f>
        <v>3741.41748108678</v>
      </c>
    </row>
    <row r="372" customFormat="false" ht="15" hidden="false" customHeight="false" outlineLevel="0" collapsed="false">
      <c r="A372" s="3" t="n">
        <v>45132</v>
      </c>
      <c r="B372" s="10" t="n">
        <v>-0.00846111</v>
      </c>
      <c r="C372" s="5" t="n">
        <f aca="false">C371*(1+B372)</f>
        <v>2901.35296616043</v>
      </c>
      <c r="D372" s="10" t="n">
        <v>-0.00770321</v>
      </c>
      <c r="E372" s="5" t="n">
        <f aca="false">E371*(1+D372)</f>
        <v>3315.13837975202</v>
      </c>
      <c r="F372" s="4" t="n">
        <f aca="false">D372*Varsayımlar!$B$3</f>
        <v>-0.0096290125</v>
      </c>
      <c r="G372" s="5" t="n">
        <f aca="false">G371*(1+F372)</f>
        <v>3705.39132539368</v>
      </c>
    </row>
    <row r="373" customFormat="false" ht="15" hidden="false" customHeight="false" outlineLevel="0" collapsed="false">
      <c r="A373" s="3" t="n">
        <v>45133</v>
      </c>
      <c r="B373" s="10" t="n">
        <v>0.02314019</v>
      </c>
      <c r="C373" s="5" t="n">
        <f aca="false">C372*(1+B373)</f>
        <v>2968.49082505445</v>
      </c>
      <c r="D373" s="10" t="n">
        <v>0.02588458</v>
      </c>
      <c r="E373" s="5" t="n">
        <f aca="false">E372*(1+D373)</f>
        <v>3400.94934435378</v>
      </c>
      <c r="F373" s="4" t="n">
        <f aca="false">D373*Varsayımlar!$B$3</f>
        <v>0.032355725</v>
      </c>
      <c r="G373" s="5" t="n">
        <f aca="false">G372*(1+F373)</f>
        <v>3825.2819481355</v>
      </c>
    </row>
    <row r="374" customFormat="false" ht="15" hidden="false" customHeight="false" outlineLevel="0" collapsed="false">
      <c r="A374" s="3" t="n">
        <v>45134</v>
      </c>
      <c r="B374" s="10" t="n">
        <v>-0.00331529</v>
      </c>
      <c r="C374" s="5" t="n">
        <f aca="false">C373*(1+B374)</f>
        <v>2958.64941710705</v>
      </c>
      <c r="D374" s="10" t="n">
        <v>-0.0024539</v>
      </c>
      <c r="E374" s="5" t="n">
        <f aca="false">E373*(1+D374)</f>
        <v>3392.60375475767</v>
      </c>
      <c r="F374" s="4" t="n">
        <f aca="false">D374*Varsayımlar!$B$3</f>
        <v>-0.003067375</v>
      </c>
      <c r="G374" s="5" t="n">
        <f aca="false">G373*(1+F374)</f>
        <v>3813.54837391984</v>
      </c>
    </row>
    <row r="375" customFormat="false" ht="15" hidden="false" customHeight="false" outlineLevel="0" collapsed="false">
      <c r="A375" s="3" t="n">
        <v>45135</v>
      </c>
      <c r="B375" s="10" t="n">
        <v>0.01496017</v>
      </c>
      <c r="C375" s="5" t="n">
        <f aca="false">C374*(1+B375)</f>
        <v>3002.91131535738</v>
      </c>
      <c r="D375" s="10" t="n">
        <v>0.01569361</v>
      </c>
      <c r="E375" s="5" t="n">
        <f aca="false">E374*(1+D375)</f>
        <v>3445.84595496937</v>
      </c>
      <c r="F375" s="4" t="n">
        <f aca="false">D375*Varsayımlar!$B$3</f>
        <v>0.0196170125</v>
      </c>
      <c r="G375" s="5" t="n">
        <f aca="false">G374*(1+F375)</f>
        <v>3888.35880004038</v>
      </c>
    </row>
    <row r="376" customFormat="false" ht="15" hidden="false" customHeight="false" outlineLevel="0" collapsed="false">
      <c r="A376" s="3" t="n">
        <v>45136</v>
      </c>
      <c r="B376" s="10" t="n">
        <v>0.00076623</v>
      </c>
      <c r="C376" s="5" t="n">
        <f aca="false">C375*(1+B376)</f>
        <v>3005.21223609454</v>
      </c>
      <c r="D376" s="10" t="n">
        <v>-0.00256859</v>
      </c>
      <c r="E376" s="5" t="n">
        <f aca="false">E375*(1+D376)</f>
        <v>3436.9949895079</v>
      </c>
      <c r="F376" s="4" t="n">
        <f aca="false">D376*Varsayımlar!$B$3</f>
        <v>-0.0032107375</v>
      </c>
      <c r="G376" s="5" t="n">
        <f aca="false">G375*(1+F376)</f>
        <v>3875.87430062763</v>
      </c>
    </row>
    <row r="377" customFormat="false" ht="15" hidden="false" customHeight="false" outlineLevel="0" collapsed="false">
      <c r="A377" s="3" t="n">
        <v>45137</v>
      </c>
      <c r="B377" s="10" t="n">
        <v>-0.00617284</v>
      </c>
      <c r="C377" s="5" t="n">
        <f aca="false">C376*(1+B377)</f>
        <v>2986.66154179509</v>
      </c>
      <c r="D377" s="10" t="n">
        <v>-0.00264616</v>
      </c>
      <c r="E377" s="5" t="n">
        <f aca="false">E376*(1+D377)</f>
        <v>3427.90015084646</v>
      </c>
      <c r="F377" s="4" t="n">
        <f aca="false">D377*Varsayımlar!$B$3</f>
        <v>-0.0033077</v>
      </c>
      <c r="G377" s="5" t="n">
        <f aca="false">G376*(1+F377)</f>
        <v>3863.05407120345</v>
      </c>
    </row>
    <row r="378" customFormat="false" ht="15" hidden="false" customHeight="false" outlineLevel="0" collapsed="false">
      <c r="A378" s="3" t="n">
        <v>45138</v>
      </c>
      <c r="B378" s="10" t="n">
        <v>-0.01414912</v>
      </c>
      <c r="C378" s="5" t="n">
        <f aca="false">C377*(1+B378)</f>
        <v>2944.40290924085</v>
      </c>
      <c r="D378" s="10" t="n">
        <v>-0.01382686</v>
      </c>
      <c r="E378" s="5" t="n">
        <f aca="false">E377*(1+D378)</f>
        <v>3380.50305536673</v>
      </c>
      <c r="F378" s="4" t="n">
        <f aca="false">D378*Varsayımlar!$B$3</f>
        <v>-0.017283575</v>
      </c>
      <c r="G378" s="5" t="n">
        <f aca="false">G377*(1+F378)</f>
        <v>3796.28668643475</v>
      </c>
    </row>
    <row r="379" customFormat="false" ht="15" hidden="false" customHeight="false" outlineLevel="0" collapsed="false">
      <c r="A379" s="3" t="n">
        <v>45139</v>
      </c>
      <c r="B379" s="10" t="n">
        <v>-0.00401892</v>
      </c>
      <c r="C379" s="5" t="n">
        <f aca="false">C378*(1+B379)</f>
        <v>2932.56958950084</v>
      </c>
      <c r="D379" s="10" t="n">
        <v>-0.00682324</v>
      </c>
      <c r="E379" s="5" t="n">
        <f aca="false">E378*(1+D379)</f>
        <v>3357.43707169923</v>
      </c>
      <c r="F379" s="4" t="n">
        <f aca="false">D379*Varsayımlar!$B$3</f>
        <v>-0.00852905</v>
      </c>
      <c r="G379" s="5" t="n">
        <f aca="false">G378*(1+F379)</f>
        <v>3763.90796747181</v>
      </c>
    </row>
    <row r="380" customFormat="false" ht="15" hidden="false" customHeight="false" outlineLevel="0" collapsed="false">
      <c r="A380" s="3" t="n">
        <v>45140</v>
      </c>
      <c r="B380" s="10" t="n">
        <v>0.00293734</v>
      </c>
      <c r="C380" s="5" t="n">
        <f aca="false">C379*(1+B380)</f>
        <v>2941.18354345886</v>
      </c>
      <c r="D380" s="10" t="n">
        <v>0.00169211</v>
      </c>
      <c r="E380" s="5" t="n">
        <f aca="false">E379*(1+D380)</f>
        <v>3363.11822454262</v>
      </c>
      <c r="F380" s="4" t="n">
        <f aca="false">D380*Varsayımlar!$B$3</f>
        <v>0.0021151375</v>
      </c>
      <c r="G380" s="5" t="n">
        <f aca="false">G379*(1+F380)</f>
        <v>3771.86915036036</v>
      </c>
    </row>
    <row r="381" customFormat="false" ht="15" hidden="false" customHeight="false" outlineLevel="0" collapsed="false">
      <c r="A381" s="3" t="n">
        <v>45141</v>
      </c>
      <c r="B381" s="10" t="n">
        <v>0.00209573</v>
      </c>
      <c r="C381" s="5" t="n">
        <f aca="false">C380*(1+B381)</f>
        <v>2947.3474700464</v>
      </c>
      <c r="D381" s="10" t="n">
        <v>0.0007748</v>
      </c>
      <c r="E381" s="5" t="n">
        <f aca="false">E380*(1+D381)</f>
        <v>3365.723968543</v>
      </c>
      <c r="F381" s="4" t="n">
        <f aca="false">D381*Varsayımlar!$B$3</f>
        <v>0.0009685</v>
      </c>
      <c r="G381" s="5" t="n">
        <f aca="false">G380*(1+F381)</f>
        <v>3775.52220563248</v>
      </c>
    </row>
    <row r="382" customFormat="false" ht="15" hidden="false" customHeight="false" outlineLevel="0" collapsed="false">
      <c r="A382" s="3" t="n">
        <v>45142</v>
      </c>
      <c r="B382" s="10" t="n">
        <v>-0.00016763</v>
      </c>
      <c r="C382" s="5" t="n">
        <f aca="false">C381*(1+B382)</f>
        <v>2946.85340618999</v>
      </c>
      <c r="D382" s="10" t="n">
        <v>-0.00112365</v>
      </c>
      <c r="E382" s="5" t="n">
        <f aca="false">E381*(1+D382)</f>
        <v>3361.94207280574</v>
      </c>
      <c r="F382" s="4" t="n">
        <f aca="false">D382*Varsayımlar!$B$3</f>
        <v>-0.0014045625</v>
      </c>
      <c r="G382" s="5" t="n">
        <f aca="false">G381*(1+F382)</f>
        <v>3770.21924872453</v>
      </c>
    </row>
    <row r="383" customFormat="false" ht="15" hidden="false" customHeight="false" outlineLevel="0" collapsed="false">
      <c r="A383" s="3" t="n">
        <v>45143</v>
      </c>
      <c r="B383" s="10" t="n">
        <v>-0.00500654</v>
      </c>
      <c r="C383" s="5" t="n">
        <f aca="false">C382*(1+B383)</f>
        <v>2932.09986673777</v>
      </c>
      <c r="D383" s="10" t="n">
        <v>-0.00848277</v>
      </c>
      <c r="E383" s="5" t="n">
        <f aca="false">E382*(1+D383)</f>
        <v>3333.42349144881</v>
      </c>
      <c r="F383" s="4" t="n">
        <f aca="false">D383*Varsayımlar!$B$3</f>
        <v>-0.0106034625</v>
      </c>
      <c r="G383" s="5" t="n">
        <f aca="false">G382*(1+F383)</f>
        <v>3730.2418703039</v>
      </c>
    </row>
    <row r="384" customFormat="false" ht="15" hidden="false" customHeight="false" outlineLevel="0" collapsed="false">
      <c r="A384" s="3" t="n">
        <v>45144</v>
      </c>
      <c r="B384" s="10" t="n">
        <v>0.00534766</v>
      </c>
      <c r="C384" s="5" t="n">
        <f aca="false">C383*(1+B384)</f>
        <v>2947.77973991112</v>
      </c>
      <c r="D384" s="10" t="n">
        <v>0.00813486</v>
      </c>
      <c r="E384" s="5" t="n">
        <f aca="false">E383*(1+D384)</f>
        <v>3360.54042487246</v>
      </c>
      <c r="F384" s="4" t="n">
        <f aca="false">D384*Varsayımlar!$B$3</f>
        <v>0.010168575</v>
      </c>
      <c r="G384" s="5" t="n">
        <f aca="false">G383*(1+F384)</f>
        <v>3768.17311453023</v>
      </c>
    </row>
    <row r="385" customFormat="false" ht="15" hidden="false" customHeight="false" outlineLevel="0" collapsed="false">
      <c r="A385" s="3" t="n">
        <v>45145</v>
      </c>
      <c r="B385" s="10" t="n">
        <v>0.00817807</v>
      </c>
      <c r="C385" s="5" t="n">
        <f aca="false">C384*(1+B385)</f>
        <v>2971.8868889687</v>
      </c>
      <c r="D385" s="10" t="n">
        <v>0.00748094</v>
      </c>
      <c r="E385" s="5" t="n">
        <f aca="false">E384*(1+D385)</f>
        <v>3385.6804261585</v>
      </c>
      <c r="F385" s="4" t="n">
        <f aca="false">D385*Varsayımlar!$B$3</f>
        <v>0.009351175</v>
      </c>
      <c r="G385" s="5" t="n">
        <f aca="false">G384*(1+F385)</f>
        <v>3803.4099607545</v>
      </c>
    </row>
    <row r="386" customFormat="false" ht="15" hidden="false" customHeight="false" outlineLevel="0" collapsed="false">
      <c r="A386" s="3" t="n">
        <v>45146</v>
      </c>
      <c r="B386" s="10" t="n">
        <v>-0.02615561</v>
      </c>
      <c r="C386" s="5" t="n">
        <f aca="false">C385*(1+B386)</f>
        <v>2894.15537453672</v>
      </c>
      <c r="D386" s="10" t="n">
        <v>-0.0268687</v>
      </c>
      <c r="E386" s="5" t="n">
        <f aca="false">E385*(1+D386)</f>
        <v>3294.71159449218</v>
      </c>
      <c r="F386" s="4" t="n">
        <f aca="false">D386*Varsayımlar!$B$3</f>
        <v>-0.033585875</v>
      </c>
      <c r="G386" s="5" t="n">
        <f aca="false">G385*(1+F386)</f>
        <v>3675.66910923884</v>
      </c>
    </row>
    <row r="387" customFormat="false" ht="15" hidden="false" customHeight="false" outlineLevel="0" collapsed="false">
      <c r="A387" s="3" t="n">
        <v>45147</v>
      </c>
      <c r="B387" s="10" t="n">
        <v>-0.01039464</v>
      </c>
      <c r="C387" s="5" t="n">
        <f aca="false">C386*(1+B387)</f>
        <v>2864.07167131435</v>
      </c>
      <c r="D387" s="10" t="n">
        <v>-0.01318533</v>
      </c>
      <c r="E387" s="5" t="n">
        <f aca="false">E386*(1+D387)</f>
        <v>3251.26973486397</v>
      </c>
      <c r="F387" s="4" t="n">
        <f aca="false">D387*Varsayımlar!$B$3</f>
        <v>-0.0164816625</v>
      </c>
      <c r="G387" s="5" t="n">
        <f aca="false">G386*(1+F387)</f>
        <v>3615.08797151869</v>
      </c>
    </row>
    <row r="388" customFormat="false" ht="15" hidden="false" customHeight="false" outlineLevel="0" collapsed="false">
      <c r="A388" s="3" t="n">
        <v>45148</v>
      </c>
      <c r="B388" s="10" t="n">
        <v>-0.00270706</v>
      </c>
      <c r="C388" s="5" t="n">
        <f aca="false">C387*(1+B388)</f>
        <v>2856.3184574558</v>
      </c>
      <c r="D388" s="10" t="n">
        <v>-0.00356325</v>
      </c>
      <c r="E388" s="5" t="n">
        <f aca="false">E387*(1+D388)</f>
        <v>3239.68464798122</v>
      </c>
      <c r="F388" s="4" t="n">
        <f aca="false">D388*Varsayımlar!$B$3</f>
        <v>-0.0044540625</v>
      </c>
      <c r="G388" s="5" t="n">
        <f aca="false">G387*(1+F388)</f>
        <v>3598.98614375055</v>
      </c>
    </row>
    <row r="389" customFormat="false" ht="15" hidden="false" customHeight="false" outlineLevel="0" collapsed="false">
      <c r="A389" s="3" t="n">
        <v>45149</v>
      </c>
      <c r="B389" s="10" t="n">
        <v>0.03243703</v>
      </c>
      <c r="C389" s="5" t="n">
        <f aca="false">C388*(1+B389)</f>
        <v>2948.96894494985</v>
      </c>
      <c r="D389" s="10" t="n">
        <v>0.02588519</v>
      </c>
      <c r="E389" s="5" t="n">
        <f aca="false">E388*(1+D389)</f>
        <v>3323.54450063429</v>
      </c>
      <c r="F389" s="4" t="n">
        <f aca="false">D389*Varsayımlar!$B$3</f>
        <v>0.0323564875</v>
      </c>
      <c r="G389" s="5" t="n">
        <f aca="false">G388*(1+F389)</f>
        <v>3715.43669392349</v>
      </c>
    </row>
    <row r="390" customFormat="false" ht="15" hidden="false" customHeight="false" outlineLevel="0" collapsed="false">
      <c r="A390" s="3" t="n">
        <v>45150</v>
      </c>
      <c r="B390" s="10" t="n">
        <v>0.0222672</v>
      </c>
      <c r="C390" s="5" t="n">
        <f aca="false">C389*(1+B390)</f>
        <v>3014.63422624083</v>
      </c>
      <c r="D390" s="10" t="n">
        <v>0.02672015</v>
      </c>
      <c r="E390" s="5" t="n">
        <f aca="false">E389*(1+D390)</f>
        <v>3412.35010822292</v>
      </c>
      <c r="F390" s="4" t="n">
        <f aca="false">D390*Varsayımlar!$B$3</f>
        <v>0.0334001875</v>
      </c>
      <c r="G390" s="5" t="n">
        <f aca="false">G389*(1+F390)</f>
        <v>3839.53297614491</v>
      </c>
    </row>
    <row r="391" customFormat="false" ht="15" hidden="false" customHeight="false" outlineLevel="0" collapsed="false">
      <c r="A391" s="3" t="n">
        <v>45151</v>
      </c>
      <c r="B391" s="10" t="n">
        <v>0.0184537</v>
      </c>
      <c r="C391" s="5" t="n">
        <f aca="false">C390*(1+B391)</f>
        <v>3070.26538186161</v>
      </c>
      <c r="D391" s="10" t="n">
        <v>0.0128425</v>
      </c>
      <c r="E391" s="5" t="n">
        <f aca="false">E390*(1+D391)</f>
        <v>3456.17321448777</v>
      </c>
      <c r="F391" s="4" t="n">
        <f aca="false">D391*Varsayımlar!$B$3</f>
        <v>0.016053125</v>
      </c>
      <c r="G391" s="5" t="n">
        <f aca="false">G390*(1+F391)</f>
        <v>3901.16947895259</v>
      </c>
    </row>
    <row r="392" customFormat="false" ht="15" hidden="false" customHeight="false" outlineLevel="0" collapsed="false">
      <c r="A392" s="3" t="n">
        <v>45152</v>
      </c>
      <c r="B392" s="10" t="n">
        <v>0.010527</v>
      </c>
      <c r="C392" s="5" t="n">
        <f aca="false">C391*(1+B392)</f>
        <v>3102.58606553647</v>
      </c>
      <c r="D392" s="10" t="n">
        <v>0.01804892</v>
      </c>
      <c r="E392" s="5" t="n">
        <f aca="false">E391*(1+D392)</f>
        <v>3518.5534083422</v>
      </c>
      <c r="F392" s="4" t="n">
        <f aca="false">D392*Varsayımlar!$B$3</f>
        <v>0.02256115</v>
      </c>
      <c r="G392" s="5" t="n">
        <f aca="false">G391*(1+F392)</f>
        <v>3989.18434874266</v>
      </c>
    </row>
    <row r="393" customFormat="false" ht="15" hidden="false" customHeight="false" outlineLevel="0" collapsed="false">
      <c r="A393" s="3" t="n">
        <v>45153</v>
      </c>
      <c r="B393" s="10" t="n">
        <v>0.01081885</v>
      </c>
      <c r="C393" s="5" t="n">
        <f aca="false">C392*(1+B393)</f>
        <v>3136.1524787916</v>
      </c>
      <c r="D393" s="10" t="n">
        <v>0.01084376</v>
      </c>
      <c r="E393" s="5" t="n">
        <f aca="false">E392*(1+D393)</f>
        <v>3556.70775704945</v>
      </c>
      <c r="F393" s="4" t="n">
        <f aca="false">D393*Varsayımlar!$B$3</f>
        <v>0.0135547</v>
      </c>
      <c r="G393" s="5" t="n">
        <f aca="false">G392*(1+F393)</f>
        <v>4043.25654583456</v>
      </c>
    </row>
    <row r="394" customFormat="false" ht="15" hidden="false" customHeight="false" outlineLevel="0" collapsed="false">
      <c r="A394" s="3" t="n">
        <v>45154</v>
      </c>
      <c r="B394" s="10" t="n">
        <v>0.02737518</v>
      </c>
      <c r="C394" s="5" t="n">
        <f aca="false">C393*(1+B394)</f>
        <v>3222.00521740597</v>
      </c>
      <c r="D394" s="10" t="n">
        <v>0.02921673</v>
      </c>
      <c r="E394" s="5" t="n">
        <f aca="false">E393*(1+D394)</f>
        <v>3660.62312727607</v>
      </c>
      <c r="F394" s="4" t="n">
        <f aca="false">D394*Varsayımlar!$B$3</f>
        <v>0.0365209125</v>
      </c>
      <c r="G394" s="5" t="n">
        <f aca="false">G393*(1+F394)</f>
        <v>4190.91996436004</v>
      </c>
    </row>
    <row r="395" customFormat="false" ht="15" hidden="false" customHeight="false" outlineLevel="0" collapsed="false">
      <c r="A395" s="3" t="n">
        <v>45155</v>
      </c>
      <c r="B395" s="10" t="n">
        <v>0.03423551</v>
      </c>
      <c r="C395" s="5" t="n">
        <f aca="false">C394*(1+B395)</f>
        <v>3332.31220924652</v>
      </c>
      <c r="D395" s="10" t="n">
        <v>0.04491699</v>
      </c>
      <c r="E395" s="5" t="n">
        <f aca="false">E394*(1+D395)</f>
        <v>3825.04729967769</v>
      </c>
      <c r="F395" s="4" t="n">
        <f aca="false">D395*Varsayımlar!$B$3</f>
        <v>0.0561462375</v>
      </c>
      <c r="G395" s="5" t="n">
        <f aca="false">G394*(1+F395)</f>
        <v>4426.22435202249</v>
      </c>
    </row>
    <row r="396" customFormat="false" ht="15" hidden="false" customHeight="false" outlineLevel="0" collapsed="false">
      <c r="A396" s="3" t="n">
        <v>45156</v>
      </c>
      <c r="B396" s="10" t="n">
        <v>0.03785271</v>
      </c>
      <c r="C396" s="5" t="n">
        <f aca="false">C395*(1+B396)</f>
        <v>3458.44925693259</v>
      </c>
      <c r="D396" s="10" t="n">
        <v>0.03547605</v>
      </c>
      <c r="E396" s="5" t="n">
        <f aca="false">E395*(1+D396)</f>
        <v>3960.74486893343</v>
      </c>
      <c r="F396" s="4" t="n">
        <f aca="false">D396*Varsayımlar!$B$3</f>
        <v>0.0443450625</v>
      </c>
      <c r="G396" s="5" t="n">
        <f aca="false">G395*(1+F396)</f>
        <v>4622.50554755195</v>
      </c>
    </row>
    <row r="397" customFormat="false" ht="15" hidden="false" customHeight="false" outlineLevel="0" collapsed="false">
      <c r="A397" s="3" t="n">
        <v>45157</v>
      </c>
      <c r="B397" s="10" t="n">
        <v>0.03061185</v>
      </c>
      <c r="C397" s="5" t="n">
        <f aca="false">C396*(1+B397)</f>
        <v>3564.31878681842</v>
      </c>
      <c r="D397" s="10" t="n">
        <v>0.03571365</v>
      </c>
      <c r="E397" s="5" t="n">
        <f aca="false">E396*(1+D397)</f>
        <v>4102.19752492181</v>
      </c>
      <c r="F397" s="4" t="n">
        <f aca="false">D397*Varsayımlar!$B$3</f>
        <v>0.0446420625</v>
      </c>
      <c r="G397" s="5" t="n">
        <f aca="false">G396*(1+F397)</f>
        <v>4828.86372911236</v>
      </c>
    </row>
    <row r="398" customFormat="false" ht="15" hidden="false" customHeight="false" outlineLevel="0" collapsed="false">
      <c r="A398" s="3" t="n">
        <v>45158</v>
      </c>
      <c r="B398" s="10" t="n">
        <v>-0.00892204</v>
      </c>
      <c r="C398" s="5" t="n">
        <f aca="false">C397*(1+B398)</f>
        <v>3532.51779202967</v>
      </c>
      <c r="D398" s="10" t="n">
        <v>-0.01326172</v>
      </c>
      <c r="E398" s="5" t="n">
        <f aca="false">E397*(1+D398)</f>
        <v>4047.7953299616</v>
      </c>
      <c r="F398" s="4" t="n">
        <f aca="false">D398*Varsayımlar!$B$3</f>
        <v>-0.01657715</v>
      </c>
      <c r="G398" s="5" t="n">
        <f aca="false">G397*(1+F398)</f>
        <v>4748.8149307453</v>
      </c>
    </row>
    <row r="399" customFormat="false" ht="15" hidden="false" customHeight="false" outlineLevel="0" collapsed="false">
      <c r="A399" s="3" t="n">
        <v>45159</v>
      </c>
      <c r="B399" s="10" t="n">
        <v>0.03818797</v>
      </c>
      <c r="C399" s="5" t="n">
        <f aca="false">C398*(1+B399)</f>
        <v>3667.41747549617</v>
      </c>
      <c r="D399" s="10" t="n">
        <v>0.05618392</v>
      </c>
      <c r="E399" s="5" t="n">
        <f aca="false">E398*(1+D399)</f>
        <v>4275.21633895654</v>
      </c>
      <c r="F399" s="4" t="n">
        <f aca="false">D399*Varsayımlar!$B$3</f>
        <v>0.0702299</v>
      </c>
      <c r="G399" s="5" t="n">
        <f aca="false">G398*(1+F399)</f>
        <v>5082.32372845005</v>
      </c>
    </row>
    <row r="400" customFormat="false" ht="15" hidden="false" customHeight="false" outlineLevel="0" collapsed="false">
      <c r="A400" s="3" t="n">
        <v>45160</v>
      </c>
      <c r="B400" s="10" t="n">
        <v>-0.0090528</v>
      </c>
      <c r="C400" s="5" t="n">
        <f aca="false">C399*(1+B400)</f>
        <v>3634.217078574</v>
      </c>
      <c r="D400" s="10" t="n">
        <v>-0.01482291</v>
      </c>
      <c r="E400" s="5" t="n">
        <f aca="false">E399*(1+D400)</f>
        <v>4211.84519193366</v>
      </c>
      <c r="F400" s="4" t="n">
        <f aca="false">D400*Varsayımlar!$B$3</f>
        <v>-0.0185286375</v>
      </c>
      <c r="G400" s="5" t="n">
        <f aca="false">G399*(1+F400)</f>
        <v>4988.15519442795</v>
      </c>
    </row>
    <row r="401" customFormat="false" ht="15" hidden="false" customHeight="false" outlineLevel="0" collapsed="false">
      <c r="A401" s="3" t="n">
        <v>45161</v>
      </c>
      <c r="B401" s="10" t="n">
        <v>0.01555409</v>
      </c>
      <c r="C401" s="5" t="n">
        <f aca="false">C400*(1+B401)</f>
        <v>3690.74401809368</v>
      </c>
      <c r="D401" s="10" t="n">
        <v>0.01709268</v>
      </c>
      <c r="E401" s="5" t="n">
        <f aca="false">E400*(1+D401)</f>
        <v>4283.83691400892</v>
      </c>
      <c r="F401" s="4" t="n">
        <f aca="false">D401*Varsayımlar!$B$3</f>
        <v>0.02136585</v>
      </c>
      <c r="G401" s="5" t="n">
        <f aca="false">G400*(1+F401)</f>
        <v>5094.73137008882</v>
      </c>
    </row>
    <row r="402" customFormat="false" ht="15" hidden="false" customHeight="false" outlineLevel="0" collapsed="false">
      <c r="A402" s="3" t="n">
        <v>45162</v>
      </c>
      <c r="B402" s="10" t="n">
        <v>0.00361898</v>
      </c>
      <c r="C402" s="5" t="n">
        <f aca="false">C401*(1+B402)</f>
        <v>3704.10074688028</v>
      </c>
      <c r="D402" s="10" t="n">
        <v>-0.00130297</v>
      </c>
      <c r="E402" s="5" t="n">
        <f aca="false">E401*(1+D402)</f>
        <v>4278.25520302507</v>
      </c>
      <c r="F402" s="4" t="n">
        <f aca="false">D402*Varsayımlar!$B$3</f>
        <v>-0.0016287125</v>
      </c>
      <c r="G402" s="5" t="n">
        <f aca="false">G401*(1+F402)</f>
        <v>5086.43351742221</v>
      </c>
    </row>
    <row r="403" customFormat="false" ht="15" hidden="false" customHeight="false" outlineLevel="0" collapsed="false">
      <c r="A403" s="3" t="n">
        <v>45163</v>
      </c>
      <c r="B403" s="10" t="n">
        <v>-0.01211595</v>
      </c>
      <c r="C403" s="5" t="n">
        <f aca="false">C402*(1+B403)</f>
        <v>3659.22204743611</v>
      </c>
      <c r="D403" s="10" t="n">
        <v>-0.01371914</v>
      </c>
      <c r="E403" s="5" t="n">
        <f aca="false">E402*(1+D403)</f>
        <v>4219.56122093904</v>
      </c>
      <c r="F403" s="4" t="n">
        <f aca="false">D403*Varsayımlar!$B$3</f>
        <v>-0.017148925</v>
      </c>
      <c r="G403" s="5" t="n">
        <f aca="false">G402*(1+F403)</f>
        <v>4999.20665051445</v>
      </c>
    </row>
    <row r="404" customFormat="false" ht="15" hidden="false" customHeight="false" outlineLevel="0" collapsed="false">
      <c r="A404" s="3" t="n">
        <v>45164</v>
      </c>
      <c r="B404" s="10" t="n">
        <v>0.00690033</v>
      </c>
      <c r="C404" s="5" t="n">
        <f aca="false">C403*(1+B404)</f>
        <v>3684.4718871067</v>
      </c>
      <c r="D404" s="10" t="n">
        <v>0.0085204</v>
      </c>
      <c r="E404" s="5" t="n">
        <f aca="false">E403*(1+D404)</f>
        <v>4255.51357036593</v>
      </c>
      <c r="F404" s="4" t="n">
        <f aca="false">D404*Varsayımlar!$B$3</f>
        <v>0.0106505</v>
      </c>
      <c r="G404" s="5" t="n">
        <f aca="false">G403*(1+F404)</f>
        <v>5052.45070094576</v>
      </c>
    </row>
    <row r="405" customFormat="false" ht="15" hidden="false" customHeight="false" outlineLevel="0" collapsed="false">
      <c r="A405" s="3" t="n">
        <v>45165</v>
      </c>
      <c r="B405" s="10" t="n">
        <v>0.0015062</v>
      </c>
      <c r="C405" s="5" t="n">
        <f aca="false">C404*(1+B405)</f>
        <v>3690.02143866306</v>
      </c>
      <c r="D405" s="10" t="n">
        <v>-0.00052049</v>
      </c>
      <c r="E405" s="5" t="n">
        <f aca="false">E404*(1+D405)</f>
        <v>4253.29861810769</v>
      </c>
      <c r="F405" s="4" t="n">
        <f aca="false">D405*Varsayımlar!$B$3</f>
        <v>-0.0006506125</v>
      </c>
      <c r="G405" s="5" t="n">
        <f aca="false">G404*(1+F405)</f>
        <v>5049.16351336409</v>
      </c>
    </row>
    <row r="406" customFormat="false" ht="15" hidden="false" customHeight="false" outlineLevel="0" collapsed="false">
      <c r="A406" s="3" t="n">
        <v>45166</v>
      </c>
      <c r="B406" s="10" t="n">
        <v>-0.00304588</v>
      </c>
      <c r="C406" s="5" t="n">
        <f aca="false">C405*(1+B406)</f>
        <v>3678.78207616346</v>
      </c>
      <c r="D406" s="10" t="n">
        <v>-0.00281437</v>
      </c>
      <c r="E406" s="5" t="n">
        <f aca="false">E405*(1+D406)</f>
        <v>4241.32826207585</v>
      </c>
      <c r="F406" s="4" t="n">
        <f aca="false">D406*Varsayımlar!$B$3</f>
        <v>-0.0035179625</v>
      </c>
      <c r="G406" s="5" t="n">
        <f aca="false">G405*(1+F406)</f>
        <v>5031.4007454677</v>
      </c>
    </row>
    <row r="407" customFormat="false" ht="15" hidden="false" customHeight="false" outlineLevel="0" collapsed="false">
      <c r="A407" s="3" t="n">
        <v>45167</v>
      </c>
      <c r="B407" s="10" t="n">
        <v>0.00827034</v>
      </c>
      <c r="C407" s="5" t="n">
        <f aca="false">C406*(1+B407)</f>
        <v>3709.20685471924</v>
      </c>
      <c r="D407" s="10" t="n">
        <v>0.00680767</v>
      </c>
      <c r="E407" s="5" t="n">
        <f aca="false">E406*(1+D407)</f>
        <v>4270.20182524574</v>
      </c>
      <c r="F407" s="4" t="n">
        <f aca="false">D407*Varsayımlar!$B$3</f>
        <v>0.0085095875</v>
      </c>
      <c r="G407" s="5" t="n">
        <f aca="false">G406*(1+F407)</f>
        <v>5074.21589035883</v>
      </c>
    </row>
    <row r="408" customFormat="false" ht="15" hidden="false" customHeight="false" outlineLevel="0" collapsed="false">
      <c r="A408" s="3" t="n">
        <v>45168</v>
      </c>
      <c r="B408" s="10" t="n">
        <v>0.02536818</v>
      </c>
      <c r="C408" s="5" t="n">
        <f aca="false">C407*(1+B408)</f>
        <v>3803.30268186699</v>
      </c>
      <c r="D408" s="10" t="n">
        <v>0.03456871</v>
      </c>
      <c r="E408" s="5" t="n">
        <f aca="false">E407*(1+D408)</f>
        <v>4417.81719378413</v>
      </c>
      <c r="F408" s="4" t="n">
        <f aca="false">D408*Varsayımlar!$B$3</f>
        <v>0.0432108875</v>
      </c>
      <c r="G408" s="5" t="n">
        <f aca="false">G407*(1+F408)</f>
        <v>5293.47726234783</v>
      </c>
    </row>
    <row r="409" customFormat="false" ht="15" hidden="false" customHeight="false" outlineLevel="0" collapsed="false">
      <c r="A409" s="3" t="n">
        <v>45169</v>
      </c>
      <c r="B409" s="10" t="n">
        <v>0.01798617</v>
      </c>
      <c r="C409" s="5" t="n">
        <f aca="false">C408*(1+B409)</f>
        <v>3871.70953046451</v>
      </c>
      <c r="D409" s="10" t="n">
        <v>0.02857331</v>
      </c>
      <c r="E409" s="5" t="n">
        <f aca="false">E408*(1+D409)</f>
        <v>4544.04885398545</v>
      </c>
      <c r="F409" s="4" t="n">
        <f aca="false">D409*Varsayımlar!$B$3</f>
        <v>0.0357166375</v>
      </c>
      <c r="G409" s="5" t="n">
        <f aca="false">G408*(1+F409)</f>
        <v>5482.5424708416</v>
      </c>
    </row>
    <row r="410" customFormat="false" ht="15" hidden="false" customHeight="false" outlineLevel="0" collapsed="false">
      <c r="A410" s="3" t="n">
        <v>45170</v>
      </c>
      <c r="B410" s="10" t="n">
        <v>0.02837129</v>
      </c>
      <c r="C410" s="5" t="n">
        <f aca="false">C409*(1+B410)</f>
        <v>3981.55492434908</v>
      </c>
      <c r="D410" s="10" t="n">
        <v>0.03102237</v>
      </c>
      <c r="E410" s="5" t="n">
        <f aca="false">E409*(1+D410)</f>
        <v>4685.01601883186</v>
      </c>
      <c r="F410" s="4" t="n">
        <f aca="false">D410*Varsayımlar!$B$3</f>
        <v>0.0387779625</v>
      </c>
      <c r="G410" s="5" t="n">
        <f aca="false">G409*(1+F410)</f>
        <v>5695.14429718056</v>
      </c>
    </row>
    <row r="411" customFormat="false" ht="15" hidden="false" customHeight="false" outlineLevel="0" collapsed="false">
      <c r="A411" s="3" t="n">
        <v>45171</v>
      </c>
      <c r="B411" s="10" t="n">
        <v>-0.01989399</v>
      </c>
      <c r="C411" s="5" t="n">
        <f aca="false">C410*(1+B411)</f>
        <v>3902.34591049963</v>
      </c>
      <c r="D411" s="10" t="n">
        <v>-0.024306</v>
      </c>
      <c r="E411" s="5" t="n">
        <f aca="false">E410*(1+D411)</f>
        <v>4571.14201947814</v>
      </c>
      <c r="F411" s="4" t="n">
        <f aca="false">D411*Varsayımlar!$B$3</f>
        <v>-0.0303825</v>
      </c>
      <c r="G411" s="5" t="n">
        <f aca="false">G410*(1+F411)</f>
        <v>5522.11157557147</v>
      </c>
    </row>
    <row r="412" customFormat="false" ht="15" hidden="false" customHeight="false" outlineLevel="0" collapsed="false">
      <c r="A412" s="3" t="n">
        <v>45172</v>
      </c>
      <c r="B412" s="10" t="n">
        <v>0.03212018</v>
      </c>
      <c r="C412" s="5" t="n">
        <f aca="false">C411*(1+B412)</f>
        <v>4027.68996356714</v>
      </c>
      <c r="D412" s="10" t="n">
        <v>0.04341438</v>
      </c>
      <c r="E412" s="5" t="n">
        <f aca="false">E411*(1+D412)</f>
        <v>4769.59531614573</v>
      </c>
      <c r="F412" s="4" t="n">
        <f aca="false">D412*Varsayımlar!$B$3</f>
        <v>0.054267975</v>
      </c>
      <c r="G412" s="5" t="n">
        <f aca="false">G411*(1+F412)</f>
        <v>5821.78538850179</v>
      </c>
    </row>
    <row r="413" customFormat="false" ht="15" hidden="false" customHeight="false" outlineLevel="0" collapsed="false">
      <c r="A413" s="3" t="n">
        <v>45173</v>
      </c>
      <c r="B413" s="10" t="n">
        <v>0.00483676</v>
      </c>
      <c r="C413" s="5" t="n">
        <f aca="false">C412*(1+B413)</f>
        <v>4047.17093327532</v>
      </c>
      <c r="D413" s="10" t="n">
        <v>0.00310271</v>
      </c>
      <c r="E413" s="5" t="n">
        <f aca="false">E412*(1+D413)</f>
        <v>4784.39398722908</v>
      </c>
      <c r="F413" s="4" t="n">
        <f aca="false">D413*Varsayımlar!$B$3</f>
        <v>0.0038783875</v>
      </c>
      <c r="G413" s="5" t="n">
        <f aca="false">G412*(1+F413)</f>
        <v>5844.36452818024</v>
      </c>
    </row>
    <row r="414" customFormat="false" ht="15" hidden="false" customHeight="false" outlineLevel="0" collapsed="false">
      <c r="A414" s="3" t="n">
        <v>45174</v>
      </c>
      <c r="B414" s="10" t="n">
        <v>0.00593428</v>
      </c>
      <c r="C414" s="5" t="n">
        <f aca="false">C413*(1+B414)</f>
        <v>4071.18797880124</v>
      </c>
      <c r="D414" s="10" t="n">
        <v>0.00641262</v>
      </c>
      <c r="E414" s="5" t="n">
        <f aca="false">E413*(1+D414)</f>
        <v>4815.07448779947</v>
      </c>
      <c r="F414" s="4" t="n">
        <f aca="false">D414*Varsayımlar!$B$3</f>
        <v>0.008015775</v>
      </c>
      <c r="G414" s="5" t="n">
        <f aca="false">G413*(1+F414)</f>
        <v>5891.21163925611</v>
      </c>
    </row>
    <row r="415" customFormat="false" ht="15" hidden="false" customHeight="false" outlineLevel="0" collapsed="false">
      <c r="A415" s="3" t="n">
        <v>45175</v>
      </c>
      <c r="B415" s="10" t="n">
        <v>0.02406264</v>
      </c>
      <c r="C415" s="5" t="n">
        <f aca="false">C414*(1+B415)</f>
        <v>4169.15150950746</v>
      </c>
      <c r="D415" s="10" t="n">
        <v>0.02637987</v>
      </c>
      <c r="E415" s="5" t="n">
        <f aca="false">E414*(1+D415)</f>
        <v>4942.09552682794</v>
      </c>
      <c r="F415" s="4" t="n">
        <f aca="false">D415*Varsayımlar!$B$3</f>
        <v>0.0329748375</v>
      </c>
      <c r="G415" s="5" t="n">
        <f aca="false">G414*(1+F415)</f>
        <v>6085.47338573869</v>
      </c>
    </row>
    <row r="416" customFormat="false" ht="15" hidden="false" customHeight="false" outlineLevel="0" collapsed="false">
      <c r="A416" s="3" t="n">
        <v>45176</v>
      </c>
      <c r="B416" s="10" t="n">
        <v>0.04292958</v>
      </c>
      <c r="C416" s="5" t="n">
        <f aca="false">C415*(1+B416)</f>
        <v>4348.13143276698</v>
      </c>
      <c r="D416" s="10" t="n">
        <v>0.0698536</v>
      </c>
      <c r="E416" s="5" t="n">
        <f aca="false">E415*(1+D416)</f>
        <v>5287.31869092076</v>
      </c>
      <c r="F416" s="4" t="n">
        <f aca="false">D416*Varsayımlar!$B$3</f>
        <v>0.087317</v>
      </c>
      <c r="G416" s="5" t="n">
        <f aca="false">G415*(1+F416)</f>
        <v>6616.83866536124</v>
      </c>
    </row>
    <row r="417" customFormat="false" ht="15" hidden="false" customHeight="false" outlineLevel="0" collapsed="false">
      <c r="A417" s="3" t="n">
        <v>45177</v>
      </c>
      <c r="B417" s="10" t="n">
        <v>-0.01460907</v>
      </c>
      <c r="C417" s="5" t="n">
        <f aca="false">C416*(1+B417)</f>
        <v>4284.60927629649</v>
      </c>
      <c r="D417" s="10" t="n">
        <v>-0.01784282</v>
      </c>
      <c r="E417" s="5" t="n">
        <f aca="false">E416*(1+D417)</f>
        <v>5192.97801523603</v>
      </c>
      <c r="F417" s="4" t="n">
        <f aca="false">D417*Varsayımlar!$B$3</f>
        <v>-0.022303525</v>
      </c>
      <c r="G417" s="5" t="n">
        <f aca="false">G416*(1+F417)</f>
        <v>6469.25983876739</v>
      </c>
    </row>
    <row r="418" customFormat="false" ht="15" hidden="false" customHeight="false" outlineLevel="0" collapsed="false">
      <c r="A418" s="3" t="n">
        <v>45178</v>
      </c>
      <c r="B418" s="10" t="n">
        <v>-0.00794659</v>
      </c>
      <c r="C418" s="5" t="n">
        <f aca="false">C417*(1+B418)</f>
        <v>4250.56124306756</v>
      </c>
      <c r="D418" s="10" t="n">
        <v>-0.00786962</v>
      </c>
      <c r="E418" s="5" t="n">
        <f aca="false">E417*(1+D418)</f>
        <v>5152.11125158777</v>
      </c>
      <c r="F418" s="4" t="n">
        <f aca="false">D418*Varsayımlar!$B$3</f>
        <v>-0.009837025</v>
      </c>
      <c r="G418" s="5" t="n">
        <f aca="false">G417*(1+F418)</f>
        <v>6405.62156800194</v>
      </c>
    </row>
    <row r="419" customFormat="false" ht="15" hidden="false" customHeight="false" outlineLevel="0" collapsed="false">
      <c r="A419" s="3" t="n">
        <v>45179</v>
      </c>
      <c r="B419" s="10" t="n">
        <v>0.02370055</v>
      </c>
      <c r="C419" s="5" t="n">
        <f aca="false">C418*(1+B419)</f>
        <v>4351.30188233695</v>
      </c>
      <c r="D419" s="10" t="n">
        <v>0.02969159</v>
      </c>
      <c r="E419" s="5" t="n">
        <f aca="false">E418*(1+D419)</f>
        <v>5305.0856265043</v>
      </c>
      <c r="F419" s="4" t="n">
        <f aca="false">D419*Varsayımlar!$B$3</f>
        <v>0.0371144875</v>
      </c>
      <c r="G419" s="5" t="n">
        <f aca="false">G418*(1+F419)</f>
        <v>6643.36292961727</v>
      </c>
    </row>
    <row r="420" customFormat="false" ht="15" hidden="false" customHeight="false" outlineLevel="0" collapsed="false">
      <c r="A420" s="3" t="n">
        <v>45180</v>
      </c>
      <c r="B420" s="10" t="n">
        <v>0.01161013</v>
      </c>
      <c r="C420" s="5" t="n">
        <f aca="false">C419*(1+B420)</f>
        <v>4401.82106286013</v>
      </c>
      <c r="D420" s="10" t="n">
        <v>0.01402284</v>
      </c>
      <c r="E420" s="5" t="n">
        <f aca="false">E419*(1+D420)</f>
        <v>5379.47799343107</v>
      </c>
      <c r="F420" s="4" t="n">
        <f aca="false">D420*Varsayımlar!$B$3</f>
        <v>0.01752855</v>
      </c>
      <c r="G420" s="5" t="n">
        <f aca="false">G419*(1+F420)</f>
        <v>6759.81144889722</v>
      </c>
    </row>
    <row r="421" customFormat="false" ht="15" hidden="false" customHeight="false" outlineLevel="0" collapsed="false">
      <c r="A421" s="3" t="n">
        <v>45181</v>
      </c>
      <c r="B421" s="10" t="n">
        <v>0.03040456</v>
      </c>
      <c r="C421" s="5" t="n">
        <f aca="false">C420*(1+B421)</f>
        <v>4535.65649547512</v>
      </c>
      <c r="D421" s="10" t="n">
        <v>0.02590803</v>
      </c>
      <c r="E421" s="5" t="n">
        <f aca="false">E420*(1+D421)</f>
        <v>5518.84967066922</v>
      </c>
      <c r="F421" s="4" t="n">
        <f aca="false">D421*Varsayımlar!$B$3</f>
        <v>0.0323850375</v>
      </c>
      <c r="G421" s="5" t="n">
        <f aca="false">G420*(1+F421)</f>
        <v>6978.72819616268</v>
      </c>
    </row>
    <row r="422" customFormat="false" ht="15" hidden="false" customHeight="false" outlineLevel="0" collapsed="false">
      <c r="A422" s="3" t="n">
        <v>45182</v>
      </c>
      <c r="B422" s="10" t="n">
        <v>0.03110407</v>
      </c>
      <c r="C422" s="5" t="n">
        <f aca="false">C421*(1+B422)</f>
        <v>4676.73387260633</v>
      </c>
      <c r="D422" s="10" t="n">
        <v>0.0296063</v>
      </c>
      <c r="E422" s="5" t="n">
        <f aca="false">E421*(1+D422)</f>
        <v>5682.24238967396</v>
      </c>
      <c r="F422" s="4" t="n">
        <f aca="false">D422*Varsayımlar!$B$3</f>
        <v>0.037007875</v>
      </c>
      <c r="G422" s="5" t="n">
        <f aca="false">G421*(1+F422)</f>
        <v>7236.99609690525</v>
      </c>
    </row>
    <row r="423" customFormat="false" ht="15" hidden="false" customHeight="false" outlineLevel="0" collapsed="false">
      <c r="A423" s="3" t="n">
        <v>45183</v>
      </c>
      <c r="B423" s="10" t="n">
        <v>0.03024895</v>
      </c>
      <c r="C423" s="5" t="n">
        <f aca="false">C422*(1+B423)</f>
        <v>4818.20016168211</v>
      </c>
      <c r="D423" s="10" t="n">
        <v>0.0322012</v>
      </c>
      <c r="E423" s="5" t="n">
        <f aca="false">E422*(1+D423)</f>
        <v>5865.21741331232</v>
      </c>
      <c r="F423" s="4" t="n">
        <f aca="false">D423*Varsayımlar!$B$3</f>
        <v>0.0402515</v>
      </c>
      <c r="G423" s="5" t="n">
        <f aca="false">G422*(1+F423)</f>
        <v>7528.29604529983</v>
      </c>
    </row>
    <row r="424" customFormat="false" ht="15" hidden="false" customHeight="false" outlineLevel="0" collapsed="false">
      <c r="A424" s="3" t="n">
        <v>45184</v>
      </c>
      <c r="B424" s="10" t="n">
        <v>0.05020386</v>
      </c>
      <c r="C424" s="5" t="n">
        <f aca="false">C423*(1+B424)</f>
        <v>5060.09240805117</v>
      </c>
      <c r="D424" s="10" t="n">
        <v>0.06371991</v>
      </c>
      <c r="E424" s="5" t="n">
        <f aca="false">E423*(1+D424)</f>
        <v>6238.94853901902</v>
      </c>
      <c r="F424" s="4" t="n">
        <f aca="false">D424*Varsayımlar!$B$3</f>
        <v>0.0796498875</v>
      </c>
      <c r="G424" s="5" t="n">
        <f aca="false">G423*(1+F424)</f>
        <v>8127.92397837466</v>
      </c>
    </row>
    <row r="425" customFormat="false" ht="15" hidden="false" customHeight="false" outlineLevel="0" collapsed="false">
      <c r="A425" s="3" t="n">
        <v>45185</v>
      </c>
      <c r="B425" s="10" t="n">
        <v>-0.00817533</v>
      </c>
      <c r="C425" s="5" t="n">
        <f aca="false">C424*(1+B425)</f>
        <v>5018.72448278486</v>
      </c>
      <c r="D425" s="10" t="n">
        <v>-0.00833539</v>
      </c>
      <c r="E425" s="5" t="n">
        <f aca="false">E424*(1+D425)</f>
        <v>6186.94446975637</v>
      </c>
      <c r="F425" s="4" t="n">
        <f aca="false">D425*Varsayımlar!$B$3</f>
        <v>-0.0104192375</v>
      </c>
      <c r="G425" s="5" t="n">
        <f aca="false">G424*(1+F425)</f>
        <v>8043.23720806203</v>
      </c>
    </row>
    <row r="426" customFormat="false" ht="15" hidden="false" customHeight="false" outlineLevel="0" collapsed="false">
      <c r="A426" s="3" t="n">
        <v>45186</v>
      </c>
      <c r="B426" s="10" t="n">
        <v>-0.02420969</v>
      </c>
      <c r="C426" s="5" t="n">
        <f aca="false">C425*(1+B426)</f>
        <v>4897.22271886123</v>
      </c>
      <c r="D426" s="10" t="n">
        <v>-0.03110893</v>
      </c>
      <c r="E426" s="5" t="n">
        <f aca="false">E425*(1+D426)</f>
        <v>5994.47524733283</v>
      </c>
      <c r="F426" s="4" t="n">
        <f aca="false">D426*Varsayımlar!$B$3</f>
        <v>-0.0388861625</v>
      </c>
      <c r="G426" s="5" t="n">
        <f aca="false">G425*(1+F426)</f>
        <v>7730.46657896328</v>
      </c>
    </row>
    <row r="427" customFormat="false" ht="15" hidden="false" customHeight="false" outlineLevel="0" collapsed="false">
      <c r="A427" s="3" t="n">
        <v>45187</v>
      </c>
      <c r="B427" s="10" t="n">
        <v>0.03653395</v>
      </c>
      <c r="C427" s="5" t="n">
        <f aca="false">C426*(1+B427)</f>
        <v>5076.13760881097</v>
      </c>
      <c r="D427" s="10" t="n">
        <v>0.03863099</v>
      </c>
      <c r="E427" s="5" t="n">
        <f aca="false">E426*(1+D427)</f>
        <v>6226.04776066779</v>
      </c>
      <c r="F427" s="4" t="n">
        <f aca="false">D427*Varsayımlar!$B$3</f>
        <v>0.0482887375</v>
      </c>
      <c r="G427" s="5" t="n">
        <f aca="false">G426*(1+F427)</f>
        <v>8103.76105034736</v>
      </c>
    </row>
    <row r="428" customFormat="false" ht="15" hidden="false" customHeight="false" outlineLevel="0" collapsed="false">
      <c r="A428" s="3" t="n">
        <v>45188</v>
      </c>
      <c r="B428" s="10" t="n">
        <v>0.07564432</v>
      </c>
      <c r="C428" s="5" t="n">
        <f aca="false">C427*(1+B428)</f>
        <v>5460.1185864559</v>
      </c>
      <c r="D428" s="10" t="n">
        <v>0.07715682</v>
      </c>
      <c r="E428" s="5" t="n">
        <f aca="false">E427*(1+D428)</f>
        <v>6706.42980704904</v>
      </c>
      <c r="F428" s="4" t="n">
        <f aca="false">D428*Varsayımlar!$B$3</f>
        <v>0.096446025</v>
      </c>
      <c r="G428" s="5" t="n">
        <f aca="false">G427*(1+F428)</f>
        <v>8885.33659120319</v>
      </c>
    </row>
    <row r="429" customFormat="false" ht="15" hidden="false" customHeight="false" outlineLevel="0" collapsed="false">
      <c r="A429" s="3" t="n">
        <v>45189</v>
      </c>
      <c r="B429" s="10" t="n">
        <v>0.00329042</v>
      </c>
      <c r="C429" s="5" t="n">
        <f aca="false">C428*(1+B429)</f>
        <v>5478.08466985515</v>
      </c>
      <c r="D429" s="10" t="n">
        <v>0.00502777</v>
      </c>
      <c r="E429" s="5" t="n">
        <f aca="false">E428*(1+D429)</f>
        <v>6740.14819364002</v>
      </c>
      <c r="F429" s="4" t="n">
        <f aca="false">D429*Varsayımlar!$B$3</f>
        <v>0.0062847125</v>
      </c>
      <c r="G429" s="5" t="n">
        <f aca="false">G428*(1+F429)</f>
        <v>8941.17837714463</v>
      </c>
    </row>
    <row r="430" customFormat="false" ht="15" hidden="false" customHeight="false" outlineLevel="0" collapsed="false">
      <c r="A430" s="3" t="n">
        <v>45190</v>
      </c>
      <c r="B430" s="10" t="n">
        <v>-0.0225272</v>
      </c>
      <c r="C430" s="5" t="n">
        <f aca="false">C429*(1+B430)</f>
        <v>5354.67876088039</v>
      </c>
      <c r="D430" s="10" t="n">
        <v>-0.02513224</v>
      </c>
      <c r="E430" s="5" t="n">
        <f aca="false">E429*(1+D430)</f>
        <v>6570.7531716019</v>
      </c>
      <c r="F430" s="4" t="n">
        <f aca="false">D430*Varsayımlar!$B$3</f>
        <v>-0.0314153</v>
      </c>
      <c r="G430" s="5" t="n">
        <f aca="false">G429*(1+F430)</f>
        <v>8660.28857607312</v>
      </c>
    </row>
    <row r="431" customFormat="false" ht="15" hidden="false" customHeight="false" outlineLevel="0" collapsed="false">
      <c r="A431" s="3" t="n">
        <v>45191</v>
      </c>
      <c r="B431" s="10" t="n">
        <v>-0.00301871</v>
      </c>
      <c r="C431" s="5" t="n">
        <f aca="false">C430*(1+B431)</f>
        <v>5338.51453855813</v>
      </c>
      <c r="D431" s="10" t="n">
        <v>-0.00606113</v>
      </c>
      <c r="E431" s="5" t="n">
        <f aca="false">E430*(1+D431)</f>
        <v>6530.92698243091</v>
      </c>
      <c r="F431" s="4" t="n">
        <f aca="false">D431*Varsayımlar!$B$3</f>
        <v>-0.0075764125</v>
      </c>
      <c r="G431" s="5" t="n">
        <f aca="false">G430*(1+F431)</f>
        <v>8594.67465745175</v>
      </c>
    </row>
    <row r="432" customFormat="false" ht="15" hidden="false" customHeight="false" outlineLevel="0" collapsed="false">
      <c r="A432" s="3" t="n">
        <v>45192</v>
      </c>
      <c r="B432" s="10" t="n">
        <v>0.00520292</v>
      </c>
      <c r="C432" s="5" t="n">
        <f aca="false">C431*(1+B432)</f>
        <v>5366.29040262108</v>
      </c>
      <c r="D432" s="10" t="n">
        <v>0.00533918</v>
      </c>
      <c r="E432" s="5" t="n">
        <f aca="false">E431*(1+D432)</f>
        <v>6565.79677715696</v>
      </c>
      <c r="F432" s="4" t="n">
        <f aca="false">D432*Varsayımlar!$B$3</f>
        <v>0.006673975</v>
      </c>
      <c r="G432" s="5" t="n">
        <f aca="false">G431*(1+F432)</f>
        <v>8652.03530124872</v>
      </c>
    </row>
    <row r="433" customFormat="false" ht="15" hidden="false" customHeight="false" outlineLevel="0" collapsed="false">
      <c r="A433" s="3" t="n">
        <v>45193</v>
      </c>
      <c r="B433" s="10" t="n">
        <v>-0.00182928</v>
      </c>
      <c r="C433" s="5" t="n">
        <f aca="false">C432*(1+B433)</f>
        <v>5356.47395491338</v>
      </c>
      <c r="D433" s="10" t="n">
        <v>0.00080901</v>
      </c>
      <c r="E433" s="5" t="n">
        <f aca="false">E432*(1+D433)</f>
        <v>6571.10857240765</v>
      </c>
      <c r="F433" s="4" t="n">
        <f aca="false">D433*Varsayımlar!$B$3</f>
        <v>0.0010112625</v>
      </c>
      <c r="G433" s="5" t="n">
        <f aca="false">G432*(1+F433)</f>
        <v>8660.78478009755</v>
      </c>
    </row>
    <row r="434" customFormat="false" ht="15" hidden="false" customHeight="false" outlineLevel="0" collapsed="false">
      <c r="A434" s="3" t="n">
        <v>45194</v>
      </c>
      <c r="B434" s="10" t="n">
        <v>0.00377163</v>
      </c>
      <c r="C434" s="5" t="n">
        <f aca="false">C433*(1+B434)</f>
        <v>5376.67659277595</v>
      </c>
      <c r="D434" s="10" t="n">
        <v>0.00341991</v>
      </c>
      <c r="E434" s="5" t="n">
        <f aca="false">E433*(1+D434)</f>
        <v>6593.58117232551</v>
      </c>
      <c r="F434" s="4" t="n">
        <f aca="false">D434*Varsayımlar!$B$3</f>
        <v>0.0042748875</v>
      </c>
      <c r="G434" s="5" t="n">
        <f aca="false">G433*(1+F434)</f>
        <v>8697.80866069418</v>
      </c>
    </row>
    <row r="435" customFormat="false" ht="15" hidden="false" customHeight="false" outlineLevel="0" collapsed="false">
      <c r="A435" s="3" t="n">
        <v>45195</v>
      </c>
      <c r="B435" s="10" t="n">
        <v>0.03891513</v>
      </c>
      <c r="C435" s="5" t="n">
        <f aca="false">C434*(1+B435)</f>
        <v>5585.91066135178</v>
      </c>
      <c r="D435" s="10" t="n">
        <v>0.03924395</v>
      </c>
      <c r="E435" s="5" t="n">
        <f aca="false">E434*(1+D435)</f>
        <v>6852.3393421732</v>
      </c>
      <c r="F435" s="4" t="n">
        <f aca="false">D435*Varsayımlar!$B$3</f>
        <v>0.0490549375</v>
      </c>
      <c r="G435" s="5" t="n">
        <f aca="false">G434*(1+F435)</f>
        <v>9124.47912093149</v>
      </c>
    </row>
    <row r="436" customFormat="false" ht="15" hidden="false" customHeight="false" outlineLevel="0" collapsed="false">
      <c r="A436" s="3" t="n">
        <v>45196</v>
      </c>
      <c r="B436" s="10" t="n">
        <v>0.01541844</v>
      </c>
      <c r="C436" s="5" t="n">
        <f aca="false">C435*(1+B436)</f>
        <v>5672.03668972919</v>
      </c>
      <c r="D436" s="10" t="n">
        <v>0.04490197</v>
      </c>
      <c r="E436" s="5" t="n">
        <f aca="false">E435*(1+D436)</f>
        <v>7160.02287774528</v>
      </c>
      <c r="F436" s="4" t="n">
        <f aca="false">D436*Varsayımlar!$B$3</f>
        <v>0.0561274625</v>
      </c>
      <c r="G436" s="5" t="n">
        <f aca="false">G435*(1+F436)</f>
        <v>9636.6129806236</v>
      </c>
    </row>
    <row r="437" customFormat="false" ht="15" hidden="false" customHeight="false" outlineLevel="0" collapsed="false">
      <c r="A437" s="3" t="n">
        <v>45197</v>
      </c>
      <c r="B437" s="10" t="n">
        <v>-0.01062817</v>
      </c>
      <c r="C437" s="5" t="n">
        <f aca="false">C436*(1+B437)</f>
        <v>5611.75331954451</v>
      </c>
      <c r="D437" s="10" t="n">
        <v>-0.01660048</v>
      </c>
      <c r="E437" s="5" t="n">
        <f aca="false">E436*(1+D437)</f>
        <v>7041.16306116372</v>
      </c>
      <c r="F437" s="4" t="n">
        <f aca="false">D437*Varsayımlar!$B$3</f>
        <v>-0.0207506</v>
      </c>
      <c r="G437" s="5" t="n">
        <f aca="false">G436*(1+F437)</f>
        <v>9436.64747930788</v>
      </c>
    </row>
    <row r="438" customFormat="false" ht="15" hidden="false" customHeight="false" outlineLevel="0" collapsed="false">
      <c r="A438" s="3" t="n">
        <v>45198</v>
      </c>
      <c r="B438" s="10" t="n">
        <v>-0.01544638</v>
      </c>
      <c r="C438" s="5" t="n">
        <f aca="false">C437*(1+B438)</f>
        <v>5525.07204530457</v>
      </c>
      <c r="D438" s="10" t="n">
        <v>-0.01161977</v>
      </c>
      <c r="E438" s="5" t="n">
        <f aca="false">E437*(1+D438)</f>
        <v>6959.3463658605</v>
      </c>
      <c r="F438" s="4" t="n">
        <f aca="false">D438*Varsayımlar!$B$3</f>
        <v>-0.0145247125</v>
      </c>
      <c r="G438" s="5" t="n">
        <f aca="false">G437*(1+F438)</f>
        <v>9299.58288770708</v>
      </c>
    </row>
    <row r="439" customFormat="false" ht="15" hidden="false" customHeight="false" outlineLevel="0" collapsed="false">
      <c r="A439" s="3" t="n">
        <v>45199</v>
      </c>
      <c r="B439" s="10" t="n">
        <v>-0.00048963</v>
      </c>
      <c r="C439" s="5" t="n">
        <f aca="false">C438*(1+B439)</f>
        <v>5522.36680427902</v>
      </c>
      <c r="D439" s="10" t="n">
        <v>-0.00445121</v>
      </c>
      <c r="E439" s="5" t="n">
        <f aca="false">E438*(1+D439)</f>
        <v>6928.36885372332</v>
      </c>
      <c r="F439" s="4" t="n">
        <f aca="false">D439*Varsayımlar!$B$3</f>
        <v>-0.0055640125</v>
      </c>
      <c r="G439" s="5" t="n">
        <f aca="false">G438*(1+F439)</f>
        <v>9247.83989227509</v>
      </c>
    </row>
    <row r="440" customFormat="false" ht="15" hidden="false" customHeight="false" outlineLevel="0" collapsed="false">
      <c r="A440" s="3" t="n">
        <v>45200</v>
      </c>
      <c r="B440" s="10" t="n">
        <v>-0.00091245</v>
      </c>
      <c r="C440" s="5" t="n">
        <f aca="false">C439*(1+B440)</f>
        <v>5517.32792068846</v>
      </c>
      <c r="D440" s="10" t="n">
        <v>-0.00395186</v>
      </c>
      <c r="E440" s="5" t="n">
        <f aca="false">E439*(1+D440)</f>
        <v>6900.98890998505</v>
      </c>
      <c r="F440" s="4" t="n">
        <f aca="false">D440*Varsayımlar!$B$3</f>
        <v>-0.004939825</v>
      </c>
      <c r="G440" s="5" t="n">
        <f aca="false">G439*(1+F440)</f>
        <v>9202.15718157923</v>
      </c>
    </row>
    <row r="441" customFormat="false" ht="15" hidden="false" customHeight="false" outlineLevel="0" collapsed="false">
      <c r="A441" s="3" t="n">
        <v>45201</v>
      </c>
      <c r="B441" s="10" t="n">
        <v>0.00440207</v>
      </c>
      <c r="C441" s="5" t="n">
        <f aca="false">C440*(1+B441)</f>
        <v>5541.61558440828</v>
      </c>
      <c r="D441" s="10" t="n">
        <v>-0.00210269</v>
      </c>
      <c r="E441" s="5" t="n">
        <f aca="false">E440*(1+D441)</f>
        <v>6886.47826961391</v>
      </c>
      <c r="F441" s="4" t="n">
        <f aca="false">D441*Varsayımlar!$B$3</f>
        <v>-0.0026283625</v>
      </c>
      <c r="G441" s="5" t="n">
        <f aca="false">G440*(1+F441)</f>
        <v>9177.97057672407</v>
      </c>
    </row>
    <row r="442" customFormat="false" ht="15" hidden="false" customHeight="false" outlineLevel="0" collapsed="false">
      <c r="A442" s="3" t="n">
        <v>45202</v>
      </c>
      <c r="B442" s="10" t="n">
        <v>-0.03241394</v>
      </c>
      <c r="C442" s="5" t="n">
        <f aca="false">C441*(1+B442)</f>
        <v>5361.98998935221</v>
      </c>
      <c r="D442" s="10" t="n">
        <v>-0.03735486</v>
      </c>
      <c r="E442" s="5" t="n">
        <f aca="false">E441*(1+D442)</f>
        <v>6629.23483795944</v>
      </c>
      <c r="F442" s="4" t="n">
        <f aca="false">D442*Varsayımlar!$B$3</f>
        <v>-0.046693575</v>
      </c>
      <c r="G442" s="5" t="n">
        <f aca="false">G441*(1+F442)</f>
        <v>8749.41831925201</v>
      </c>
    </row>
    <row r="443" customFormat="false" ht="15" hidden="false" customHeight="false" outlineLevel="0" collapsed="false">
      <c r="A443" s="3" t="n">
        <v>45203</v>
      </c>
      <c r="B443" s="10" t="n">
        <v>-0.00749268</v>
      </c>
      <c r="C443" s="5" t="n">
        <f aca="false">C442*(1+B443)</f>
        <v>5321.81431419879</v>
      </c>
      <c r="D443" s="10" t="n">
        <v>-0.00867841</v>
      </c>
      <c r="E443" s="5" t="n">
        <f aca="false">E442*(1+D443)</f>
        <v>6571.70362004935</v>
      </c>
      <c r="F443" s="4" t="n">
        <f aca="false">D443*Varsayımlar!$B$3</f>
        <v>-0.0108480125</v>
      </c>
      <c r="G443" s="5" t="n">
        <f aca="false">G442*(1+F443)</f>
        <v>8654.50451995703</v>
      </c>
    </row>
    <row r="444" customFormat="false" ht="15" hidden="false" customHeight="false" outlineLevel="0" collapsed="false">
      <c r="A444" s="3" t="n">
        <v>45204</v>
      </c>
      <c r="B444" s="10" t="n">
        <v>0.00227813</v>
      </c>
      <c r="C444" s="5" t="n">
        <f aca="false">C443*(1+B444)</f>
        <v>5333.9380990424</v>
      </c>
      <c r="D444" s="10" t="n">
        <v>0.00261997</v>
      </c>
      <c r="E444" s="5" t="n">
        <f aca="false">E443*(1+D444)</f>
        <v>6588.92128638277</v>
      </c>
      <c r="F444" s="4" t="n">
        <f aca="false">D444*Varsayımlar!$B$3</f>
        <v>0.0032749625</v>
      </c>
      <c r="G444" s="5" t="n">
        <f aca="false">G443*(1+F444)</f>
        <v>8682.84769771597</v>
      </c>
    </row>
    <row r="445" customFormat="false" ht="15" hidden="false" customHeight="false" outlineLevel="0" collapsed="false">
      <c r="A445" s="3" t="n">
        <v>45205</v>
      </c>
      <c r="B445" s="10" t="n">
        <v>0.01676737</v>
      </c>
      <c r="C445" s="5" t="n">
        <f aca="false">C444*(1+B445)</f>
        <v>5423.37421270614</v>
      </c>
      <c r="D445" s="10" t="n">
        <v>0.02085191</v>
      </c>
      <c r="E445" s="5" t="n">
        <f aca="false">E444*(1+D445)</f>
        <v>6726.3128800435</v>
      </c>
      <c r="F445" s="4" t="n">
        <f aca="false">D445*Varsayımlar!$B$3</f>
        <v>0.0260648875</v>
      </c>
      <c r="G445" s="5" t="n">
        <f aca="false">G444*(1+F445)</f>
        <v>8909.16514613657</v>
      </c>
    </row>
    <row r="446" customFormat="false" ht="15" hidden="false" customHeight="false" outlineLevel="0" collapsed="false">
      <c r="A446" s="3" t="n">
        <v>45206</v>
      </c>
      <c r="B446" s="10" t="n">
        <v>-0.01121858</v>
      </c>
      <c r="C446" s="5" t="n">
        <f aca="false">C445*(1+B446)</f>
        <v>5362.53165523095</v>
      </c>
      <c r="D446" s="10" t="n">
        <v>-0.01291254</v>
      </c>
      <c r="E446" s="5" t="n">
        <f aca="false">E445*(1+D446)</f>
        <v>6639.45909592743</v>
      </c>
      <c r="F446" s="4" t="n">
        <f aca="false">D446*Varsayımlar!$B$3</f>
        <v>-0.016140675</v>
      </c>
      <c r="G446" s="5" t="n">
        <f aca="false">G445*(1+F446)</f>
        <v>8765.36520699146</v>
      </c>
    </row>
    <row r="447" customFormat="false" ht="15" hidden="false" customHeight="false" outlineLevel="0" collapsed="false">
      <c r="A447" s="3" t="n">
        <v>45207</v>
      </c>
      <c r="B447" s="10" t="n">
        <v>0.00751266</v>
      </c>
      <c r="C447" s="5" t="n">
        <f aca="false">C446*(1+B447)</f>
        <v>5402.81853229594</v>
      </c>
      <c r="D447" s="10" t="n">
        <v>0.0033572</v>
      </c>
      <c r="E447" s="5" t="n">
        <f aca="false">E446*(1+D447)</f>
        <v>6661.74908800427</v>
      </c>
      <c r="F447" s="4" t="n">
        <f aca="false">D447*Varsayımlar!$B$3</f>
        <v>0.0041965</v>
      </c>
      <c r="G447" s="5" t="n">
        <f aca="false">G446*(1+F447)</f>
        <v>8802.14906208259</v>
      </c>
    </row>
    <row r="448" customFormat="false" ht="15" hidden="false" customHeight="false" outlineLevel="0" collapsed="false">
      <c r="A448" s="3" t="n">
        <v>45208</v>
      </c>
      <c r="B448" s="10" t="n">
        <v>0.01161918</v>
      </c>
      <c r="C448" s="5" t="n">
        <f aca="false">C447*(1+B448)</f>
        <v>5465.59485333002</v>
      </c>
      <c r="D448" s="10" t="n">
        <v>0.01666053</v>
      </c>
      <c r="E448" s="5" t="n">
        <f aca="false">E447*(1+D448)</f>
        <v>6772.73735853744</v>
      </c>
      <c r="F448" s="4" t="n">
        <f aca="false">D448*Varsayımlar!$B$3</f>
        <v>0.0208256625</v>
      </c>
      <c r="G448" s="5" t="n">
        <f aca="false">G447*(1+F448)</f>
        <v>8985.45964772422</v>
      </c>
    </row>
    <row r="449" customFormat="false" ht="15" hidden="false" customHeight="false" outlineLevel="0" collapsed="false">
      <c r="A449" s="3" t="n">
        <v>45209</v>
      </c>
      <c r="B449" s="10" t="n">
        <v>-0.00772068</v>
      </c>
      <c r="C449" s="5" t="n">
        <f aca="false">C448*(1+B449)</f>
        <v>5423.39674445782</v>
      </c>
      <c r="D449" s="10" t="n">
        <v>-0.01036817</v>
      </c>
      <c r="E449" s="5" t="n">
        <f aca="false">E448*(1+D449)</f>
        <v>6702.51646623877</v>
      </c>
      <c r="F449" s="4" t="n">
        <f aca="false">D449*Varsayımlar!$B$3</f>
        <v>-0.0129602125</v>
      </c>
      <c r="G449" s="5" t="n">
        <f aca="false">G448*(1+F449)</f>
        <v>8869.00618127954</v>
      </c>
    </row>
    <row r="450" customFormat="false" ht="15" hidden="false" customHeight="false" outlineLevel="0" collapsed="false">
      <c r="A450" s="3" t="n">
        <v>45210</v>
      </c>
      <c r="B450" s="10" t="n">
        <v>-0.00219558</v>
      </c>
      <c r="C450" s="5" t="n">
        <f aca="false">C449*(1+B450)</f>
        <v>5411.48924303362</v>
      </c>
      <c r="D450" s="10" t="n">
        <v>0.00471419</v>
      </c>
      <c r="E450" s="5" t="n">
        <f aca="false">E449*(1+D450)</f>
        <v>6734.11340233875</v>
      </c>
      <c r="F450" s="4" t="n">
        <f aca="false">D450*Varsayımlar!$B$3</f>
        <v>0.0058927375</v>
      </c>
      <c r="G450" s="5" t="n">
        <f aca="false">G449*(1+F450)</f>
        <v>8921.26890659169</v>
      </c>
    </row>
    <row r="451" customFormat="false" ht="15" hidden="false" customHeight="false" outlineLevel="0" collapsed="false">
      <c r="A451" s="3" t="n">
        <v>45211</v>
      </c>
      <c r="B451" s="10" t="n">
        <v>-0.00725854</v>
      </c>
      <c r="C451" s="5" t="n">
        <f aca="false">C450*(1+B451)</f>
        <v>5372.20973190349</v>
      </c>
      <c r="D451" s="10" t="n">
        <v>-0.02189236</v>
      </c>
      <c r="E451" s="5" t="n">
        <f aca="false">E450*(1+D451)</f>
        <v>6586.68776745393</v>
      </c>
      <c r="F451" s="4" t="n">
        <f aca="false">D451*Varsayımlar!$B$3</f>
        <v>-0.02736545</v>
      </c>
      <c r="G451" s="5" t="n">
        <f aca="false">G450*(1+F451)</f>
        <v>8677.1343683918</v>
      </c>
    </row>
    <row r="452" customFormat="false" ht="15" hidden="false" customHeight="false" outlineLevel="0" collapsed="false">
      <c r="A452" s="3" t="n">
        <v>45212</v>
      </c>
      <c r="B452" s="10" t="n">
        <v>0.00308463</v>
      </c>
      <c r="C452" s="5" t="n">
        <f aca="false">C451*(1+B452)</f>
        <v>5388.78101120881</v>
      </c>
      <c r="D452" s="10" t="n">
        <v>0.00391625</v>
      </c>
      <c r="E452" s="5" t="n">
        <f aca="false">E451*(1+D452)</f>
        <v>6612.48288342322</v>
      </c>
      <c r="F452" s="4" t="n">
        <f aca="false">D452*Varsayımlar!$B$3</f>
        <v>0.0048953125</v>
      </c>
      <c r="G452" s="5" t="n">
        <f aca="false">G451*(1+F452)</f>
        <v>8719.61165272957</v>
      </c>
    </row>
    <row r="453" customFormat="false" ht="15" hidden="false" customHeight="false" outlineLevel="0" collapsed="false">
      <c r="A453" s="3" t="n">
        <v>45213</v>
      </c>
      <c r="B453" s="10" t="n">
        <v>0.00554782</v>
      </c>
      <c r="C453" s="5" t="n">
        <f aca="false">C452*(1+B453)</f>
        <v>5418.67699827842</v>
      </c>
      <c r="D453" s="10" t="n">
        <v>0.00367137</v>
      </c>
      <c r="E453" s="5" t="n">
        <f aca="false">E452*(1+D453)</f>
        <v>6636.75975470693</v>
      </c>
      <c r="F453" s="4" t="n">
        <f aca="false">D453*Varsayımlar!$B$3</f>
        <v>0.0045892125</v>
      </c>
      <c r="G453" s="5" t="n">
        <f aca="false">G452*(1+F453)</f>
        <v>8759.62780352143</v>
      </c>
    </row>
    <row r="454" customFormat="false" ht="15" hidden="false" customHeight="false" outlineLevel="0" collapsed="false">
      <c r="A454" s="3" t="n">
        <v>45214</v>
      </c>
      <c r="B454" s="10" t="n">
        <v>0.01905803</v>
      </c>
      <c r="C454" s="5" t="n">
        <f aca="false">C453*(1+B454)</f>
        <v>5521.94630707192</v>
      </c>
      <c r="D454" s="10" t="n">
        <v>0.05133812</v>
      </c>
      <c r="E454" s="5" t="n">
        <f aca="false">E453*(1+D454)</f>
        <v>6977.47852340525</v>
      </c>
      <c r="F454" s="4" t="n">
        <f aca="false">D454*Varsayımlar!$B$3</f>
        <v>0.06417265</v>
      </c>
      <c r="G454" s="5" t="n">
        <f aca="false">G453*(1+F454)</f>
        <v>9321.75633268708</v>
      </c>
    </row>
    <row r="455" customFormat="false" ht="15" hidden="false" customHeight="false" outlineLevel="0" collapsed="false">
      <c r="A455" s="3" t="n">
        <v>45215</v>
      </c>
      <c r="B455" s="10" t="n">
        <v>0.00771729</v>
      </c>
      <c r="C455" s="5" t="n">
        <f aca="false">C454*(1+B455)</f>
        <v>5564.56076808802</v>
      </c>
      <c r="D455" s="10" t="n">
        <v>0.0046971</v>
      </c>
      <c r="E455" s="5" t="n">
        <f aca="false">E454*(1+D455)</f>
        <v>7010.25243777754</v>
      </c>
      <c r="F455" s="4" t="n">
        <f aca="false">D455*Varsayımlar!$B$3</f>
        <v>0.005871375</v>
      </c>
      <c r="G455" s="5" t="n">
        <f aca="false">G454*(1+F455)</f>
        <v>9376.48785977491</v>
      </c>
    </row>
    <row r="456" customFormat="false" ht="15" hidden="false" customHeight="false" outlineLevel="0" collapsed="false">
      <c r="A456" s="3" t="n">
        <v>45216</v>
      </c>
      <c r="B456" s="10" t="n">
        <v>0.00080254</v>
      </c>
      <c r="C456" s="5" t="n">
        <f aca="false">C455*(1+B456)</f>
        <v>5569.02655068684</v>
      </c>
      <c r="D456" s="10" t="n">
        <v>0.00280083</v>
      </c>
      <c r="E456" s="5" t="n">
        <f aca="false">E455*(1+D456)</f>
        <v>7029.88696311284</v>
      </c>
      <c r="F456" s="4" t="n">
        <f aca="false">D456*Varsayımlar!$B$3</f>
        <v>0.0035010375</v>
      </c>
      <c r="G456" s="5" t="n">
        <f aca="false">G455*(1+F456)</f>
        <v>9409.31529539027</v>
      </c>
    </row>
    <row r="457" customFormat="false" ht="15" hidden="false" customHeight="false" outlineLevel="0" collapsed="false">
      <c r="A457" s="3" t="n">
        <v>45217</v>
      </c>
      <c r="B457" s="10" t="n">
        <v>-0.01307816</v>
      </c>
      <c r="C457" s="5" t="n">
        <f aca="false">C456*(1+B457)</f>
        <v>5496.19393041271</v>
      </c>
      <c r="D457" s="10" t="n">
        <v>-0.01656771</v>
      </c>
      <c r="E457" s="5" t="n">
        <f aca="false">E456*(1+D457)</f>
        <v>6913.4178345752</v>
      </c>
      <c r="F457" s="4" t="n">
        <f aca="false">D457*Varsayımlar!$B$3</f>
        <v>-0.0207096375</v>
      </c>
      <c r="G457" s="5" t="n">
        <f aca="false">G456*(1+F457)</f>
        <v>9214.45178649953</v>
      </c>
    </row>
    <row r="458" customFormat="false" ht="15" hidden="false" customHeight="false" outlineLevel="0" collapsed="false">
      <c r="A458" s="3" t="n">
        <v>45218</v>
      </c>
      <c r="B458" s="10" t="n">
        <v>-0.01623255</v>
      </c>
      <c r="C458" s="5" t="n">
        <f aca="false">C457*(1+B458)</f>
        <v>5406.97668762759</v>
      </c>
      <c r="D458" s="10" t="n">
        <v>-0.01881211</v>
      </c>
      <c r="E458" s="5" t="n">
        <f aca="false">E457*(1+D458)</f>
        <v>6783.36185779521</v>
      </c>
      <c r="F458" s="4" t="n">
        <f aca="false">D458*Varsayımlar!$B$3</f>
        <v>-0.0235151375</v>
      </c>
      <c r="G458" s="5" t="n">
        <f aca="false">G457*(1+F458)</f>
        <v>8997.77268575288</v>
      </c>
    </row>
    <row r="459" customFormat="false" ht="15" hidden="false" customHeight="false" outlineLevel="0" collapsed="false">
      <c r="A459" s="3" t="n">
        <v>45219</v>
      </c>
      <c r="B459" s="10" t="n">
        <v>0.00625894</v>
      </c>
      <c r="C459" s="5" t="n">
        <f aca="false">C458*(1+B459)</f>
        <v>5440.81863029685</v>
      </c>
      <c r="D459" s="10" t="n">
        <v>0.0046953</v>
      </c>
      <c r="E459" s="5" t="n">
        <f aca="false">E458*(1+D459)</f>
        <v>6815.21177672612</v>
      </c>
      <c r="F459" s="4" t="n">
        <f aca="false">D459*Varsayımlar!$B$3</f>
        <v>0.005869125</v>
      </c>
      <c r="G459" s="5" t="n">
        <f aca="false">G458*(1+F459)</f>
        <v>9050.58173836715</v>
      </c>
    </row>
    <row r="460" customFormat="false" ht="15" hidden="false" customHeight="false" outlineLevel="0" collapsed="false">
      <c r="A460" s="3" t="n">
        <v>45220</v>
      </c>
      <c r="B460" s="10" t="n">
        <v>-0.00064112</v>
      </c>
      <c r="C460" s="5" t="n">
        <f aca="false">C459*(1+B460)</f>
        <v>5437.33041265659</v>
      </c>
      <c r="D460" s="10" t="n">
        <v>-0.00554646</v>
      </c>
      <c r="E460" s="5" t="n">
        <f aca="false">E459*(1+D460)</f>
        <v>6777.41147721498</v>
      </c>
      <c r="F460" s="4" t="n">
        <f aca="false">D460*Varsayımlar!$B$3</f>
        <v>-0.006933075</v>
      </c>
      <c r="G460" s="5" t="n">
        <f aca="false">G459*(1+F460)</f>
        <v>8987.83337638142</v>
      </c>
    </row>
    <row r="461" customFormat="false" ht="15" hidden="false" customHeight="false" outlineLevel="0" collapsed="false">
      <c r="A461" s="3" t="n">
        <v>45221</v>
      </c>
      <c r="B461" s="10" t="n">
        <v>-0.00771265</v>
      </c>
      <c r="C461" s="5" t="n">
        <f aca="false">C460*(1+B461)</f>
        <v>5395.39418624942</v>
      </c>
      <c r="D461" s="10" t="n">
        <v>-0.01054607</v>
      </c>
      <c r="E461" s="5" t="n">
        <f aca="false">E460*(1+D461)</f>
        <v>6705.93642135746</v>
      </c>
      <c r="F461" s="4" t="n">
        <f aca="false">D461*Varsayımlar!$B$3</f>
        <v>-0.0131825875</v>
      </c>
      <c r="G461" s="5" t="n">
        <f aca="false">G460*(1+F461)</f>
        <v>8869.35047646185</v>
      </c>
    </row>
    <row r="462" customFormat="false" ht="15" hidden="false" customHeight="false" outlineLevel="0" collapsed="false">
      <c r="A462" s="3" t="n">
        <v>45222</v>
      </c>
      <c r="B462" s="10" t="n">
        <v>0.01008844</v>
      </c>
      <c r="C462" s="5" t="n">
        <f aca="false">C461*(1+B462)</f>
        <v>5449.82529677375</v>
      </c>
      <c r="D462" s="10" t="n">
        <v>0.03000223</v>
      </c>
      <c r="E462" s="5" t="n">
        <f aca="false">E461*(1+D462)</f>
        <v>6907.12946823641</v>
      </c>
      <c r="F462" s="4" t="n">
        <f aca="false">D462*Varsayımlar!$B$3</f>
        <v>0.0375027875</v>
      </c>
      <c r="G462" s="5" t="n">
        <f aca="false">G461*(1+F462)</f>
        <v>9201.97584264362</v>
      </c>
    </row>
    <row r="463" customFormat="false" ht="15" hidden="false" customHeight="false" outlineLevel="0" collapsed="false">
      <c r="A463" s="3" t="n">
        <v>45223</v>
      </c>
      <c r="B463" s="10" t="n">
        <v>0.00559745</v>
      </c>
      <c r="C463" s="5" t="n">
        <f aca="false">C462*(1+B463)</f>
        <v>5480.33042138117</v>
      </c>
      <c r="D463" s="10" t="n">
        <v>0.00863314</v>
      </c>
      <c r="E463" s="5" t="n">
        <f aca="false">E462*(1+D463)</f>
        <v>6966.75968393382</v>
      </c>
      <c r="F463" s="4" t="n">
        <f aca="false">D463*Varsayımlar!$B$3</f>
        <v>0.010791425</v>
      </c>
      <c r="G463" s="5" t="n">
        <f aca="false">G462*(1+F463)</f>
        <v>9301.27827480132</v>
      </c>
    </row>
    <row r="464" customFormat="false" ht="15" hidden="false" customHeight="false" outlineLevel="0" collapsed="false">
      <c r="A464" s="3" t="n">
        <v>45224</v>
      </c>
      <c r="B464" s="10" t="n">
        <v>0.02810964</v>
      </c>
      <c r="C464" s="5" t="n">
        <f aca="false">C463*(1+B464)</f>
        <v>5634.38053660725</v>
      </c>
      <c r="D464" s="10" t="n">
        <v>0.04358876</v>
      </c>
      <c r="E464" s="5" t="n">
        <f aca="false">E463*(1+D464)</f>
        <v>7270.43209977448</v>
      </c>
      <c r="F464" s="4" t="n">
        <f aca="false">D464*Varsayımlar!$B$3</f>
        <v>0.05448595</v>
      </c>
      <c r="G464" s="5" t="n">
        <f aca="false">G463*(1+F464)</f>
        <v>9808.06725781823</v>
      </c>
    </row>
    <row r="465" customFormat="false" ht="15" hidden="false" customHeight="false" outlineLevel="0" collapsed="false">
      <c r="A465" s="3" t="n">
        <v>45225</v>
      </c>
      <c r="B465" s="10" t="n">
        <v>-0.00202986</v>
      </c>
      <c r="C465" s="5" t="n">
        <f aca="false">C464*(1+B465)</f>
        <v>5622.94353293121</v>
      </c>
      <c r="D465" s="10" t="n">
        <v>-0.00945016</v>
      </c>
      <c r="E465" s="5" t="n">
        <f aca="false">E464*(1+D465)</f>
        <v>7201.72535316248</v>
      </c>
      <c r="F465" s="4" t="n">
        <f aca="false">D465*Varsayımlar!$B$3</f>
        <v>-0.0118127</v>
      </c>
      <c r="G465" s="5" t="n">
        <f aca="false">G464*(1+F465)</f>
        <v>9692.2075017218</v>
      </c>
    </row>
    <row r="466" customFormat="false" ht="15" hidden="false" customHeight="false" outlineLevel="0" collapsed="false">
      <c r="A466" s="3" t="n">
        <v>45226</v>
      </c>
      <c r="B466" s="10" t="n">
        <v>0.0145471</v>
      </c>
      <c r="C466" s="5" t="n">
        <f aca="false">C465*(1+B466)</f>
        <v>5704.74105479911</v>
      </c>
      <c r="D466" s="10" t="n">
        <v>0.01009485</v>
      </c>
      <c r="E466" s="5" t="n">
        <f aca="false">E465*(1+D466)</f>
        <v>7274.42569034385</v>
      </c>
      <c r="F466" s="4" t="n">
        <f aca="false">D466*Varsayımlar!$B$3</f>
        <v>0.0126185625</v>
      </c>
      <c r="G466" s="5" t="n">
        <f aca="false">G465*(1+F466)</f>
        <v>9814.50922784525</v>
      </c>
    </row>
    <row r="467" customFormat="false" ht="15" hidden="false" customHeight="false" outlineLevel="0" collapsed="false">
      <c r="A467" s="3" t="n">
        <v>45227</v>
      </c>
      <c r="B467" s="10" t="n">
        <v>-0.01140774</v>
      </c>
      <c r="C467" s="5" t="n">
        <f aca="false">C466*(1+B467)</f>
        <v>5639.66285207864</v>
      </c>
      <c r="D467" s="10" t="n">
        <v>-0.0120834</v>
      </c>
      <c r="E467" s="5" t="n">
        <f aca="false">E466*(1+D467)</f>
        <v>7186.52589495715</v>
      </c>
      <c r="F467" s="4" t="n">
        <f aca="false">D467*Varsayımlar!$B$3</f>
        <v>-0.01510425</v>
      </c>
      <c r="G467" s="5" t="n">
        <f aca="false">G466*(1+F467)</f>
        <v>9666.26842684057</v>
      </c>
    </row>
    <row r="468" customFormat="false" ht="15" hidden="false" customHeight="false" outlineLevel="0" collapsed="false">
      <c r="A468" s="3" t="n">
        <v>45228</v>
      </c>
      <c r="B468" s="10" t="n">
        <v>-0.01747207</v>
      </c>
      <c r="C468" s="5" t="n">
        <f aca="false">C467*(1+B468)</f>
        <v>5541.12626795072</v>
      </c>
      <c r="D468" s="10" t="n">
        <v>-0.01720142</v>
      </c>
      <c r="E468" s="5" t="n">
        <f aca="false">E467*(1+D468)</f>
        <v>7062.90744469712</v>
      </c>
      <c r="F468" s="4" t="n">
        <f aca="false">D468*Varsayımlar!$B$3</f>
        <v>-0.021501775</v>
      </c>
      <c r="G468" s="5" t="n">
        <f aca="false">G467*(1+F468)</f>
        <v>9458.42649803704</v>
      </c>
    </row>
    <row r="469" customFormat="false" ht="15" hidden="false" customHeight="false" outlineLevel="0" collapsed="false">
      <c r="A469" s="3" t="n">
        <v>45229</v>
      </c>
      <c r="B469" s="10" t="n">
        <v>0.03067052</v>
      </c>
      <c r="C469" s="5" t="n">
        <f aca="false">C468*(1+B469)</f>
        <v>5711.07549197443</v>
      </c>
      <c r="D469" s="10" t="n">
        <v>0.03247267</v>
      </c>
      <c r="E469" s="5" t="n">
        <f aca="false">E468*(1+D469)</f>
        <v>7292.25890738931</v>
      </c>
      <c r="F469" s="4" t="n">
        <f aca="false">D469*Varsayımlar!$B$3</f>
        <v>0.0405908375</v>
      </c>
      <c r="G469" s="5" t="n">
        <f aca="false">G468*(1+F469)</f>
        <v>9842.35195102455</v>
      </c>
    </row>
    <row r="470" customFormat="false" ht="15" hidden="false" customHeight="false" outlineLevel="0" collapsed="false">
      <c r="A470" s="3" t="n">
        <v>45230</v>
      </c>
      <c r="B470" s="10" t="n">
        <v>0.0194143</v>
      </c>
      <c r="C470" s="5" t="n">
        <f aca="false">C469*(1+B470)</f>
        <v>5821.95202489827</v>
      </c>
      <c r="D470" s="10" t="n">
        <v>0.01616192</v>
      </c>
      <c r="E470" s="5" t="n">
        <f aca="false">E469*(1+D470)</f>
        <v>7410.11581246982</v>
      </c>
      <c r="F470" s="4" t="n">
        <f aca="false">D470*Varsayımlar!$B$3</f>
        <v>0.0202024</v>
      </c>
      <c r="G470" s="5" t="n">
        <f aca="false">G469*(1+F470)</f>
        <v>10041.1910820799</v>
      </c>
    </row>
    <row r="471" customFormat="false" ht="15" hidden="false" customHeight="false" outlineLevel="0" collapsed="false">
      <c r="A471" s="3" t="n">
        <v>45231</v>
      </c>
      <c r="B471" s="10" t="n">
        <v>-0.00460581</v>
      </c>
      <c r="C471" s="5" t="n">
        <f aca="false">C470*(1+B471)</f>
        <v>5795.13722004247</v>
      </c>
      <c r="D471" s="10" t="n">
        <v>0.00113371</v>
      </c>
      <c r="E471" s="5" t="n">
        <f aca="false">E470*(1+D471)</f>
        <v>7418.51673486758</v>
      </c>
      <c r="F471" s="4" t="n">
        <f aca="false">D471*Varsayımlar!$B$3</f>
        <v>0.0014171375</v>
      </c>
      <c r="G471" s="5" t="n">
        <f aca="false">G470*(1+F471)</f>
        <v>10055.420830507</v>
      </c>
    </row>
    <row r="472" customFormat="false" ht="15" hidden="false" customHeight="false" outlineLevel="0" collapsed="false">
      <c r="A472" s="3" t="n">
        <v>45232</v>
      </c>
      <c r="B472" s="10" t="n">
        <v>-0.00521276</v>
      </c>
      <c r="C472" s="5" t="n">
        <f aca="false">C471*(1+B472)</f>
        <v>5764.92856054732</v>
      </c>
      <c r="D472" s="10" t="n">
        <v>-0.00873398</v>
      </c>
      <c r="E472" s="5" t="n">
        <f aca="false">E471*(1+D472)</f>
        <v>7353.72355807558</v>
      </c>
      <c r="F472" s="4" t="n">
        <f aca="false">D472*Varsayımlar!$B$3</f>
        <v>-0.010917475</v>
      </c>
      <c r="G472" s="5" t="n">
        <f aca="false">G471*(1+F472)</f>
        <v>9945.64102497547</v>
      </c>
    </row>
    <row r="473" customFormat="false" ht="15" hidden="false" customHeight="false" outlineLevel="0" collapsed="false">
      <c r="A473" s="3" t="n">
        <v>45233</v>
      </c>
      <c r="B473" s="10" t="n">
        <v>0.02255063</v>
      </c>
      <c r="C473" s="5" t="n">
        <f aca="false">C472*(1+B473)</f>
        <v>5894.93133149266</v>
      </c>
      <c r="D473" s="10" t="n">
        <v>0.03175085</v>
      </c>
      <c r="E473" s="5" t="n">
        <f aca="false">E472*(1+D473)</f>
        <v>7587.2105317095</v>
      </c>
      <c r="F473" s="4" t="n">
        <f aca="false">D473*Varsayımlar!$B$3</f>
        <v>0.0396885625</v>
      </c>
      <c r="G473" s="5" t="n">
        <f aca="false">G472*(1+F473)</f>
        <v>10340.3692203978</v>
      </c>
    </row>
    <row r="474" customFormat="false" ht="15" hidden="false" customHeight="false" outlineLevel="0" collapsed="false">
      <c r="A474" s="3" t="n">
        <v>45234</v>
      </c>
      <c r="B474" s="10" t="n">
        <v>0.00053648</v>
      </c>
      <c r="C474" s="5" t="n">
        <f aca="false">C473*(1+B474)</f>
        <v>5898.09384425338</v>
      </c>
      <c r="D474" s="10" t="n">
        <v>0.00043604</v>
      </c>
      <c r="E474" s="5" t="n">
        <f aca="false">E473*(1+D474)</f>
        <v>7590.51885898975</v>
      </c>
      <c r="F474" s="4" t="n">
        <f aca="false">D474*Varsayımlar!$B$3</f>
        <v>0.00054505</v>
      </c>
      <c r="G474" s="5" t="n">
        <f aca="false">G473*(1+F474)</f>
        <v>10346.0052386414</v>
      </c>
    </row>
    <row r="475" customFormat="false" ht="15" hidden="false" customHeight="false" outlineLevel="0" collapsed="false">
      <c r="A475" s="3" t="n">
        <v>45235</v>
      </c>
      <c r="B475" s="10" t="n">
        <v>-0.00817577</v>
      </c>
      <c r="C475" s="5" t="n">
        <f aca="false">C474*(1+B475)</f>
        <v>5849.87238554434</v>
      </c>
      <c r="D475" s="10" t="n">
        <v>-0.00543455</v>
      </c>
      <c r="E475" s="5" t="n">
        <f aca="false">E474*(1+D475)</f>
        <v>7549.26780472463</v>
      </c>
      <c r="F475" s="4" t="n">
        <f aca="false">D475*Varsayımlar!$B$3</f>
        <v>-0.0067931875</v>
      </c>
      <c r="G475" s="5" t="n">
        <f aca="false">G474*(1+F475)</f>
        <v>10275.7228851793</v>
      </c>
    </row>
    <row r="476" customFormat="false" ht="15" hidden="false" customHeight="false" outlineLevel="0" collapsed="false">
      <c r="A476" s="3" t="n">
        <v>45236</v>
      </c>
      <c r="B476" s="10" t="n">
        <v>0.01800566</v>
      </c>
      <c r="C476" s="5" t="n">
        <f aca="false">C475*(1+B476)</f>
        <v>5955.20319876185</v>
      </c>
      <c r="D476" s="10" t="n">
        <v>0.01139712</v>
      </c>
      <c r="E476" s="5" t="n">
        <f aca="false">E475*(1+D476)</f>
        <v>7635.30771580721</v>
      </c>
      <c r="F476" s="4" t="n">
        <f aca="false">D476*Varsayımlar!$B$3</f>
        <v>0.0142464</v>
      </c>
      <c r="G476" s="5" t="n">
        <f aca="false">G475*(1+F476)</f>
        <v>10422.1149436907</v>
      </c>
    </row>
    <row r="477" customFormat="false" ht="15" hidden="false" customHeight="false" outlineLevel="0" collapsed="false">
      <c r="A477" s="3" t="n">
        <v>45237</v>
      </c>
      <c r="B477" s="10" t="n">
        <v>0.00869052</v>
      </c>
      <c r="C477" s="5" t="n">
        <f aca="false">C476*(1+B477)</f>
        <v>6006.95701126475</v>
      </c>
      <c r="D477" s="10" t="n">
        <v>0.00589224</v>
      </c>
      <c r="E477" s="5" t="n">
        <f aca="false">E476*(1+D477)</f>
        <v>7680.2967813426</v>
      </c>
      <c r="F477" s="4" t="n">
        <f aca="false">D477*Varsayımlar!$B$3</f>
        <v>0.0073653</v>
      </c>
      <c r="G477" s="5" t="n">
        <f aca="false">G476*(1+F477)</f>
        <v>10498.8769468855</v>
      </c>
    </row>
    <row r="478" customFormat="false" ht="15" hidden="false" customHeight="false" outlineLevel="0" collapsed="false">
      <c r="A478" s="3" t="n">
        <v>45238</v>
      </c>
      <c r="B478" s="10" t="n">
        <v>-0.00031947</v>
      </c>
      <c r="C478" s="5" t="n">
        <f aca="false">C477*(1+B478)</f>
        <v>6005.03796870836</v>
      </c>
      <c r="D478" s="10" t="n">
        <v>0.00087612</v>
      </c>
      <c r="E478" s="5" t="n">
        <f aca="false">E477*(1+D478)</f>
        <v>7687.02564295867</v>
      </c>
      <c r="F478" s="4" t="n">
        <f aca="false">D478*Varsayımlar!$B$3</f>
        <v>0.00109515</v>
      </c>
      <c r="G478" s="5" t="n">
        <f aca="false">G477*(1+F478)</f>
        <v>10510.3747919738</v>
      </c>
    </row>
    <row r="479" customFormat="false" ht="15" hidden="false" customHeight="false" outlineLevel="0" collapsed="false">
      <c r="A479" s="3" t="n">
        <v>45239</v>
      </c>
      <c r="B479" s="10" t="n">
        <v>-0.02009839</v>
      </c>
      <c r="C479" s="5" t="n">
        <f aca="false">C478*(1+B479)</f>
        <v>5884.34637364845</v>
      </c>
      <c r="D479" s="10" t="n">
        <v>-0.00987493</v>
      </c>
      <c r="E479" s="5" t="n">
        <f aca="false">E478*(1+D479)</f>
        <v>7611.11680282625</v>
      </c>
      <c r="F479" s="4" t="n">
        <f aca="false">D479*Varsayımlar!$B$3</f>
        <v>-0.0123436625</v>
      </c>
      <c r="G479" s="5" t="n">
        <f aca="false">G478*(1+F479)</f>
        <v>10380.6382727932</v>
      </c>
    </row>
    <row r="480" customFormat="false" ht="15" hidden="false" customHeight="false" outlineLevel="0" collapsed="false">
      <c r="A480" s="3" t="n">
        <v>45240</v>
      </c>
      <c r="B480" s="10" t="n">
        <v>-0.0072279</v>
      </c>
      <c r="C480" s="5" t="n">
        <f aca="false">C479*(1+B480)</f>
        <v>5841.81490649436</v>
      </c>
      <c r="D480" s="10" t="n">
        <v>-0.01195122</v>
      </c>
      <c r="E480" s="5" t="n">
        <f aca="false">E479*(1+D480)</f>
        <v>7520.15467146997</v>
      </c>
      <c r="F480" s="4" t="n">
        <f aca="false">D480*Varsayımlar!$B$3</f>
        <v>-0.014939025</v>
      </c>
      <c r="G480" s="5" t="n">
        <f aca="false">G479*(1+F480)</f>
        <v>10225.56165812</v>
      </c>
    </row>
    <row r="481" customFormat="false" ht="15" hidden="false" customHeight="false" outlineLevel="0" collapsed="false">
      <c r="A481" s="3" t="n">
        <v>45241</v>
      </c>
      <c r="B481" s="10" t="n">
        <v>-0.00924738</v>
      </c>
      <c r="C481" s="5" t="n">
        <f aca="false">C480*(1+B481)</f>
        <v>5787.79342416434</v>
      </c>
      <c r="D481" s="10" t="n">
        <v>-0.00709671</v>
      </c>
      <c r="E481" s="5" t="n">
        <f aca="false">E480*(1+D481)</f>
        <v>7466.78631461141</v>
      </c>
      <c r="F481" s="4" t="n">
        <f aca="false">D481*Varsayımlar!$B$3</f>
        <v>-0.0088708875</v>
      </c>
      <c r="G481" s="5" t="n">
        <f aca="false">G480*(1+F481)</f>
        <v>10134.8518510265</v>
      </c>
    </row>
    <row r="482" customFormat="false" ht="15" hidden="false" customHeight="false" outlineLevel="0" collapsed="false">
      <c r="A482" s="3" t="n">
        <v>45242</v>
      </c>
      <c r="B482" s="10" t="n">
        <v>-0.00306219</v>
      </c>
      <c r="C482" s="5" t="n">
        <f aca="false">C481*(1+B482)</f>
        <v>5770.0701010188</v>
      </c>
      <c r="D482" s="10" t="n">
        <v>-0.00453912</v>
      </c>
      <c r="E482" s="5" t="n">
        <f aca="false">E481*(1+D482)</f>
        <v>7432.89367551503</v>
      </c>
      <c r="F482" s="4" t="n">
        <f aca="false">D482*Varsayımlar!$B$3</f>
        <v>-0.0056739</v>
      </c>
      <c r="G482" s="5" t="n">
        <f aca="false">G481*(1+F482)</f>
        <v>10077.347715109</v>
      </c>
    </row>
    <row r="483" customFormat="false" ht="15" hidden="false" customHeight="false" outlineLevel="0" collapsed="false">
      <c r="A483" s="3" t="n">
        <v>45243</v>
      </c>
      <c r="B483" s="10" t="n">
        <v>0.0103388</v>
      </c>
      <c r="C483" s="5" t="n">
        <f aca="false">C482*(1+B483)</f>
        <v>5829.72570177921</v>
      </c>
      <c r="D483" s="10" t="n">
        <v>0.01524506</v>
      </c>
      <c r="E483" s="5" t="n">
        <f aca="false">E482*(1+D483)</f>
        <v>7546.20858557187</v>
      </c>
      <c r="F483" s="4" t="n">
        <f aca="false">D483*Varsayımlar!$B$3</f>
        <v>0.019056325</v>
      </c>
      <c r="G483" s="5" t="n">
        <f aca="false">G482*(1+F483)</f>
        <v>10269.3849283061</v>
      </c>
    </row>
    <row r="484" customFormat="false" ht="15" hidden="false" customHeight="false" outlineLevel="0" collapsed="false">
      <c r="A484" s="3" t="n">
        <v>45244</v>
      </c>
      <c r="B484" s="10" t="n">
        <v>0.00240239</v>
      </c>
      <c r="C484" s="5" t="n">
        <f aca="false">C483*(1+B484)</f>
        <v>5843.73097650791</v>
      </c>
      <c r="D484" s="10" t="n">
        <v>-0.00028197</v>
      </c>
      <c r="E484" s="5" t="n">
        <f aca="false">E483*(1+D484)</f>
        <v>7544.080781137</v>
      </c>
      <c r="F484" s="4" t="n">
        <f aca="false">D484*Varsayımlar!$B$3</f>
        <v>-0.0003524625</v>
      </c>
      <c r="G484" s="5" t="n">
        <f aca="false">G483*(1+F484)</f>
        <v>10265.7653552208</v>
      </c>
    </row>
    <row r="485" customFormat="false" ht="15" hidden="false" customHeight="false" outlineLevel="0" collapsed="false">
      <c r="A485" s="3" t="n">
        <v>45245</v>
      </c>
      <c r="B485" s="10" t="n">
        <v>0.00120731</v>
      </c>
      <c r="C485" s="5" t="n">
        <f aca="false">C484*(1+B485)</f>
        <v>5850.78617135316</v>
      </c>
      <c r="D485" s="10" t="n">
        <v>0.00546079</v>
      </c>
      <c r="E485" s="5" t="n">
        <f aca="false">E484*(1+D485)</f>
        <v>7585.27742202583</v>
      </c>
      <c r="F485" s="4" t="n">
        <f aca="false">D485*Varsayımlar!$B$3</f>
        <v>0.0068259875</v>
      </c>
      <c r="G485" s="5" t="n">
        <f aca="false">G484*(1+F485)</f>
        <v>10335.8393412135</v>
      </c>
    </row>
    <row r="486" customFormat="false" ht="15" hidden="false" customHeight="false" outlineLevel="0" collapsed="false">
      <c r="A486" s="3" t="n">
        <v>45246</v>
      </c>
      <c r="B486" s="10" t="n">
        <v>-0.00016241</v>
      </c>
      <c r="C486" s="5" t="n">
        <f aca="false">C485*(1+B486)</f>
        <v>5849.83594517107</v>
      </c>
      <c r="D486" s="10" t="n">
        <v>0.01039854</v>
      </c>
      <c r="E486" s="5" t="n">
        <f aca="false">E485*(1+D486)</f>
        <v>7664.15323270986</v>
      </c>
      <c r="F486" s="4" t="n">
        <f aca="false">D486*Varsayımlar!$B$3</f>
        <v>0.012998175</v>
      </c>
      <c r="G486" s="5" t="n">
        <f aca="false">G485*(1+F486)</f>
        <v>10470.1863897424</v>
      </c>
    </row>
    <row r="487" customFormat="false" ht="15" hidden="false" customHeight="false" outlineLevel="0" collapsed="false">
      <c r="A487" s="3" t="n">
        <v>45247</v>
      </c>
      <c r="B487" s="10" t="n">
        <v>-0.01342007</v>
      </c>
      <c r="C487" s="5" t="n">
        <f aca="false">C486*(1+B487)</f>
        <v>5771.33073729836</v>
      </c>
      <c r="D487" s="10" t="n">
        <v>-0.00795808</v>
      </c>
      <c r="E487" s="5" t="n">
        <f aca="false">E486*(1+D487)</f>
        <v>7603.1612881517</v>
      </c>
      <c r="F487" s="4" t="n">
        <f aca="false">D487*Varsayımlar!$B$3</f>
        <v>-0.0099476</v>
      </c>
      <c r="G487" s="5" t="n">
        <f aca="false">G486*(1+F487)</f>
        <v>10366.0331636118</v>
      </c>
    </row>
    <row r="488" customFormat="false" ht="15" hidden="false" customHeight="false" outlineLevel="0" collapsed="false">
      <c r="A488" s="3" t="n">
        <v>45248</v>
      </c>
      <c r="B488" s="10" t="n">
        <v>0.0138797</v>
      </c>
      <c r="C488" s="5" t="n">
        <f aca="false">C487*(1+B488)</f>
        <v>5851.43507653284</v>
      </c>
      <c r="D488" s="10" t="n">
        <v>0.01565466</v>
      </c>
      <c r="E488" s="5" t="n">
        <f aca="false">E487*(1+D488)</f>
        <v>7722.18619304287</v>
      </c>
      <c r="F488" s="4" t="n">
        <f aca="false">D488*Varsayımlar!$B$3</f>
        <v>0.019568325</v>
      </c>
      <c r="G488" s="5" t="n">
        <f aca="false">G487*(1+F488)</f>
        <v>10568.8790695182</v>
      </c>
    </row>
    <row r="489" customFormat="false" ht="15" hidden="false" customHeight="false" outlineLevel="0" collapsed="false">
      <c r="A489" s="3" t="n">
        <v>45249</v>
      </c>
      <c r="B489" s="10" t="n">
        <v>0.01476453</v>
      </c>
      <c r="C489" s="5" t="n">
        <f aca="false">C488*(1+B489)</f>
        <v>5937.82876526336</v>
      </c>
      <c r="D489" s="10" t="n">
        <v>0.01669149</v>
      </c>
      <c r="E489" s="5" t="n">
        <f aca="false">E488*(1+D489)</f>
        <v>7851.08098666219</v>
      </c>
      <c r="F489" s="4" t="n">
        <f aca="false">D489*Varsayımlar!$B$3</f>
        <v>0.0208643625</v>
      </c>
      <c r="G489" s="5" t="n">
        <f aca="false">G488*(1+F489)</f>
        <v>10789.3919936433</v>
      </c>
    </row>
    <row r="490" customFormat="false" ht="15" hidden="false" customHeight="false" outlineLevel="0" collapsed="false">
      <c r="A490" s="3" t="n">
        <v>45250</v>
      </c>
      <c r="B490" s="10" t="n">
        <v>-0.00559651</v>
      </c>
      <c r="C490" s="5" t="n">
        <f aca="false">C489*(1+B490)</f>
        <v>5904.59764720028</v>
      </c>
      <c r="D490" s="10" t="n">
        <v>-0.00707152</v>
      </c>
      <c r="E490" s="5" t="n">
        <f aca="false">E489*(1+D490)</f>
        <v>7795.56191044338</v>
      </c>
      <c r="F490" s="4" t="n">
        <f aca="false">D490*Varsayımlar!$B$3</f>
        <v>-0.0088394</v>
      </c>
      <c r="G490" s="5" t="n">
        <f aca="false">G489*(1+F490)</f>
        <v>10694.0202420547</v>
      </c>
    </row>
    <row r="491" customFormat="false" ht="15" hidden="false" customHeight="false" outlineLevel="0" collapsed="false">
      <c r="A491" s="3" t="n">
        <v>45251</v>
      </c>
      <c r="B491" s="10" t="n">
        <v>0.00854046</v>
      </c>
      <c r="C491" s="5" t="n">
        <f aca="false">C490*(1+B491)</f>
        <v>5955.02562722228</v>
      </c>
      <c r="D491" s="10" t="n">
        <v>0.00555273</v>
      </c>
      <c r="E491" s="5" t="n">
        <f aca="false">E490*(1+D491)</f>
        <v>7838.84856093036</v>
      </c>
      <c r="F491" s="4" t="n">
        <f aca="false">D491*Varsayımlar!$B$3</f>
        <v>0.0069409125</v>
      </c>
      <c r="G491" s="5" t="n">
        <f aca="false">G490*(1+F491)</f>
        <v>10768.246500828</v>
      </c>
    </row>
    <row r="492" customFormat="false" ht="15" hidden="false" customHeight="false" outlineLevel="0" collapsed="false">
      <c r="A492" s="3" t="n">
        <v>45252</v>
      </c>
      <c r="B492" s="10" t="n">
        <v>0.01435878</v>
      </c>
      <c r="C492" s="5" t="n">
        <f aca="false">C491*(1+B492)</f>
        <v>6040.53253009793</v>
      </c>
      <c r="D492" s="10" t="n">
        <v>0.01331397</v>
      </c>
      <c r="E492" s="5" t="n">
        <f aca="false">E491*(1+D492)</f>
        <v>7943.21475550513</v>
      </c>
      <c r="F492" s="4" t="n">
        <f aca="false">D492*Varsayımlar!$B$3</f>
        <v>0.0166424625</v>
      </c>
      <c r="G492" s="5" t="n">
        <f aca="false">G491*(1+F492)</f>
        <v>10947.4566394088</v>
      </c>
    </row>
    <row r="493" customFormat="false" ht="15" hidden="false" customHeight="false" outlineLevel="0" collapsed="false">
      <c r="A493" s="3" t="n">
        <v>45253</v>
      </c>
      <c r="B493" s="10" t="n">
        <v>-0.00542228</v>
      </c>
      <c r="C493" s="5" t="n">
        <f aca="false">C492*(1+B493)</f>
        <v>6007.77907137063</v>
      </c>
      <c r="D493" s="10" t="n">
        <v>-0.00772445</v>
      </c>
      <c r="E493" s="5" t="n">
        <f aca="false">E492*(1+D493)</f>
        <v>7881.85779028697</v>
      </c>
      <c r="F493" s="4" t="n">
        <f aca="false">D493*Varsayımlar!$B$3</f>
        <v>-0.0096555625</v>
      </c>
      <c r="G493" s="5" t="n">
        <f aca="false">G492*(1+F493)</f>
        <v>10841.7527876109</v>
      </c>
    </row>
    <row r="494" customFormat="false" ht="15" hidden="false" customHeight="false" outlineLevel="0" collapsed="false">
      <c r="A494" s="3" t="n">
        <v>45254</v>
      </c>
      <c r="B494" s="10" t="n">
        <v>0.00740968</v>
      </c>
      <c r="C494" s="5" t="n">
        <f aca="false">C493*(1+B494)</f>
        <v>6052.29479180019</v>
      </c>
      <c r="D494" s="10" t="n">
        <v>0.00592918</v>
      </c>
      <c r="E494" s="5" t="n">
        <f aca="false">E493*(1+D494)</f>
        <v>7928.59074385998</v>
      </c>
      <c r="F494" s="4" t="n">
        <f aca="false">D494*Varsayımlar!$B$3</f>
        <v>0.007411475</v>
      </c>
      <c r="G494" s="5" t="n">
        <f aca="false">G493*(1+F494)</f>
        <v>10922.1061673525</v>
      </c>
    </row>
    <row r="495" customFormat="false" ht="15" hidden="false" customHeight="false" outlineLevel="0" collapsed="false">
      <c r="A495" s="3" t="n">
        <v>45255</v>
      </c>
      <c r="B495" s="10" t="n">
        <v>-0.00452763</v>
      </c>
      <c r="C495" s="5" t="n">
        <f aca="false">C494*(1+B495)</f>
        <v>6024.89224033199</v>
      </c>
      <c r="D495" s="10" t="n">
        <v>-0.00839471</v>
      </c>
      <c r="E495" s="5" t="n">
        <f aca="false">E494*(1+D495)</f>
        <v>7862.03252385659</v>
      </c>
      <c r="F495" s="4" t="n">
        <f aca="false">D495*Varsayımlar!$B$3</f>
        <v>-0.0104933875</v>
      </c>
      <c r="G495" s="5" t="n">
        <f aca="false">G494*(1+F495)</f>
        <v>10807.4962750223</v>
      </c>
    </row>
    <row r="496" customFormat="false" ht="15" hidden="false" customHeight="false" outlineLevel="0" collapsed="false">
      <c r="A496" s="3" t="n">
        <v>45256</v>
      </c>
      <c r="B496" s="10" t="n">
        <v>-0.0042445</v>
      </c>
      <c r="C496" s="5" t="n">
        <f aca="false">C495*(1+B496)</f>
        <v>5999.3195852179</v>
      </c>
      <c r="D496" s="10" t="n">
        <v>0.0006874</v>
      </c>
      <c r="E496" s="5" t="n">
        <f aca="false">E495*(1+D496)</f>
        <v>7867.43688501349</v>
      </c>
      <c r="F496" s="4" t="n">
        <f aca="false">D496*Varsayımlar!$B$3</f>
        <v>0.00085925</v>
      </c>
      <c r="G496" s="5" t="n">
        <f aca="false">G495*(1+F496)</f>
        <v>10816.7826161966</v>
      </c>
    </row>
    <row r="497" customFormat="false" ht="15" hidden="false" customHeight="false" outlineLevel="0" collapsed="false">
      <c r="A497" s="3" t="n">
        <v>45257</v>
      </c>
      <c r="B497" s="10" t="n">
        <v>-0.00611422</v>
      </c>
      <c r="C497" s="5" t="n">
        <f aca="false">C496*(1+B497)</f>
        <v>5962.63842542357</v>
      </c>
      <c r="D497" s="10" t="n">
        <v>-0.01064964</v>
      </c>
      <c r="E497" s="5" t="n">
        <f aca="false">E496*(1+D497)</f>
        <v>7783.65151446538</v>
      </c>
      <c r="F497" s="4" t="n">
        <f aca="false">D497*Varsayımlar!$B$3</f>
        <v>-0.01331205</v>
      </c>
      <c r="G497" s="5" t="n">
        <f aca="false">G496*(1+F497)</f>
        <v>10672.7890651707</v>
      </c>
    </row>
    <row r="498" customFormat="false" ht="15" hidden="false" customHeight="false" outlineLevel="0" collapsed="false">
      <c r="A498" s="3" t="n">
        <v>45258</v>
      </c>
      <c r="B498" s="10" t="n">
        <v>0.0193187</v>
      </c>
      <c r="C498" s="5" t="n">
        <f aca="false">C497*(1+B498)</f>
        <v>6077.8288483728</v>
      </c>
      <c r="D498" s="10" t="n">
        <v>0.01981419</v>
      </c>
      <c r="E498" s="5" t="n">
        <f aca="false">E497*(1+D498)</f>
        <v>7937.87826446678</v>
      </c>
      <c r="F498" s="4" t="n">
        <f aca="false">D498*Varsayımlar!$B$3</f>
        <v>0.0247677375</v>
      </c>
      <c r="G498" s="5" t="n">
        <f aca="false">G497*(1+F498)</f>
        <v>10937.1299031297</v>
      </c>
    </row>
    <row r="499" customFormat="false" ht="15" hidden="false" customHeight="false" outlineLevel="0" collapsed="false">
      <c r="A499" s="3" t="n">
        <v>45259</v>
      </c>
      <c r="B499" s="10" t="n">
        <v>-0.00317919</v>
      </c>
      <c r="C499" s="5" t="n">
        <f aca="false">C498*(1+B499)</f>
        <v>6058.50627567634</v>
      </c>
      <c r="D499" s="10" t="n">
        <v>-0.00117211</v>
      </c>
      <c r="E499" s="5" t="n">
        <f aca="false">E498*(1+D499)</f>
        <v>7928.57419797422</v>
      </c>
      <c r="F499" s="4" t="n">
        <f aca="false">D499*Varsayımlar!$B$3</f>
        <v>-0.0014651375</v>
      </c>
      <c r="G499" s="5" t="n">
        <f aca="false">G498*(1+F499)</f>
        <v>10921.1055039662</v>
      </c>
    </row>
    <row r="500" customFormat="false" ht="15" hidden="false" customHeight="false" outlineLevel="0" collapsed="false">
      <c r="A500" s="3" t="n">
        <v>45260</v>
      </c>
      <c r="B500" s="10" t="n">
        <v>0.00201618</v>
      </c>
      <c r="C500" s="5" t="n">
        <f aca="false">C499*(1+B500)</f>
        <v>6070.72131485923</v>
      </c>
      <c r="D500" s="10" t="n">
        <v>-0.00313391</v>
      </c>
      <c r="E500" s="5" t="n">
        <f aca="false">E499*(1+D500)</f>
        <v>7903.72676000945</v>
      </c>
      <c r="F500" s="4" t="n">
        <f aca="false">D500*Varsayımlar!$B$3</f>
        <v>-0.0039173875</v>
      </c>
      <c r="G500" s="5" t="n">
        <f aca="false">G499*(1+F500)</f>
        <v>10878.3233017788</v>
      </c>
    </row>
    <row r="501" customFormat="false" ht="15" hidden="false" customHeight="false" outlineLevel="0" collapsed="false">
      <c r="A501" s="3" t="n">
        <v>45261</v>
      </c>
      <c r="B501" s="10" t="n">
        <v>0.01025686</v>
      </c>
      <c r="C501" s="5" t="n">
        <f aca="false">C500*(1+B501)</f>
        <v>6132.98785348476</v>
      </c>
      <c r="D501" s="10" t="n">
        <v>0.00783987</v>
      </c>
      <c r="E501" s="5" t="n">
        <f aca="false">E500*(1+D501)</f>
        <v>7965.69095032344</v>
      </c>
      <c r="F501" s="4" t="n">
        <f aca="false">D501*Varsayımlar!$B$3</f>
        <v>0.0097998375</v>
      </c>
      <c r="G501" s="5" t="n">
        <f aca="false">G500*(1+F501)</f>
        <v>10984.9291024087</v>
      </c>
    </row>
    <row r="502" customFormat="false" ht="15" hidden="false" customHeight="false" outlineLevel="0" collapsed="false">
      <c r="A502" s="3" t="n">
        <v>45262</v>
      </c>
      <c r="B502" s="10" t="n">
        <v>0.00988447</v>
      </c>
      <c r="C502" s="5" t="n">
        <f aca="false">C501*(1+B502)</f>
        <v>6193.6091879329</v>
      </c>
      <c r="D502" s="10" t="n">
        <v>0.01341529</v>
      </c>
      <c r="E502" s="5" t="n">
        <f aca="false">E501*(1+D502)</f>
        <v>8072.55300447241</v>
      </c>
      <c r="F502" s="4" t="n">
        <f aca="false">D502*Varsayımlar!$B$3</f>
        <v>0.0167691125</v>
      </c>
      <c r="G502" s="5" t="n">
        <f aca="false">G501*(1+F502)</f>
        <v>11169.1366143315</v>
      </c>
    </row>
    <row r="503" customFormat="false" ht="15" hidden="false" customHeight="false" outlineLevel="0" collapsed="false">
      <c r="A503" s="3" t="n">
        <v>45263</v>
      </c>
      <c r="B503" s="10" t="n">
        <v>0.01840164</v>
      </c>
      <c r="C503" s="5" t="n">
        <f aca="false">C502*(1+B503)</f>
        <v>6307.58175450993</v>
      </c>
      <c r="D503" s="10" t="n">
        <v>0.02609683</v>
      </c>
      <c r="E503" s="5" t="n">
        <f aca="false">E502*(1+D503)</f>
        <v>8283.22104789611</v>
      </c>
      <c r="F503" s="4" t="n">
        <f aca="false">D503*Varsayımlar!$B$3</f>
        <v>0.0326210375</v>
      </c>
      <c r="G503" s="5" t="n">
        <f aca="false">G502*(1+F503)</f>
        <v>11533.4854386703</v>
      </c>
    </row>
    <row r="504" customFormat="false" ht="15" hidden="false" customHeight="false" outlineLevel="0" collapsed="false">
      <c r="A504" s="3" t="n">
        <v>45264</v>
      </c>
      <c r="B504" s="10" t="n">
        <v>0.00192482</v>
      </c>
      <c r="C504" s="5" t="n">
        <f aca="false">C503*(1+B504)</f>
        <v>6319.72271402264</v>
      </c>
      <c r="D504" s="10" t="n">
        <v>0.00196655</v>
      </c>
      <c r="E504" s="5" t="n">
        <f aca="false">E503*(1+D504)</f>
        <v>8299.51041624785</v>
      </c>
      <c r="F504" s="4" t="n">
        <f aca="false">D504*Varsayımlar!$B$3</f>
        <v>0.0024581875</v>
      </c>
      <c r="G504" s="5" t="n">
        <f aca="false">G503*(1+F504)</f>
        <v>11561.836908407</v>
      </c>
    </row>
    <row r="505" customFormat="false" ht="15" hidden="false" customHeight="false" outlineLevel="0" collapsed="false">
      <c r="A505" s="3" t="n">
        <v>45265</v>
      </c>
      <c r="B505" s="10" t="n">
        <v>-0.01195219</v>
      </c>
      <c r="C505" s="5" t="n">
        <f aca="false">C504*(1+B505)</f>
        <v>6244.18818739733</v>
      </c>
      <c r="D505" s="10" t="n">
        <v>-0.03321992</v>
      </c>
      <c r="E505" s="5" t="n">
        <f aca="false">E504*(1+D505)</f>
        <v>8023.80134418093</v>
      </c>
      <c r="F505" s="4" t="n">
        <f aca="false">D505*Varsayımlar!$B$3</f>
        <v>-0.0415249</v>
      </c>
      <c r="G505" s="5" t="n">
        <f aca="false">G504*(1+F505)</f>
        <v>11081.7327869691</v>
      </c>
    </row>
    <row r="506" customFormat="false" ht="15" hidden="false" customHeight="false" outlineLevel="0" collapsed="false">
      <c r="A506" s="3" t="n">
        <v>45266</v>
      </c>
      <c r="B506" s="10" t="n">
        <v>-0.00494769</v>
      </c>
      <c r="C506" s="5" t="n">
        <f aca="false">C505*(1+B506)</f>
        <v>6213.29387994443</v>
      </c>
      <c r="D506" s="10" t="n">
        <v>-0.00858688</v>
      </c>
      <c r="E506" s="5" t="n">
        <f aca="false">E505*(1+D506)</f>
        <v>7954.90192489461</v>
      </c>
      <c r="F506" s="4" t="n">
        <f aca="false">D506*Varsayımlar!$B$3</f>
        <v>-0.0107336</v>
      </c>
      <c r="G506" s="5" t="n">
        <f aca="false">G505*(1+F506)</f>
        <v>10962.7858999269</v>
      </c>
    </row>
    <row r="507" customFormat="false" ht="15" hidden="false" customHeight="false" outlineLevel="0" collapsed="false">
      <c r="A507" s="3" t="n">
        <v>45267</v>
      </c>
      <c r="B507" s="10" t="n">
        <v>-0.01548074</v>
      </c>
      <c r="C507" s="5" t="n">
        <f aca="false">C506*(1+B507)</f>
        <v>6117.10749284542</v>
      </c>
      <c r="D507" s="10" t="n">
        <v>-0.01993296</v>
      </c>
      <c r="E507" s="5" t="n">
        <f aca="false">E506*(1+D507)</f>
        <v>7796.33718302176</v>
      </c>
      <c r="F507" s="4" t="n">
        <f aca="false">D507*Varsayımlar!$B$3</f>
        <v>-0.0249162</v>
      </c>
      <c r="G507" s="5" t="n">
        <f aca="false">G506*(1+F507)</f>
        <v>10689.6349338872</v>
      </c>
    </row>
    <row r="508" customFormat="false" ht="15" hidden="false" customHeight="false" outlineLevel="0" collapsed="false">
      <c r="A508" s="3" t="n">
        <v>45268</v>
      </c>
      <c r="B508" s="10" t="n">
        <v>-0.00410609</v>
      </c>
      <c r="C508" s="5" t="n">
        <f aca="false">C507*(1+B508)</f>
        <v>6091.99009894012</v>
      </c>
      <c r="D508" s="10" t="n">
        <v>-0.00722215</v>
      </c>
      <c r="E508" s="5" t="n">
        <f aca="false">E507*(1+D508)</f>
        <v>7740.0308664354</v>
      </c>
      <c r="F508" s="4" t="n">
        <f aca="false">D508*Varsayımlar!$B$3</f>
        <v>-0.0090276875</v>
      </c>
      <c r="G508" s="5" t="n">
        <f aca="false">G507*(1+F508)</f>
        <v>10593.1322502149</v>
      </c>
    </row>
    <row r="509" customFormat="false" ht="15" hidden="false" customHeight="false" outlineLevel="0" collapsed="false">
      <c r="A509" s="3" t="n">
        <v>45269</v>
      </c>
      <c r="B509" s="10" t="n">
        <v>-0.00440628</v>
      </c>
      <c r="C509" s="5" t="n">
        <f aca="false">C508*(1+B509)</f>
        <v>6065.14708480696</v>
      </c>
      <c r="D509" s="10" t="n">
        <v>-0.00416733</v>
      </c>
      <c r="E509" s="5" t="n">
        <f aca="false">E508*(1+D509)</f>
        <v>7707.77560360478</v>
      </c>
      <c r="F509" s="4" t="n">
        <f aca="false">D509*Varsayımlar!$B$3</f>
        <v>-0.0052091625</v>
      </c>
      <c r="G509" s="5" t="n">
        <f aca="false">G508*(1+F509)</f>
        <v>10537.9509029396</v>
      </c>
    </row>
    <row r="510" customFormat="false" ht="15" hidden="false" customHeight="false" outlineLevel="0" collapsed="false">
      <c r="A510" s="3" t="n">
        <v>45270</v>
      </c>
      <c r="B510" s="10" t="n">
        <v>0.0091979</v>
      </c>
      <c r="C510" s="5" t="n">
        <f aca="false">C509*(1+B510)</f>
        <v>6120.93370117831</v>
      </c>
      <c r="D510" s="10" t="n">
        <v>0.00697023</v>
      </c>
      <c r="E510" s="5" t="n">
        <f aca="false">E509*(1+D510)</f>
        <v>7761.50057235029</v>
      </c>
      <c r="F510" s="4" t="n">
        <f aca="false">D510*Varsayımlar!$B$3</f>
        <v>0.0087127875</v>
      </c>
      <c r="G510" s="5" t="n">
        <f aca="false">G509*(1+F510)</f>
        <v>10629.7658298423</v>
      </c>
    </row>
    <row r="511" customFormat="false" ht="15" hidden="false" customHeight="false" outlineLevel="0" collapsed="false">
      <c r="A511" s="3" t="n">
        <v>45271</v>
      </c>
      <c r="B511" s="10" t="n">
        <v>0.01897546</v>
      </c>
      <c r="C511" s="5" t="n">
        <f aca="false">C510*(1+B511)</f>
        <v>6237.08123378767</v>
      </c>
      <c r="D511" s="10" t="n">
        <v>0.02709862</v>
      </c>
      <c r="E511" s="5" t="n">
        <f aca="false">E510*(1+D511)</f>
        <v>7971.8265269902</v>
      </c>
      <c r="F511" s="4" t="n">
        <f aca="false">D511*Varsayımlar!$B$3</f>
        <v>0.033873275</v>
      </c>
      <c r="G511" s="5" t="n">
        <f aca="false">G510*(1+F511)</f>
        <v>10989.8308109822</v>
      </c>
    </row>
    <row r="512" customFormat="false" ht="15" hidden="false" customHeight="false" outlineLevel="0" collapsed="false">
      <c r="A512" s="3" t="n">
        <v>45272</v>
      </c>
      <c r="B512" s="10" t="n">
        <v>-0.02041006</v>
      </c>
      <c r="C512" s="5" t="n">
        <f aca="false">C511*(1+B512)</f>
        <v>6109.78203158119</v>
      </c>
      <c r="D512" s="10" t="n">
        <v>-0.01765395</v>
      </c>
      <c r="E512" s="5" t="n">
        <f aca="false">E511*(1+D512)</f>
        <v>7831.09230007404</v>
      </c>
      <c r="F512" s="4" t="n">
        <f aca="false">D512*Varsayımlar!$B$3</f>
        <v>-0.0220674375</v>
      </c>
      <c r="G512" s="5" t="n">
        <f aca="false">G511*(1+F512)</f>
        <v>10747.3134064253</v>
      </c>
    </row>
    <row r="513" customFormat="false" ht="15" hidden="false" customHeight="false" outlineLevel="0" collapsed="false">
      <c r="A513" s="3" t="n">
        <v>45273</v>
      </c>
      <c r="B513" s="10" t="n">
        <v>0.01170825</v>
      </c>
      <c r="C513" s="5" t="n">
        <f aca="false">C512*(1+B513)</f>
        <v>6181.31688705245</v>
      </c>
      <c r="D513" s="10" t="n">
        <v>0.01313121</v>
      </c>
      <c r="E513" s="5" t="n">
        <f aca="false">E512*(1+D513)</f>
        <v>7933.92401759569</v>
      </c>
      <c r="F513" s="4" t="n">
        <f aca="false">D513*Varsayımlar!$B$3</f>
        <v>0.0164140125</v>
      </c>
      <c r="G513" s="5" t="n">
        <f aca="false">G512*(1+F513)</f>
        <v>10923.7199430197</v>
      </c>
    </row>
    <row r="514" customFormat="false" ht="15" hidden="false" customHeight="false" outlineLevel="0" collapsed="false">
      <c r="A514" s="3" t="n">
        <v>45274</v>
      </c>
      <c r="B514" s="10" t="n">
        <v>-0.00085984</v>
      </c>
      <c r="C514" s="5" t="n">
        <f aca="false">C513*(1+B514)</f>
        <v>6176.00194354029</v>
      </c>
      <c r="D514" s="10" t="n">
        <v>0.00345357</v>
      </c>
      <c r="E514" s="5" t="n">
        <f aca="false">E513*(1+D514)</f>
        <v>7961.32437956514</v>
      </c>
      <c r="F514" s="4" t="n">
        <f aca="false">D514*Varsayımlar!$B$3</f>
        <v>0.0043169625</v>
      </c>
      <c r="G514" s="5" t="n">
        <f aca="false">G513*(1+F514)</f>
        <v>10970.8772323743</v>
      </c>
    </row>
    <row r="515" customFormat="false" ht="15" hidden="false" customHeight="false" outlineLevel="0" collapsed="false">
      <c r="A515" s="3" t="n">
        <v>45275</v>
      </c>
      <c r="B515" s="10" t="n">
        <v>0.00954044</v>
      </c>
      <c r="C515" s="5" t="n">
        <f aca="false">C514*(1+B515)</f>
        <v>6234.92371952252</v>
      </c>
      <c r="D515" s="10" t="n">
        <v>0.02180357</v>
      </c>
      <c r="E515" s="5" t="n">
        <f aca="false">E514*(1+D515)</f>
        <v>8134.9096729677</v>
      </c>
      <c r="F515" s="4" t="n">
        <f aca="false">D515*Varsayımlar!$B$3</f>
        <v>0.0272544625</v>
      </c>
      <c r="G515" s="5" t="n">
        <f aca="false">G514*(1+F515)</f>
        <v>11269.8825944961</v>
      </c>
    </row>
    <row r="516" customFormat="false" ht="15" hidden="false" customHeight="false" outlineLevel="0" collapsed="false">
      <c r="A516" s="3" t="n">
        <v>45276</v>
      </c>
      <c r="B516" s="10" t="n">
        <v>-0.03199362</v>
      </c>
      <c r="C516" s="5" t="n">
        <f aca="false">C515*(1+B516)</f>
        <v>6035.44593931113</v>
      </c>
      <c r="D516" s="10" t="n">
        <v>-0.03068377</v>
      </c>
      <c r="E516" s="5" t="n">
        <f aca="false">E515*(1+D516)</f>
        <v>7885.29997559158</v>
      </c>
      <c r="F516" s="4" t="n">
        <f aca="false">D516*Varsayımlar!$B$3</f>
        <v>-0.0383547125</v>
      </c>
      <c r="G516" s="5" t="n">
        <f aca="false">G515*(1+F516)</f>
        <v>10837.6294876755</v>
      </c>
    </row>
    <row r="517" customFormat="false" ht="15" hidden="false" customHeight="false" outlineLevel="0" collapsed="false">
      <c r="A517" s="3" t="n">
        <v>45277</v>
      </c>
      <c r="B517" s="10" t="n">
        <v>0.00326253</v>
      </c>
      <c r="C517" s="5" t="n">
        <f aca="false">C516*(1+B517)</f>
        <v>6055.13676275151</v>
      </c>
      <c r="D517" s="10" t="n">
        <v>0.00404177</v>
      </c>
      <c r="E517" s="5" t="n">
        <f aca="false">E516*(1+D517)</f>
        <v>7917.17054447393</v>
      </c>
      <c r="F517" s="4" t="n">
        <f aca="false">D517*Varsayımlar!$B$3</f>
        <v>0.0050522125</v>
      </c>
      <c r="G517" s="5" t="n">
        <f aca="false">G516*(1+F517)</f>
        <v>10892.3834948435</v>
      </c>
    </row>
    <row r="518" customFormat="false" ht="15" hidden="false" customHeight="false" outlineLevel="0" collapsed="false">
      <c r="A518" s="3" t="n">
        <v>45278</v>
      </c>
      <c r="B518" s="10" t="n">
        <v>0.03289524</v>
      </c>
      <c r="C518" s="5" t="n">
        <f aca="false">C517*(1+B518)</f>
        <v>6254.32193979504</v>
      </c>
      <c r="D518" s="10" t="n">
        <v>0.03849505</v>
      </c>
      <c r="E518" s="5" t="n">
        <f aca="false">E517*(1+D518)</f>
        <v>8221.94242044198</v>
      </c>
      <c r="F518" s="4" t="n">
        <f aca="false">D518*Varsayımlar!$B$3</f>
        <v>0.0481188125</v>
      </c>
      <c r="G518" s="5" t="n">
        <f aca="false">G517*(1+F518)</f>
        <v>11416.5120539099</v>
      </c>
    </row>
    <row r="519" customFormat="false" ht="15" hidden="false" customHeight="false" outlineLevel="0" collapsed="false">
      <c r="A519" s="3" t="n">
        <v>45279</v>
      </c>
      <c r="B519" s="10" t="n">
        <v>0.00591145</v>
      </c>
      <c r="C519" s="5" t="n">
        <f aca="false">C518*(1+B519)</f>
        <v>6291.29405122604</v>
      </c>
      <c r="D519" s="10" t="n">
        <v>0.00211102</v>
      </c>
      <c r="E519" s="5" t="n">
        <f aca="false">E518*(1+D519)</f>
        <v>8239.29910533038</v>
      </c>
      <c r="F519" s="4" t="n">
        <f aca="false">D519*Varsayımlar!$B$3</f>
        <v>0.002638775</v>
      </c>
      <c r="G519" s="5" t="n">
        <f aca="false">G518*(1+F519)</f>
        <v>11446.637660505</v>
      </c>
    </row>
    <row r="520" customFormat="false" ht="15" hidden="false" customHeight="false" outlineLevel="0" collapsed="false">
      <c r="A520" s="3" t="n">
        <v>45280</v>
      </c>
      <c r="B520" s="10" t="n">
        <v>0.0241538</v>
      </c>
      <c r="C520" s="5" t="n">
        <f aca="false">C519*(1+B520)</f>
        <v>6443.25270948055</v>
      </c>
      <c r="D520" s="10" t="n">
        <v>0.02016016</v>
      </c>
      <c r="E520" s="5" t="n">
        <f aca="false">E519*(1+D520)</f>
        <v>8405.4046935817</v>
      </c>
      <c r="F520" s="4" t="n">
        <f aca="false">D520*Varsayımlar!$B$3</f>
        <v>0.0252002</v>
      </c>
      <c r="G520" s="5" t="n">
        <f aca="false">G519*(1+F520)</f>
        <v>11735.0952188772</v>
      </c>
    </row>
    <row r="521" customFormat="false" ht="15" hidden="false" customHeight="false" outlineLevel="0" collapsed="false">
      <c r="A521" s="3" t="n">
        <v>45281</v>
      </c>
      <c r="B521" s="10" t="n">
        <v>-0.00155444</v>
      </c>
      <c r="C521" s="5" t="n">
        <f aca="false">C520*(1+B521)</f>
        <v>6433.23705973882</v>
      </c>
      <c r="D521" s="10" t="n">
        <v>0.00597872</v>
      </c>
      <c r="E521" s="5" t="n">
        <f aca="false">E520*(1+D521)</f>
        <v>8455.65825473131</v>
      </c>
      <c r="F521" s="4" t="n">
        <f aca="false">D521*Varsayımlar!$B$3</f>
        <v>0.0074734</v>
      </c>
      <c r="G521" s="5" t="n">
        <f aca="false">G520*(1+F521)</f>
        <v>11822.796279486</v>
      </c>
    </row>
    <row r="522" customFormat="false" ht="15" hidden="false" customHeight="false" outlineLevel="0" collapsed="false">
      <c r="A522" s="3" t="n">
        <v>45282</v>
      </c>
      <c r="B522" s="10" t="n">
        <v>-0.04446075</v>
      </c>
      <c r="C522" s="5" t="n">
        <f aca="false">C521*(1+B522)</f>
        <v>6147.21051513504</v>
      </c>
      <c r="D522" s="10" t="n">
        <v>-0.04214302</v>
      </c>
      <c r="E522" s="5" t="n">
        <f aca="false">E521*(1+D522)</f>
        <v>8099.311279789</v>
      </c>
      <c r="F522" s="4" t="n">
        <f aca="false">D522*Varsayımlar!$B$3</f>
        <v>-0.052678775</v>
      </c>
      <c r="G522" s="5" t="n">
        <f aca="false">G521*(1+F522)</f>
        <v>11199.9858544081</v>
      </c>
    </row>
    <row r="523" customFormat="false" ht="15" hidden="false" customHeight="false" outlineLevel="0" collapsed="false">
      <c r="A523" s="3" t="n">
        <v>45283</v>
      </c>
      <c r="B523" s="10" t="n">
        <v>0.02229229</v>
      </c>
      <c r="C523" s="5" t="n">
        <f aca="false">C522*(1+B523)</f>
        <v>6284.24591462948</v>
      </c>
      <c r="D523" s="10" t="n">
        <v>0.01817072</v>
      </c>
      <c r="E523" s="5" t="n">
        <f aca="false">E522*(1+D523)</f>
        <v>8246.48159724689</v>
      </c>
      <c r="F523" s="4" t="n">
        <f aca="false">D523*Varsayımlar!$B$3</f>
        <v>0.0227134</v>
      </c>
      <c r="G523" s="5" t="n">
        <f aca="false">G522*(1+F523)</f>
        <v>11454.3756131136</v>
      </c>
    </row>
    <row r="524" customFormat="false" ht="15" hidden="false" customHeight="false" outlineLevel="0" collapsed="false">
      <c r="A524" s="3" t="n">
        <v>45284</v>
      </c>
      <c r="B524" s="10" t="n">
        <v>0.00815151</v>
      </c>
      <c r="C524" s="5" t="n">
        <f aca="false">C523*(1+B524)</f>
        <v>6335.47200804504</v>
      </c>
      <c r="D524" s="10" t="n">
        <v>0.01604432</v>
      </c>
      <c r="E524" s="5" t="n">
        <f aca="false">E523*(1+D524)</f>
        <v>8378.79078686723</v>
      </c>
      <c r="F524" s="4" t="n">
        <f aca="false">D524*Varsayımlar!$B$3</f>
        <v>0.0200554</v>
      </c>
      <c r="G524" s="5" t="n">
        <f aca="false">G523*(1+F524)</f>
        <v>11684.0976977849</v>
      </c>
    </row>
    <row r="525" customFormat="false" ht="15" hidden="false" customHeight="false" outlineLevel="0" collapsed="false">
      <c r="A525" s="3" t="n">
        <v>45285</v>
      </c>
      <c r="B525" s="10" t="n">
        <v>0.00275632</v>
      </c>
      <c r="C525" s="5" t="n">
        <f aca="false">C524*(1+B525)</f>
        <v>6352.93459625025</v>
      </c>
      <c r="D525" s="10" t="n">
        <v>-0.01453701</v>
      </c>
      <c r="E525" s="5" t="n">
        <f aca="false">E524*(1+D525)</f>
        <v>8256.98822141064</v>
      </c>
      <c r="F525" s="4" t="n">
        <f aca="false">D525*Varsayımlar!$B$3</f>
        <v>-0.0181712625</v>
      </c>
      <c r="G525" s="5" t="n">
        <f aca="false">G524*(1+F525)</f>
        <v>11471.7828914428</v>
      </c>
    </row>
    <row r="526" customFormat="false" ht="15" hidden="false" customHeight="false" outlineLevel="0" collapsed="false">
      <c r="A526" s="3" t="n">
        <v>45286</v>
      </c>
      <c r="B526" s="10" t="n">
        <v>0.01240854</v>
      </c>
      <c r="C526" s="5" t="n">
        <f aca="false">C525*(1+B526)</f>
        <v>6431.76523930521</v>
      </c>
      <c r="D526" s="10" t="n">
        <v>0.02725892</v>
      </c>
      <c r="E526" s="5" t="n">
        <f aca="false">E525*(1+D526)</f>
        <v>8482.06480277901</v>
      </c>
      <c r="F526" s="4" t="n">
        <f aca="false">D526*Varsayımlar!$B$3</f>
        <v>0.03407365</v>
      </c>
      <c r="G526" s="5" t="n">
        <f aca="false">G525*(1+F526)</f>
        <v>11862.6684065618</v>
      </c>
    </row>
    <row r="527" customFormat="false" ht="15" hidden="false" customHeight="false" outlineLevel="0" collapsed="false">
      <c r="A527" s="3" t="n">
        <v>45287</v>
      </c>
      <c r="B527" s="10" t="n">
        <v>-0.02158707</v>
      </c>
      <c r="C527" s="5" t="n">
        <f aca="false">C526*(1+B527)</f>
        <v>6292.92227286076</v>
      </c>
      <c r="D527" s="10" t="n">
        <v>-0.0196788</v>
      </c>
      <c r="E527" s="5" t="n">
        <f aca="false">E526*(1+D527)</f>
        <v>8315.14794593808</v>
      </c>
      <c r="F527" s="4" t="n">
        <f aca="false">D527*Varsayımlar!$B$3</f>
        <v>-0.0245985</v>
      </c>
      <c r="G527" s="5" t="n">
        <f aca="false">G526*(1+F527)</f>
        <v>11570.864557763</v>
      </c>
    </row>
    <row r="528" customFormat="false" ht="15" hidden="false" customHeight="false" outlineLevel="0" collapsed="false">
      <c r="A528" s="3" t="n">
        <v>45288</v>
      </c>
      <c r="B528" s="10" t="n">
        <v>-0.00556188</v>
      </c>
      <c r="C528" s="5" t="n">
        <f aca="false">C527*(1+B528)</f>
        <v>6257.92179432978</v>
      </c>
      <c r="D528" s="10" t="n">
        <v>-0.00975341</v>
      </c>
      <c r="E528" s="5" t="n">
        <f aca="false">E527*(1+D528)</f>
        <v>8234.04689881069</v>
      </c>
      <c r="F528" s="4" t="n">
        <f aca="false">D528*Varsayımlar!$B$3</f>
        <v>-0.0121917625</v>
      </c>
      <c r="G528" s="5" t="n">
        <f aca="false">G527*(1+F528)</f>
        <v>11429.7953251551</v>
      </c>
    </row>
    <row r="529" customFormat="false" ht="15" hidden="false" customHeight="false" outlineLevel="0" collapsed="false">
      <c r="A529" s="3" t="n">
        <v>45289</v>
      </c>
      <c r="B529" s="10" t="n">
        <v>0.00673181</v>
      </c>
      <c r="C529" s="5" t="n">
        <f aca="false">C528*(1+B529)</f>
        <v>6300.04893484407</v>
      </c>
      <c r="D529" s="10" t="n">
        <v>0.00090269</v>
      </c>
      <c r="E529" s="5" t="n">
        <f aca="false">E528*(1+D529)</f>
        <v>8241.47969060578</v>
      </c>
      <c r="F529" s="4" t="n">
        <f aca="false">D529*Varsayımlar!$B$3</f>
        <v>0.0011283625</v>
      </c>
      <c r="G529" s="5" t="n">
        <f aca="false">G528*(1+F529)</f>
        <v>11442.6922775826</v>
      </c>
    </row>
    <row r="530" customFormat="false" ht="15" hidden="false" customHeight="false" outlineLevel="0" collapsed="false">
      <c r="A530" s="3" t="n">
        <v>45290</v>
      </c>
      <c r="B530" s="10" t="n">
        <v>0.0157281</v>
      </c>
      <c r="C530" s="5" t="n">
        <f aca="false">C529*(1+B530)</f>
        <v>6399.13673449619</v>
      </c>
      <c r="D530" s="10" t="n">
        <v>0.01995941</v>
      </c>
      <c r="E530" s="5" t="n">
        <f aca="false">E529*(1+D530)</f>
        <v>8405.97476275725</v>
      </c>
      <c r="F530" s="4" t="n">
        <f aca="false">D530*Varsayımlar!$B$3</f>
        <v>0.0249492625</v>
      </c>
      <c r="G530" s="5" t="n">
        <f aca="false">G529*(1+F530)</f>
        <v>11728.1790109228</v>
      </c>
    </row>
    <row r="531" customFormat="false" ht="15" hidden="false" customHeight="false" outlineLevel="0" collapsed="false">
      <c r="A531" s="3" t="n">
        <v>45291</v>
      </c>
      <c r="B531" s="10" t="n">
        <v>0.0179253</v>
      </c>
      <c r="C531" s="5" t="n">
        <f aca="false">C530*(1+B531)</f>
        <v>6513.84318020305</v>
      </c>
      <c r="D531" s="10" t="n">
        <v>0.05533036</v>
      </c>
      <c r="E531" s="5" t="n">
        <f aca="false">E530*(1+D531)</f>
        <v>8871.08037253152</v>
      </c>
      <c r="F531" s="4" t="n">
        <f aca="false">D531*Varsayımlar!$B$3</f>
        <v>0.06916295</v>
      </c>
      <c r="G531" s="5" t="n">
        <f aca="false">G530*(1+F531)</f>
        <v>12539.3344694463</v>
      </c>
    </row>
    <row r="532" customFormat="false" ht="15" hidden="false" customHeight="false" outlineLevel="0" collapsed="false">
      <c r="A532" s="3" t="n">
        <v>45292</v>
      </c>
      <c r="B532" s="10" t="n">
        <v>-0.00802684</v>
      </c>
      <c r="C532" s="5" t="n">
        <f aca="false">C531*(1+B532)</f>
        <v>6461.55760321047</v>
      </c>
      <c r="D532" s="10" t="n">
        <v>-0.00153912</v>
      </c>
      <c r="E532" s="5" t="n">
        <f aca="false">E531*(1+D532)</f>
        <v>8857.42671530855</v>
      </c>
      <c r="F532" s="4" t="n">
        <f aca="false">D532*Varsayımlar!$B$3</f>
        <v>-0.0019239</v>
      </c>
      <c r="G532" s="5" t="n">
        <f aca="false">G531*(1+F532)</f>
        <v>12515.2100438605</v>
      </c>
    </row>
    <row r="533" customFormat="false" ht="15" hidden="false" customHeight="false" outlineLevel="0" collapsed="false">
      <c r="A533" s="3" t="n">
        <v>45293</v>
      </c>
      <c r="B533" s="10" t="n">
        <v>0.00799851</v>
      </c>
      <c r="C533" s="5" t="n">
        <f aca="false">C532*(1+B533)</f>
        <v>6513.24043631533</v>
      </c>
      <c r="D533" s="10" t="n">
        <v>0.00820879</v>
      </c>
      <c r="E533" s="5" t="n">
        <f aca="false">E532*(1+D533)</f>
        <v>8930.13547115491</v>
      </c>
      <c r="F533" s="4" t="n">
        <f aca="false">D533*Varsayımlar!$B$3</f>
        <v>0.0102609875</v>
      </c>
      <c r="G533" s="5" t="n">
        <f aca="false">G532*(1+F533)</f>
        <v>12643.6284576804</v>
      </c>
    </row>
    <row r="534" customFormat="false" ht="15" hidden="false" customHeight="false" outlineLevel="0" collapsed="false">
      <c r="A534" s="3" t="n">
        <v>45294</v>
      </c>
      <c r="B534" s="10" t="n">
        <v>0.04944472</v>
      </c>
      <c r="C534" s="5" t="n">
        <f aca="false">C533*(1+B534)</f>
        <v>6835.28578598162</v>
      </c>
      <c r="D534" s="10" t="n">
        <v>0.06422907</v>
      </c>
      <c r="E534" s="5" t="n">
        <f aca="false">E533*(1+D534)</f>
        <v>9503.70976744121</v>
      </c>
      <c r="F534" s="4" t="n">
        <f aca="false">D534*Varsayımlar!$B$3</f>
        <v>0.0802863375</v>
      </c>
      <c r="G534" s="5" t="n">
        <f aca="false">G533*(1+F534)</f>
        <v>13658.7390792584</v>
      </c>
    </row>
    <row r="535" customFormat="false" ht="15" hidden="false" customHeight="false" outlineLevel="0" collapsed="false">
      <c r="A535" s="3" t="n">
        <v>45295</v>
      </c>
      <c r="B535" s="10" t="n">
        <v>-0.002313</v>
      </c>
      <c r="C535" s="5" t="n">
        <f aca="false">C534*(1+B535)</f>
        <v>6819.47576995864</v>
      </c>
      <c r="D535" s="10" t="n">
        <v>-0.00611125</v>
      </c>
      <c r="E535" s="5" t="n">
        <f aca="false">E534*(1+D535)</f>
        <v>9445.63022112493</v>
      </c>
      <c r="F535" s="4" t="n">
        <f aca="false">D535*Varsayımlar!$B$3</f>
        <v>-0.0076390625</v>
      </c>
      <c r="G535" s="5" t="n">
        <f aca="false">G534*(1+F535)</f>
        <v>13554.3991177607</v>
      </c>
    </row>
    <row r="536" customFormat="false" ht="15" hidden="false" customHeight="false" outlineLevel="0" collapsed="false">
      <c r="A536" s="3" t="n">
        <v>45296</v>
      </c>
      <c r="B536" s="10" t="n">
        <v>-0.012082</v>
      </c>
      <c r="C536" s="5" t="n">
        <f aca="false">C535*(1+B536)</f>
        <v>6737.082863706</v>
      </c>
      <c r="D536" s="10" t="n">
        <v>-0.01462502</v>
      </c>
      <c r="E536" s="5" t="n">
        <f aca="false">E535*(1+D536)</f>
        <v>9307.48769022837</v>
      </c>
      <c r="F536" s="4" t="n">
        <f aca="false">D536*Varsayımlar!$B$3</f>
        <v>-0.018281275</v>
      </c>
      <c r="G536" s="5" t="n">
        <f aca="false">G535*(1+F536)</f>
        <v>13306.6074200292</v>
      </c>
    </row>
    <row r="537" customFormat="false" ht="15" hidden="false" customHeight="false" outlineLevel="0" collapsed="false">
      <c r="A537" s="3" t="n">
        <v>45297</v>
      </c>
      <c r="B537" s="10" t="n">
        <v>-0.00862945</v>
      </c>
      <c r="C537" s="5" t="n">
        <f aca="false">C536*(1+B537)</f>
        <v>6678.94554398779</v>
      </c>
      <c r="D537" s="10" t="n">
        <v>-0.01511245</v>
      </c>
      <c r="E537" s="5" t="n">
        <f aca="false">E536*(1+D537)</f>
        <v>9166.82874788418</v>
      </c>
      <c r="F537" s="4" t="n">
        <f aca="false">D537*Varsayımlar!$B$3</f>
        <v>-0.0188905625</v>
      </c>
      <c r="G537" s="5" t="n">
        <f aca="false">G536*(1+F537)</f>
        <v>13055.2381208982</v>
      </c>
    </row>
    <row r="538" customFormat="false" ht="15" hidden="false" customHeight="false" outlineLevel="0" collapsed="false">
      <c r="A538" s="3" t="n">
        <v>45298</v>
      </c>
      <c r="B538" s="10" t="n">
        <v>0.00356675</v>
      </c>
      <c r="C538" s="5" t="n">
        <f aca="false">C537*(1+B538)</f>
        <v>6702.76767300681</v>
      </c>
      <c r="D538" s="10" t="n">
        <v>0.00138108</v>
      </c>
      <c r="E538" s="5" t="n">
        <f aca="false">E537*(1+D538)</f>
        <v>9179.48887173131</v>
      </c>
      <c r="F538" s="4" t="n">
        <f aca="false">D538*Varsayımlar!$B$3</f>
        <v>0.00172635</v>
      </c>
      <c r="G538" s="5" t="n">
        <f aca="false">G537*(1+F538)</f>
        <v>13077.7760312282</v>
      </c>
    </row>
    <row r="539" customFormat="false" ht="15" hidden="false" customHeight="false" outlineLevel="0" collapsed="false">
      <c r="A539" s="3" t="n">
        <v>45299</v>
      </c>
      <c r="B539" s="10" t="n">
        <v>0.00052189</v>
      </c>
      <c r="C539" s="5" t="n">
        <f aca="false">C538*(1+B539)</f>
        <v>6706.26578042768</v>
      </c>
      <c r="D539" s="10" t="n">
        <v>-0.0027644</v>
      </c>
      <c r="E539" s="5" t="n">
        <f aca="false">E538*(1+D539)</f>
        <v>9154.1130926943</v>
      </c>
      <c r="F539" s="4" t="n">
        <f aca="false">D539*Varsayımlar!$B$3</f>
        <v>-0.0034555</v>
      </c>
      <c r="G539" s="5" t="n">
        <f aca="false">G538*(1+F539)</f>
        <v>13032.5857761523</v>
      </c>
    </row>
    <row r="540" customFormat="false" ht="15" hidden="false" customHeight="false" outlineLevel="0" collapsed="false">
      <c r="A540" s="3" t="n">
        <v>45300</v>
      </c>
      <c r="B540" s="10" t="n">
        <v>-0.01326474</v>
      </c>
      <c r="C540" s="5" t="n">
        <f aca="false">C539*(1+B540)</f>
        <v>6617.30890847941</v>
      </c>
      <c r="D540" s="10" t="n">
        <v>-0.00383003</v>
      </c>
      <c r="E540" s="5" t="n">
        <f aca="false">E539*(1+D540)</f>
        <v>9119.05256492588</v>
      </c>
      <c r="F540" s="4" t="n">
        <f aca="false">D540*Varsayımlar!$B$3</f>
        <v>-0.0047875375</v>
      </c>
      <c r="G540" s="5" t="n">
        <f aca="false">G539*(1+F540)</f>
        <v>12970.191783027</v>
      </c>
    </row>
    <row r="541" customFormat="false" ht="15" hidden="false" customHeight="false" outlineLevel="0" collapsed="false">
      <c r="A541" s="3" t="n">
        <v>45301</v>
      </c>
      <c r="B541" s="10" t="n">
        <v>-0.0121674</v>
      </c>
      <c r="C541" s="5" t="n">
        <f aca="false">C540*(1+B541)</f>
        <v>6536.79346406637</v>
      </c>
      <c r="D541" s="10" t="n">
        <v>-0.0099616</v>
      </c>
      <c r="E541" s="5" t="n">
        <f aca="false">E540*(1+D541)</f>
        <v>9028.21221089512</v>
      </c>
      <c r="F541" s="4" t="n">
        <f aca="false">D541*Varsayımlar!$B$3</f>
        <v>-0.012452</v>
      </c>
      <c r="G541" s="5" t="n">
        <f aca="false">G540*(1+F541)</f>
        <v>12808.6869549447</v>
      </c>
    </row>
    <row r="542" customFormat="false" ht="15" hidden="false" customHeight="false" outlineLevel="0" collapsed="false">
      <c r="A542" s="3" t="n">
        <v>45302</v>
      </c>
      <c r="B542" s="10" t="n">
        <v>-0.00014799</v>
      </c>
      <c r="C542" s="5" t="n">
        <f aca="false">C541*(1+B542)</f>
        <v>6535.82608400163</v>
      </c>
      <c r="D542" s="10" t="n">
        <v>-0.0064055</v>
      </c>
      <c r="E542" s="5" t="n">
        <f aca="false">E541*(1+D542)</f>
        <v>8970.38199757823</v>
      </c>
      <c r="F542" s="4" t="n">
        <f aca="false">D542*Varsayımlar!$B$3</f>
        <v>-0.008006875</v>
      </c>
      <c r="G542" s="5" t="n">
        <f aca="false">G541*(1+F542)</f>
        <v>12706.1293995823</v>
      </c>
    </row>
    <row r="543" customFormat="false" ht="15" hidden="false" customHeight="false" outlineLevel="0" collapsed="false">
      <c r="A543" s="3" t="n">
        <v>45303</v>
      </c>
      <c r="B543" s="10" t="n">
        <v>0.01133131</v>
      </c>
      <c r="C543" s="5" t="n">
        <f aca="false">C542*(1+B543)</f>
        <v>6609.88555546554</v>
      </c>
      <c r="D543" s="10" t="n">
        <v>0.01035162</v>
      </c>
      <c r="E543" s="5" t="n">
        <f aca="false">E542*(1+D543)</f>
        <v>9063.239983272</v>
      </c>
      <c r="F543" s="4" t="n">
        <f aca="false">D543*Varsayımlar!$B$3</f>
        <v>0.012939525</v>
      </c>
      <c r="G543" s="5" t="n">
        <f aca="false">G542*(1+F543)</f>
        <v>12870.5406786015</v>
      </c>
    </row>
    <row r="544" customFormat="false" ht="15" hidden="false" customHeight="false" outlineLevel="0" collapsed="false">
      <c r="A544" s="3" t="n">
        <v>45304</v>
      </c>
      <c r="B544" s="10" t="n">
        <v>-0.00251706</v>
      </c>
      <c r="C544" s="5" t="n">
        <f aca="false">C543*(1+B544)</f>
        <v>6593.2480769293</v>
      </c>
      <c r="D544" s="10" t="n">
        <v>0.0030942</v>
      </c>
      <c r="E544" s="5" t="n">
        <f aca="false">E543*(1+D544)</f>
        <v>9091.28346042824</v>
      </c>
      <c r="F544" s="4" t="n">
        <f aca="false">D544*Varsayımlar!$B$3</f>
        <v>0.00386775</v>
      </c>
      <c r="G544" s="5" t="n">
        <f aca="false">G543*(1+F544)</f>
        <v>12920.3207123111</v>
      </c>
    </row>
    <row r="545" customFormat="false" ht="15" hidden="false" customHeight="false" outlineLevel="0" collapsed="false">
      <c r="A545" s="3" t="n">
        <v>45305</v>
      </c>
      <c r="B545" s="10" t="n">
        <v>-0.00585229</v>
      </c>
      <c r="C545" s="5" t="n">
        <f aca="false">C544*(1+B545)</f>
        <v>6554.66247714116</v>
      </c>
      <c r="D545" s="10" t="n">
        <v>-0.00945915</v>
      </c>
      <c r="E545" s="5" t="n">
        <f aca="false">E544*(1+D545)</f>
        <v>9005.28764648353</v>
      </c>
      <c r="F545" s="4" t="n">
        <f aca="false">D545*Varsayımlar!$B$3</f>
        <v>-0.0118239375</v>
      </c>
      <c r="G545" s="5" t="n">
        <f aca="false">G544*(1+F545)</f>
        <v>12767.5516477288</v>
      </c>
    </row>
    <row r="546" customFormat="false" ht="15" hidden="false" customHeight="false" outlineLevel="0" collapsed="false">
      <c r="A546" s="3" t="n">
        <v>45306</v>
      </c>
      <c r="B546" s="10" t="n">
        <v>0.00547723</v>
      </c>
      <c r="C546" s="5" t="n">
        <f aca="false">C545*(1+B546)</f>
        <v>6590.56387110083</v>
      </c>
      <c r="D546" s="10" t="n">
        <v>0.00534236</v>
      </c>
      <c r="E546" s="5" t="n">
        <f aca="false">E545*(1+D546)</f>
        <v>9053.3971349946</v>
      </c>
      <c r="F546" s="4" t="n">
        <f aca="false">D546*Varsayımlar!$B$3</f>
        <v>0.00667795</v>
      </c>
      <c r="G546" s="5" t="n">
        <f aca="false">G545*(1+F546)</f>
        <v>12852.8127192548</v>
      </c>
    </row>
    <row r="547" customFormat="false" ht="15" hidden="false" customHeight="false" outlineLevel="0" collapsed="false">
      <c r="A547" s="3" t="n">
        <v>45307</v>
      </c>
      <c r="B547" s="10" t="n">
        <v>-0.00443635</v>
      </c>
      <c r="C547" s="5" t="n">
        <f aca="false">C546*(1+B547)</f>
        <v>6561.32582307128</v>
      </c>
      <c r="D547" s="10" t="n">
        <v>-0.00690476</v>
      </c>
      <c r="E547" s="5" t="n">
        <f aca="false">E546*(1+D547)</f>
        <v>8990.88560059277</v>
      </c>
      <c r="F547" s="4" t="n">
        <f aca="false">D547*Varsayımlar!$B$3</f>
        <v>-0.00863095</v>
      </c>
      <c r="G547" s="5" t="n">
        <f aca="false">G546*(1+F547)</f>
        <v>12741.8807353155</v>
      </c>
    </row>
    <row r="548" customFormat="false" ht="15" hidden="false" customHeight="false" outlineLevel="0" collapsed="false">
      <c r="A548" s="3" t="n">
        <v>45308</v>
      </c>
      <c r="B548" s="10" t="n">
        <v>-0.01128905</v>
      </c>
      <c r="C548" s="5" t="n">
        <f aca="false">C547*(1+B548)</f>
        <v>6487.25468778833</v>
      </c>
      <c r="D548" s="10" t="n">
        <v>-0.0183595</v>
      </c>
      <c r="E548" s="5" t="n">
        <f aca="false">E547*(1+D548)</f>
        <v>8825.81743640869</v>
      </c>
      <c r="F548" s="4" t="n">
        <f aca="false">D548*Varsayımlar!$B$3</f>
        <v>-0.022949375</v>
      </c>
      <c r="G548" s="5" t="n">
        <f aca="false">G547*(1+F548)</f>
        <v>12449.4625361155</v>
      </c>
    </row>
    <row r="549" customFormat="false" ht="15" hidden="false" customHeight="false" outlineLevel="0" collapsed="false">
      <c r="A549" s="3" t="n">
        <v>45309</v>
      </c>
      <c r="B549" s="10" t="n">
        <v>-0.00294263</v>
      </c>
      <c r="C549" s="5" t="n">
        <f aca="false">C548*(1+B549)</f>
        <v>6468.16509752641</v>
      </c>
      <c r="D549" s="10" t="n">
        <v>0.0051206</v>
      </c>
      <c r="E549" s="5" t="n">
        <f aca="false">E548*(1+D549)</f>
        <v>8871.01091717356</v>
      </c>
      <c r="F549" s="4" t="n">
        <f aca="false">D549*Varsayımlar!$B$3</f>
        <v>0.00640075</v>
      </c>
      <c r="G549" s="5" t="n">
        <f aca="false">G548*(1+F549)</f>
        <v>12529.1484334435</v>
      </c>
    </row>
    <row r="550" customFormat="false" ht="15" hidden="false" customHeight="false" outlineLevel="0" collapsed="false">
      <c r="A550" s="3" t="n">
        <v>45310</v>
      </c>
      <c r="B550" s="10" t="n">
        <v>0.00570616</v>
      </c>
      <c r="C550" s="5" t="n">
        <f aca="false">C549*(1+B550)</f>
        <v>6505.07348247931</v>
      </c>
      <c r="D550" s="10" t="n">
        <v>0.01640986</v>
      </c>
      <c r="E550" s="5" t="n">
        <f aca="false">E549*(1+D550)</f>
        <v>9016.58296438285</v>
      </c>
      <c r="F550" s="4" t="n">
        <f aca="false">D550*Varsayımlar!$B$3</f>
        <v>0.020512325</v>
      </c>
      <c r="G550" s="5" t="n">
        <f aca="false">G549*(1+F550)</f>
        <v>12786.1503980836</v>
      </c>
    </row>
    <row r="551" customFormat="false" ht="15" hidden="false" customHeight="false" outlineLevel="0" collapsed="false">
      <c r="A551" s="3" t="n">
        <v>45311</v>
      </c>
      <c r="B551" s="10" t="n">
        <v>-0.00395325</v>
      </c>
      <c r="C551" s="5" t="n">
        <f aca="false">C550*(1+B551)</f>
        <v>6479.3573007347</v>
      </c>
      <c r="D551" s="10" t="n">
        <v>-0.00584265</v>
      </c>
      <c r="E551" s="5" t="n">
        <f aca="false">E550*(1+D551)</f>
        <v>8963.902225926</v>
      </c>
      <c r="F551" s="4" t="n">
        <f aca="false">D551*Varsayımlar!$B$3</f>
        <v>-0.0073033125</v>
      </c>
      <c r="G551" s="5" t="n">
        <f aca="false">G550*(1+F551)</f>
        <v>12692.7691460543</v>
      </c>
    </row>
    <row r="552" customFormat="false" ht="15" hidden="false" customHeight="false" outlineLevel="0" collapsed="false">
      <c r="A552" s="3" t="n">
        <v>45312</v>
      </c>
      <c r="B552" s="10" t="n">
        <v>0.01486051</v>
      </c>
      <c r="C552" s="5" t="n">
        <f aca="false">C551*(1+B552)</f>
        <v>6575.64385469584</v>
      </c>
      <c r="D552" s="10" t="n">
        <v>0.0183487</v>
      </c>
      <c r="E552" s="5" t="n">
        <f aca="false">E551*(1+D552)</f>
        <v>9128.37817869885</v>
      </c>
      <c r="F552" s="4" t="n">
        <f aca="false">D552*Varsayımlar!$B$3</f>
        <v>0.022935875</v>
      </c>
      <c r="G552" s="5" t="n">
        <f aca="false">G551*(1+F552)</f>
        <v>12983.8889125921</v>
      </c>
    </row>
    <row r="553" customFormat="false" ht="15" hidden="false" customHeight="false" outlineLevel="0" collapsed="false">
      <c r="A553" s="3" t="n">
        <v>45313</v>
      </c>
      <c r="B553" s="10" t="n">
        <v>0.00063774</v>
      </c>
      <c r="C553" s="5" t="n">
        <f aca="false">C552*(1+B553)</f>
        <v>6579.83740580773</v>
      </c>
      <c r="D553" s="10" t="n">
        <v>0.0034993</v>
      </c>
      <c r="E553" s="5" t="n">
        <f aca="false">E552*(1+D553)</f>
        <v>9160.32111245957</v>
      </c>
      <c r="F553" s="4" t="n">
        <f aca="false">D553*Varsayımlar!$B$3</f>
        <v>0.004374125</v>
      </c>
      <c r="G553" s="5" t="n">
        <f aca="false">G552*(1+F553)</f>
        <v>13040.6820656819</v>
      </c>
    </row>
    <row r="554" customFormat="false" ht="15" hidden="false" customHeight="false" outlineLevel="0" collapsed="false">
      <c r="A554" s="3" t="n">
        <v>45314</v>
      </c>
      <c r="B554" s="10" t="n">
        <v>0.00771054</v>
      </c>
      <c r="C554" s="5" t="n">
        <f aca="false">C553*(1+B554)</f>
        <v>6630.57150531871</v>
      </c>
      <c r="D554" s="10" t="n">
        <v>0.00910741</v>
      </c>
      <c r="E554" s="5" t="n">
        <f aca="false">E553*(1+D554)</f>
        <v>9243.7479125624</v>
      </c>
      <c r="F554" s="4" t="n">
        <f aca="false">D554*Varsayımlar!$B$3</f>
        <v>0.0113842625</v>
      </c>
      <c r="G554" s="5" t="n">
        <f aca="false">G553*(1+F554)</f>
        <v>13189.1406134967</v>
      </c>
    </row>
    <row r="555" customFormat="false" ht="15" hidden="false" customHeight="false" outlineLevel="0" collapsed="false">
      <c r="A555" s="3" t="n">
        <v>45315</v>
      </c>
      <c r="B555" s="10" t="n">
        <v>-0.00474377</v>
      </c>
      <c r="C555" s="5" t="n">
        <f aca="false">C554*(1+B555)</f>
        <v>6599.11759912892</v>
      </c>
      <c r="D555" s="10" t="n">
        <v>-0.01363116</v>
      </c>
      <c r="E555" s="5" t="n">
        <f aca="false">E554*(1+D555)</f>
        <v>9117.74490576659</v>
      </c>
      <c r="F555" s="4" t="n">
        <f aca="false">D555*Varsayımlar!$B$3</f>
        <v>-0.01703895</v>
      </c>
      <c r="G555" s="5" t="n">
        <f aca="false">G554*(1+F555)</f>
        <v>12964.4115060403</v>
      </c>
    </row>
    <row r="556" customFormat="false" ht="15" hidden="false" customHeight="false" outlineLevel="0" collapsed="false">
      <c r="A556" s="3" t="n">
        <v>45316</v>
      </c>
      <c r="B556" s="10" t="n">
        <v>-0.01754253</v>
      </c>
      <c r="C556" s="5" t="n">
        <f aca="false">C555*(1+B556)</f>
        <v>6483.35238067267</v>
      </c>
      <c r="D556" s="10" t="n">
        <v>-0.02326514</v>
      </c>
      <c r="E556" s="5" t="n">
        <f aca="false">E555*(1+D556)</f>
        <v>8905.61929404965</v>
      </c>
      <c r="F556" s="4" t="n">
        <f aca="false">D556*Varsayımlar!$B$3</f>
        <v>-0.029081425</v>
      </c>
      <c r="G556" s="5" t="n">
        <f aca="false">G555*(1+F556)</f>
        <v>12587.3879451583</v>
      </c>
    </row>
    <row r="557" customFormat="false" ht="15" hidden="false" customHeight="false" outlineLevel="0" collapsed="false">
      <c r="A557" s="3" t="n">
        <v>45317</v>
      </c>
      <c r="B557" s="10" t="n">
        <v>0.00075614</v>
      </c>
      <c r="C557" s="5" t="n">
        <f aca="false">C556*(1+B557)</f>
        <v>6488.2547027418</v>
      </c>
      <c r="D557" s="10" t="n">
        <v>-0.00167849</v>
      </c>
      <c r="E557" s="5" t="n">
        <f aca="false">E556*(1+D557)</f>
        <v>8890.67130112078</v>
      </c>
      <c r="F557" s="4" t="n">
        <f aca="false">D557*Varsayımlar!$B$3</f>
        <v>-0.0020981125</v>
      </c>
      <c r="G557" s="5" t="n">
        <f aca="false">G556*(1+F557)</f>
        <v>12560.9781891682</v>
      </c>
    </row>
    <row r="558" customFormat="false" ht="15" hidden="false" customHeight="false" outlineLevel="0" collapsed="false">
      <c r="A558" s="3" t="n">
        <v>45318</v>
      </c>
      <c r="B558" s="10" t="n">
        <v>0.01621851</v>
      </c>
      <c r="C558" s="5" t="n">
        <f aca="false">C557*(1+B558)</f>
        <v>6593.48452652076</v>
      </c>
      <c r="D558" s="10" t="n">
        <v>0.01658136</v>
      </c>
      <c r="E558" s="5" t="n">
        <f aca="false">E557*(1+D558)</f>
        <v>9038.09072260633</v>
      </c>
      <c r="F558" s="4" t="n">
        <f aca="false">D558*Varsayımlar!$B$3</f>
        <v>0.0207267</v>
      </c>
      <c r="G558" s="5" t="n">
        <f aca="false">G557*(1+F558)</f>
        <v>12821.3258158016</v>
      </c>
    </row>
    <row r="559" customFormat="false" ht="15" hidden="false" customHeight="false" outlineLevel="0" collapsed="false">
      <c r="A559" s="3" t="n">
        <v>45319</v>
      </c>
      <c r="B559" s="10" t="n">
        <v>-0.0027353</v>
      </c>
      <c r="C559" s="5" t="n">
        <f aca="false">C558*(1+B559)</f>
        <v>6575.44936829537</v>
      </c>
      <c r="D559" s="10" t="n">
        <v>-0.00329567</v>
      </c>
      <c r="E559" s="5" t="n">
        <f aca="false">E558*(1+D559)</f>
        <v>9008.30415815456</v>
      </c>
      <c r="F559" s="4" t="n">
        <f aca="false">D559*Varsayımlar!$B$3</f>
        <v>-0.0041195875</v>
      </c>
      <c r="G559" s="5" t="n">
        <f aca="false">G558*(1+F559)</f>
        <v>12768.5072422374</v>
      </c>
    </row>
    <row r="560" customFormat="false" ht="15" hidden="false" customHeight="false" outlineLevel="0" collapsed="false">
      <c r="A560" s="3" t="n">
        <v>45320</v>
      </c>
      <c r="B560" s="10" t="n">
        <v>-0.00228148</v>
      </c>
      <c r="C560" s="5" t="n">
        <f aca="false">C559*(1+B560)</f>
        <v>6560.44761207059</v>
      </c>
      <c r="D560" s="10" t="n">
        <v>-0.00275534</v>
      </c>
      <c r="E560" s="5" t="n">
        <f aca="false">E559*(1+D560)</f>
        <v>8983.48321737543</v>
      </c>
      <c r="F560" s="4" t="n">
        <f aca="false">D560*Varsayımlar!$B$3</f>
        <v>-0.003444175</v>
      </c>
      <c r="G560" s="5" t="n">
        <f aca="false">G559*(1+F560)</f>
        <v>12724.5302688064</v>
      </c>
    </row>
    <row r="561" customFormat="false" ht="15" hidden="false" customHeight="false" outlineLevel="0" collapsed="false">
      <c r="A561" s="3" t="n">
        <v>45321</v>
      </c>
      <c r="B561" s="10" t="n">
        <v>-0.0017013</v>
      </c>
      <c r="C561" s="5" t="n">
        <f aca="false">C560*(1+B561)</f>
        <v>6549.28632254817</v>
      </c>
      <c r="D561" s="10" t="n">
        <v>-0.00272981</v>
      </c>
      <c r="E561" s="5" t="n">
        <f aca="false">E560*(1+D561)</f>
        <v>8958.9600150538</v>
      </c>
      <c r="F561" s="4" t="n">
        <f aca="false">D561*Varsayımlar!$B$3</f>
        <v>-0.0034122625</v>
      </c>
      <c r="G561" s="5" t="n">
        <f aca="false">G560*(1+F561)</f>
        <v>12681.11083134</v>
      </c>
    </row>
    <row r="562" customFormat="false" ht="15" hidden="false" customHeight="false" outlineLevel="0" collapsed="false">
      <c r="A562" s="3" t="n">
        <v>45322</v>
      </c>
      <c r="B562" s="10" t="n">
        <v>-0.015473</v>
      </c>
      <c r="C562" s="5" t="n">
        <f aca="false">C561*(1+B562)</f>
        <v>6447.94921527939</v>
      </c>
      <c r="D562" s="10" t="n">
        <v>-0.01800055</v>
      </c>
      <c r="E562" s="5" t="n">
        <f aca="false">E561*(1+D562)</f>
        <v>8797.69380735483</v>
      </c>
      <c r="F562" s="4" t="n">
        <f aca="false">D562*Varsayımlar!$B$3</f>
        <v>-0.0225006875</v>
      </c>
      <c r="G562" s="5" t="n">
        <f aca="false">G561*(1+F562)</f>
        <v>12395.7771193712</v>
      </c>
    </row>
    <row r="563" customFormat="false" ht="15" hidden="false" customHeight="false" outlineLevel="0" collapsed="false">
      <c r="A563" s="3" t="n">
        <v>45323</v>
      </c>
      <c r="B563" s="10" t="n">
        <v>-0.00618517</v>
      </c>
      <c r="C563" s="5" t="n">
        <f aca="false">C562*(1+B563)</f>
        <v>6408.06755323152</v>
      </c>
      <c r="D563" s="10" t="n">
        <v>-0.00556965</v>
      </c>
      <c r="E563" s="5" t="n">
        <f aca="false">E562*(1+D563)</f>
        <v>8748.69373204069</v>
      </c>
      <c r="F563" s="4" t="n">
        <f aca="false">D563*Varsayımlar!$B$3</f>
        <v>-0.0069620625</v>
      </c>
      <c r="G563" s="5" t="n">
        <f aca="false">G562*(1+F563)</f>
        <v>12309.47694433</v>
      </c>
    </row>
    <row r="564" customFormat="false" ht="15" hidden="false" customHeight="false" outlineLevel="0" collapsed="false">
      <c r="A564" s="3" t="n">
        <v>45324</v>
      </c>
      <c r="B564" s="10" t="n">
        <v>0.0137571</v>
      </c>
      <c r="C564" s="5" t="n">
        <f aca="false">C563*(1+B564)</f>
        <v>6496.22397936808</v>
      </c>
      <c r="D564" s="10" t="n">
        <v>0.01176856</v>
      </c>
      <c r="E564" s="5" t="n">
        <f aca="false">E563*(1+D564)</f>
        <v>8851.65325914784</v>
      </c>
      <c r="F564" s="4" t="n">
        <f aca="false">D564*Varsayımlar!$B$3</f>
        <v>0.0147107</v>
      </c>
      <c r="G564" s="5" t="n">
        <f aca="false">G563*(1+F564)</f>
        <v>12490.557966815</v>
      </c>
    </row>
    <row r="565" customFormat="false" ht="15" hidden="false" customHeight="false" outlineLevel="0" collapsed="false">
      <c r="A565" s="3" t="n">
        <v>45325</v>
      </c>
      <c r="B565" s="10" t="n">
        <v>0.00349593</v>
      </c>
      <c r="C565" s="5" t="n">
        <f aca="false">C564*(1+B565)</f>
        <v>6518.93432366427</v>
      </c>
      <c r="D565" s="10" t="n">
        <v>0.00676955</v>
      </c>
      <c r="E565" s="5" t="n">
        <f aca="false">E564*(1+D565)</f>
        <v>8911.5749684683</v>
      </c>
      <c r="F565" s="4" t="n">
        <f aca="false">D565*Varsayımlar!$B$3</f>
        <v>0.0084619375</v>
      </c>
      <c r="G565" s="5" t="n">
        <f aca="false">G564*(1+F565)</f>
        <v>12596.2522876703</v>
      </c>
    </row>
    <row r="566" customFormat="false" ht="15" hidden="false" customHeight="false" outlineLevel="0" collapsed="false">
      <c r="A566" s="3" t="n">
        <v>45326</v>
      </c>
      <c r="B566" s="10" t="n">
        <v>0.00769188</v>
      </c>
      <c r="C566" s="5" t="n">
        <f aca="false">C565*(1+B566)</f>
        <v>6569.07718420978</v>
      </c>
      <c r="D566" s="10" t="n">
        <v>0.01079757</v>
      </c>
      <c r="E566" s="5" t="n">
        <f aca="false">E565*(1+D566)</f>
        <v>9007.79832300059</v>
      </c>
      <c r="F566" s="4" t="n">
        <f aca="false">D566*Varsayımlar!$B$3</f>
        <v>0.0134969625</v>
      </c>
      <c r="G566" s="5" t="n">
        <f aca="false">G565*(1+F566)</f>
        <v>12766.2634324375</v>
      </c>
    </row>
    <row r="567" customFormat="false" ht="15" hidden="false" customHeight="false" outlineLevel="0" collapsed="false">
      <c r="A567" s="3" t="n">
        <v>45327</v>
      </c>
      <c r="B567" s="10" t="n">
        <v>-0.00697334</v>
      </c>
      <c r="C567" s="5" t="n">
        <f aca="false">C566*(1+B567)</f>
        <v>6523.26877551804</v>
      </c>
      <c r="D567" s="10" t="n">
        <v>-0.01266218</v>
      </c>
      <c r="E567" s="5" t="n">
        <f aca="false">E566*(1+D567)</f>
        <v>8893.73995923106</v>
      </c>
      <c r="F567" s="4" t="n">
        <f aca="false">D567*Varsayımlar!$B$3</f>
        <v>-0.015827725</v>
      </c>
      <c r="G567" s="5" t="n">
        <f aca="false">G566*(1+F567)</f>
        <v>12564.2025255514</v>
      </c>
    </row>
    <row r="568" customFormat="false" ht="15" hidden="false" customHeight="false" outlineLevel="0" collapsed="false">
      <c r="A568" s="3" t="n">
        <v>45328</v>
      </c>
      <c r="B568" s="10" t="n">
        <v>-0.00879301</v>
      </c>
      <c r="C568" s="5" t="n">
        <f aca="false">C567*(1+B568)</f>
        <v>6465.90960794222</v>
      </c>
      <c r="D568" s="10" t="n">
        <v>-0.00548124</v>
      </c>
      <c r="E568" s="5" t="n">
        <f aca="false">E567*(1+D568)</f>
        <v>8844.99123601692</v>
      </c>
      <c r="F568" s="4" t="n">
        <f aca="false">D568*Varsayımlar!$B$3</f>
        <v>-0.00685155</v>
      </c>
      <c r="G568" s="5" t="n">
        <f aca="false">G567*(1+F568)</f>
        <v>12478.1182637374</v>
      </c>
    </row>
    <row r="569" customFormat="false" ht="15" hidden="false" customHeight="false" outlineLevel="0" collapsed="false">
      <c r="A569" s="3" t="n">
        <v>45329</v>
      </c>
      <c r="B569" s="10" t="n">
        <v>-0.00980841</v>
      </c>
      <c r="C569" s="5" t="n">
        <f aca="false">C568*(1+B569)</f>
        <v>6402.48931548459</v>
      </c>
      <c r="D569" s="10" t="n">
        <v>-0.0123183</v>
      </c>
      <c r="E569" s="5" t="n">
        <f aca="false">E568*(1+D569)</f>
        <v>8736.0359804743</v>
      </c>
      <c r="F569" s="4" t="n">
        <f aca="false">D569*Varsayımlar!$B$3</f>
        <v>-0.015397875</v>
      </c>
      <c r="G569" s="5" t="n">
        <f aca="false">G568*(1+F569)</f>
        <v>12285.9817584772</v>
      </c>
    </row>
    <row r="570" customFormat="false" ht="15" hidden="false" customHeight="false" outlineLevel="0" collapsed="false">
      <c r="A570" s="3" t="n">
        <v>45330</v>
      </c>
      <c r="B570" s="10" t="n">
        <v>0.00129058</v>
      </c>
      <c r="C570" s="5" t="n">
        <f aca="false">C569*(1+B570)</f>
        <v>6410.75224014536</v>
      </c>
      <c r="D570" s="10" t="n">
        <v>0.00402223</v>
      </c>
      <c r="E570" s="5" t="n">
        <f aca="false">E569*(1+D570)</f>
        <v>8771.17432647604</v>
      </c>
      <c r="F570" s="4" t="n">
        <f aca="false">D570*Varsayımlar!$B$3</f>
        <v>0.0050277875</v>
      </c>
      <c r="G570" s="5" t="n">
        <f aca="false">G569*(1+F570)</f>
        <v>12347.7530639877</v>
      </c>
    </row>
    <row r="571" customFormat="false" ht="15" hidden="false" customHeight="false" outlineLevel="0" collapsed="false">
      <c r="A571" s="3" t="n">
        <v>45331</v>
      </c>
      <c r="B571" s="10" t="n">
        <v>0.00132706</v>
      </c>
      <c r="C571" s="5" t="n">
        <f aca="false">C570*(1+B571)</f>
        <v>6419.25969301317</v>
      </c>
      <c r="D571" s="10" t="n">
        <v>0.00626205</v>
      </c>
      <c r="E571" s="5" t="n">
        <f aca="false">E570*(1+D571)</f>
        <v>8826.09985866715</v>
      </c>
      <c r="F571" s="4" t="n">
        <f aca="false">D571*Varsayımlar!$B$3</f>
        <v>0.0078275625</v>
      </c>
      <c r="G571" s="5" t="n">
        <f aca="false">G570*(1+F571)</f>
        <v>12444.4058728306</v>
      </c>
    </row>
    <row r="572" customFormat="false" ht="15" hidden="false" customHeight="false" outlineLevel="0" collapsed="false">
      <c r="A572" s="3" t="n">
        <v>45332</v>
      </c>
      <c r="B572" s="10" t="n">
        <v>0.00361096</v>
      </c>
      <c r="C572" s="5" t="n">
        <f aca="false">C571*(1+B572)</f>
        <v>6442.43938299425</v>
      </c>
      <c r="D572" s="10" t="n">
        <v>0.00155658</v>
      </c>
      <c r="E572" s="5" t="n">
        <f aca="false">E571*(1+D572)</f>
        <v>8839.83838918515</v>
      </c>
      <c r="F572" s="4" t="n">
        <f aca="false">D572*Varsayımlar!$B$3</f>
        <v>0.001945725</v>
      </c>
      <c r="G572" s="5" t="n">
        <f aca="false">G571*(1+F572)</f>
        <v>12468.6192644475</v>
      </c>
    </row>
    <row r="573" customFormat="false" ht="15" hidden="false" customHeight="false" outlineLevel="0" collapsed="false">
      <c r="A573" s="3" t="n">
        <v>45333</v>
      </c>
      <c r="B573" s="10" t="n">
        <v>-0.00271306</v>
      </c>
      <c r="C573" s="5" t="n">
        <f aca="false">C572*(1+B573)</f>
        <v>6424.96065840183</v>
      </c>
      <c r="D573" s="10" t="n">
        <v>-0.00399111</v>
      </c>
      <c r="E573" s="5" t="n">
        <f aca="false">E572*(1+D573)</f>
        <v>8804.55762179169</v>
      </c>
      <c r="F573" s="4" t="n">
        <f aca="false">D573*Varsayımlar!$B$3</f>
        <v>-0.0049888875</v>
      </c>
      <c r="G573" s="5" t="n">
        <f aca="false">G572*(1+F573)</f>
        <v>12406.4147256569</v>
      </c>
    </row>
    <row r="574" customFormat="false" ht="15" hidden="false" customHeight="false" outlineLevel="0" collapsed="false">
      <c r="A574" s="3" t="n">
        <v>45334</v>
      </c>
      <c r="B574" s="10" t="n">
        <v>-0.0047653</v>
      </c>
      <c r="C574" s="5" t="n">
        <f aca="false">C573*(1+B574)</f>
        <v>6394.34379337635</v>
      </c>
      <c r="D574" s="10" t="n">
        <v>-0.00909839</v>
      </c>
      <c r="E574" s="5" t="n">
        <f aca="false">E573*(1+D574)</f>
        <v>8724.45032277115</v>
      </c>
      <c r="F574" s="4" t="n">
        <f aca="false">D574*Varsayımlar!$B$3</f>
        <v>-0.0113729875</v>
      </c>
      <c r="G574" s="5" t="n">
        <f aca="false">G573*(1+F574)</f>
        <v>12265.3167260621</v>
      </c>
    </row>
    <row r="575" customFormat="false" ht="15" hidden="false" customHeight="false" outlineLevel="0" collapsed="false">
      <c r="A575" s="3" t="n">
        <v>45335</v>
      </c>
      <c r="B575" s="10" t="n">
        <v>0.00016353</v>
      </c>
      <c r="C575" s="5" t="n">
        <f aca="false">C574*(1+B575)</f>
        <v>6395.38946041688</v>
      </c>
      <c r="D575" s="10" t="n">
        <v>0.01155205</v>
      </c>
      <c r="E575" s="5" t="n">
        <f aca="false">E574*(1+D575)</f>
        <v>8825.23560912232</v>
      </c>
      <c r="F575" s="4" t="n">
        <f aca="false">D575*Varsayımlar!$B$3</f>
        <v>0.0144400625</v>
      </c>
      <c r="G575" s="5" t="n">
        <f aca="false">G574*(1+F575)</f>
        <v>12442.4286661688</v>
      </c>
    </row>
    <row r="576" customFormat="false" ht="15" hidden="false" customHeight="false" outlineLevel="0" collapsed="false">
      <c r="A576" s="3" t="n">
        <v>45336</v>
      </c>
      <c r="B576" s="10" t="n">
        <v>0.00073848</v>
      </c>
      <c r="C576" s="5" t="n">
        <f aca="false">C575*(1+B576)</f>
        <v>6400.11232762561</v>
      </c>
      <c r="D576" s="10" t="n">
        <v>0.00121903</v>
      </c>
      <c r="E576" s="5" t="n">
        <f aca="false">E575*(1+D576)</f>
        <v>8835.99383608691</v>
      </c>
      <c r="F576" s="4" t="n">
        <f aca="false">D576*Varsayımlar!$B$3</f>
        <v>0.0015237875</v>
      </c>
      <c r="G576" s="5" t="n">
        <f aca="false">G575*(1+F576)</f>
        <v>12461.3882834399</v>
      </c>
    </row>
    <row r="577" customFormat="false" ht="15" hidden="false" customHeight="false" outlineLevel="0" collapsed="false">
      <c r="A577" s="3" t="n">
        <v>45337</v>
      </c>
      <c r="B577" s="10" t="n">
        <v>-0.0087171</v>
      </c>
      <c r="C577" s="5" t="n">
        <f aca="false">C576*(1+B577)</f>
        <v>6344.32190845446</v>
      </c>
      <c r="D577" s="10" t="n">
        <v>-0.00093557</v>
      </c>
      <c r="E577" s="5" t="n">
        <f aca="false">E576*(1+D577)</f>
        <v>8827.72714533368</v>
      </c>
      <c r="F577" s="4" t="n">
        <f aca="false">D577*Varsayımlar!$B$3</f>
        <v>-0.0011694625</v>
      </c>
      <c r="G577" s="5" t="n">
        <f aca="false">G576*(1+F577)</f>
        <v>12446.8151571445</v>
      </c>
    </row>
    <row r="578" customFormat="false" ht="15" hidden="false" customHeight="false" outlineLevel="0" collapsed="false">
      <c r="A578" s="3" t="n">
        <v>45338</v>
      </c>
      <c r="B578" s="10" t="n">
        <v>-0.00261453</v>
      </c>
      <c r="C578" s="5" t="n">
        <f aca="false">C577*(1+B578)</f>
        <v>6327.73448849515</v>
      </c>
      <c r="D578" s="10" t="n">
        <v>-0.0231188</v>
      </c>
      <c r="E578" s="5" t="n">
        <f aca="false">E577*(1+D578)</f>
        <v>8623.64068700614</v>
      </c>
      <c r="F578" s="4" t="n">
        <f aca="false">D578*Varsayımlar!$B$3</f>
        <v>-0.0288985</v>
      </c>
      <c r="G578" s="5" t="n">
        <f aca="false">G577*(1+F578)</f>
        <v>12087.1208693258</v>
      </c>
    </row>
    <row r="579" customFormat="false" ht="15" hidden="false" customHeight="false" outlineLevel="0" collapsed="false">
      <c r="A579" s="3" t="n">
        <v>45339</v>
      </c>
      <c r="B579" s="10" t="n">
        <v>-0.00941177</v>
      </c>
      <c r="C579" s="5" t="n">
        <f aca="false">C578*(1+B579)</f>
        <v>6268.17930686837</v>
      </c>
      <c r="D579" s="10" t="n">
        <v>0.00498948</v>
      </c>
      <c r="E579" s="5" t="n">
        <f aca="false">E578*(1+D579)</f>
        <v>8666.66816974115</v>
      </c>
      <c r="F579" s="4" t="n">
        <f aca="false">D579*Varsayımlar!$B$3</f>
        <v>0.00623685</v>
      </c>
      <c r="G579" s="5" t="n">
        <f aca="false">G578*(1+F579)</f>
        <v>12162.5064291196</v>
      </c>
    </row>
    <row r="580" customFormat="false" ht="15" hidden="false" customHeight="false" outlineLevel="0" collapsed="false">
      <c r="A580" s="3" t="n">
        <v>45340</v>
      </c>
      <c r="B580" s="10" t="n">
        <v>0.00500361</v>
      </c>
      <c r="C580" s="5" t="n">
        <f aca="false">C579*(1+B580)</f>
        <v>6299.54283153</v>
      </c>
      <c r="D580" s="10" t="n">
        <v>0.00798474</v>
      </c>
      <c r="E580" s="5" t="n">
        <f aca="false">E579*(1+D580)</f>
        <v>8735.8692617428</v>
      </c>
      <c r="F580" s="4" t="n">
        <f aca="false">D580*Varsayımlar!$B$3</f>
        <v>0.009980925</v>
      </c>
      <c r="G580" s="5" t="n">
        <f aca="false">G579*(1+F580)</f>
        <v>12283.8994936007</v>
      </c>
    </row>
    <row r="581" customFormat="false" ht="15" hidden="false" customHeight="false" outlineLevel="0" collapsed="false">
      <c r="A581" s="3" t="n">
        <v>45341</v>
      </c>
      <c r="B581" s="10" t="n">
        <v>-0.01524902</v>
      </c>
      <c r="C581" s="5" t="n">
        <f aca="false">C580*(1+B581)</f>
        <v>6203.48097690115</v>
      </c>
      <c r="D581" s="10" t="n">
        <v>-0.01258651</v>
      </c>
      <c r="E581" s="5" t="n">
        <f aca="false">E580*(1+D581)</f>
        <v>8625.91515592119</v>
      </c>
      <c r="F581" s="4" t="n">
        <f aca="false">D581*Varsayımlar!$B$3</f>
        <v>-0.0157331375</v>
      </c>
      <c r="G581" s="5" t="n">
        <f aca="false">G580*(1+F581)</f>
        <v>12090.6352138317</v>
      </c>
    </row>
    <row r="582" customFormat="false" ht="15" hidden="false" customHeight="false" outlineLevel="0" collapsed="false">
      <c r="A582" s="3" t="n">
        <v>45342</v>
      </c>
      <c r="B582" s="10" t="n">
        <v>-0.00994298</v>
      </c>
      <c r="C582" s="5" t="n">
        <f aca="false">C581*(1+B582)</f>
        <v>6141.79988961744</v>
      </c>
      <c r="D582" s="10" t="n">
        <v>-0.00241577</v>
      </c>
      <c r="E582" s="5" t="n">
        <f aca="false">E581*(1+D582)</f>
        <v>8605.07692886497</v>
      </c>
      <c r="F582" s="4" t="n">
        <f aca="false">D582*Varsayımlar!$B$3</f>
        <v>-0.0030197125</v>
      </c>
      <c r="G582" s="5" t="n">
        <f aca="false">G581*(1+F582)</f>
        <v>12054.1249715435</v>
      </c>
    </row>
    <row r="583" customFormat="false" ht="15" hidden="false" customHeight="false" outlineLevel="0" collapsed="false">
      <c r="A583" s="3" t="n">
        <v>45343</v>
      </c>
      <c r="B583" s="10" t="n">
        <v>0.01930319</v>
      </c>
      <c r="C583" s="5" t="n">
        <f aca="false">C582*(1+B583)</f>
        <v>6260.3562198287</v>
      </c>
      <c r="D583" s="10" t="n">
        <v>0.01885839</v>
      </c>
      <c r="E583" s="5" t="n">
        <f aca="false">E582*(1+D583)</f>
        <v>8767.3548255695</v>
      </c>
      <c r="F583" s="4" t="n">
        <f aca="false">D583*Varsayımlar!$B$3</f>
        <v>0.0235729875</v>
      </c>
      <c r="G583" s="5" t="n">
        <f aca="false">G582*(1+F583)</f>
        <v>12338.2767088212</v>
      </c>
    </row>
    <row r="584" customFormat="false" ht="15" hidden="false" customHeight="false" outlineLevel="0" collapsed="false">
      <c r="A584" s="3" t="n">
        <v>45344</v>
      </c>
      <c r="B584" s="10" t="n">
        <v>0.00069114</v>
      </c>
      <c r="C584" s="5" t="n">
        <f aca="false">C583*(1+B584)</f>
        <v>6264.68300242648</v>
      </c>
      <c r="D584" s="10" t="n">
        <v>-0.00715837</v>
      </c>
      <c r="E584" s="5" t="n">
        <f aca="false">E583*(1+D584)</f>
        <v>8704.59485580679</v>
      </c>
      <c r="F584" s="4" t="n">
        <f aca="false">D584*Varsayımlar!$B$3</f>
        <v>-0.0089479625</v>
      </c>
      <c r="G584" s="5" t="n">
        <f aca="false">G583*(1+F584)</f>
        <v>12227.874271516</v>
      </c>
    </row>
    <row r="585" customFormat="false" ht="15" hidden="false" customHeight="false" outlineLevel="0" collapsed="false">
      <c r="A585" s="3" t="n">
        <v>45345</v>
      </c>
      <c r="B585" s="10" t="n">
        <v>-0.01176088</v>
      </c>
      <c r="C585" s="5" t="n">
        <f aca="false">C584*(1+B585)</f>
        <v>6191.0048173969</v>
      </c>
      <c r="D585" s="10" t="n">
        <v>-0.0119352</v>
      </c>
      <c r="E585" s="5" t="n">
        <f aca="false">E584*(1+D585)</f>
        <v>8600.70377528376</v>
      </c>
      <c r="F585" s="4" t="n">
        <f aca="false">D585*Varsayımlar!$B$3</f>
        <v>-0.014919</v>
      </c>
      <c r="G585" s="5" t="n">
        <f aca="false">G584*(1+F585)</f>
        <v>12045.4466152593</v>
      </c>
    </row>
    <row r="586" customFormat="false" ht="15" hidden="false" customHeight="false" outlineLevel="0" collapsed="false">
      <c r="A586" s="3" t="n">
        <v>45346</v>
      </c>
      <c r="B586" s="10" t="n">
        <v>0.01226708</v>
      </c>
      <c r="C586" s="5" t="n">
        <f aca="false">C585*(1+B586)</f>
        <v>6266.95036877229</v>
      </c>
      <c r="D586" s="10" t="n">
        <v>0.01367715</v>
      </c>
      <c r="E586" s="5" t="n">
        <f aca="false">E585*(1+D586)</f>
        <v>8718.33689092389</v>
      </c>
      <c r="F586" s="4" t="n">
        <f aca="false">D586*Varsayımlar!$B$3</f>
        <v>0.0170964375</v>
      </c>
      <c r="G586" s="5" t="n">
        <f aca="false">G585*(1+F586)</f>
        <v>12251.3808404766</v>
      </c>
    </row>
    <row r="587" customFormat="false" ht="15" hidden="false" customHeight="false" outlineLevel="0" collapsed="false">
      <c r="A587" s="3" t="n">
        <v>45347</v>
      </c>
      <c r="B587" s="10" t="n">
        <v>0.00745969</v>
      </c>
      <c r="C587" s="5" t="n">
        <f aca="false">C586*(1+B587)</f>
        <v>6313.69987576872</v>
      </c>
      <c r="D587" s="10" t="n">
        <v>0.01433937</v>
      </c>
      <c r="E587" s="5" t="n">
        <f aca="false">E586*(1+D587)</f>
        <v>8843.35234938749</v>
      </c>
      <c r="F587" s="4" t="n">
        <f aca="false">D587*Varsayımlar!$B$3</f>
        <v>0.0179242125</v>
      </c>
      <c r="G587" s="5" t="n">
        <f aca="false">G586*(1+F587)</f>
        <v>12470.9771940798</v>
      </c>
    </row>
    <row r="588" customFormat="false" ht="15" hidden="false" customHeight="false" outlineLevel="0" collapsed="false">
      <c r="A588" s="3" t="n">
        <v>45348</v>
      </c>
      <c r="B588" s="10" t="n">
        <v>-0.02310889</v>
      </c>
      <c r="C588" s="5" t="n">
        <f aca="false">C587*(1+B588)</f>
        <v>6167.79727984656</v>
      </c>
      <c r="D588" s="10" t="n">
        <v>-0.01779247</v>
      </c>
      <c r="E588" s="5" t="n">
        <f aca="false">E587*(1+D588)</f>
        <v>8686.00726801159</v>
      </c>
      <c r="F588" s="4" t="n">
        <f aca="false">D588*Varsayımlar!$B$3</f>
        <v>-0.0222405875</v>
      </c>
      <c r="G588" s="5" t="n">
        <f aca="false">G587*(1+F588)</f>
        <v>12193.6153345843</v>
      </c>
    </row>
    <row r="589" customFormat="false" ht="15" hidden="false" customHeight="false" outlineLevel="0" collapsed="false">
      <c r="A589" s="3" t="n">
        <v>45349</v>
      </c>
      <c r="B589" s="10" t="n">
        <v>-0.05551426</v>
      </c>
      <c r="C589" s="5" t="n">
        <f aca="false">C588*(1+B589)</f>
        <v>5825.39657802587</v>
      </c>
      <c r="D589" s="10" t="n">
        <v>-0.04239721</v>
      </c>
      <c r="E589" s="5" t="n">
        <f aca="false">E588*(1+D589)</f>
        <v>8317.74479380817</v>
      </c>
      <c r="F589" s="4" t="n">
        <f aca="false">D589*Varsayımlar!$B$3</f>
        <v>-0.0529965125</v>
      </c>
      <c r="G589" s="5" t="n">
        <f aca="false">G588*(1+F589)</f>
        <v>11547.3962470848</v>
      </c>
    </row>
    <row r="590" customFormat="false" ht="15" hidden="false" customHeight="false" outlineLevel="0" collapsed="false">
      <c r="A590" s="3" t="n">
        <v>45350</v>
      </c>
      <c r="B590" s="10" t="n">
        <v>0.00015613</v>
      </c>
      <c r="C590" s="5" t="n">
        <f aca="false">C589*(1+B590)</f>
        <v>5826.3060971936</v>
      </c>
      <c r="D590" s="10" t="n">
        <v>0.02179444</v>
      </c>
      <c r="E590" s="5" t="n">
        <f aca="false">E589*(1+D590)</f>
        <v>8499.02538365214</v>
      </c>
      <c r="F590" s="4" t="n">
        <f aca="false">D590*Varsayımlar!$B$3</f>
        <v>0.02724305</v>
      </c>
      <c r="G590" s="5" t="n">
        <f aca="false">G589*(1+F590)</f>
        <v>11861.982540414</v>
      </c>
    </row>
    <row r="591" customFormat="false" ht="15" hidden="false" customHeight="false" outlineLevel="0" collapsed="false">
      <c r="A591" s="3" t="n">
        <v>45351</v>
      </c>
      <c r="B591" s="10" t="n">
        <v>0.001021</v>
      </c>
      <c r="C591" s="5" t="n">
        <f aca="false">C590*(1+B591)</f>
        <v>5832.25475571883</v>
      </c>
      <c r="D591" s="10" t="n">
        <v>-0.00601292</v>
      </c>
      <c r="E591" s="5" t="n">
        <f aca="false">E590*(1+D591)</f>
        <v>8447.92142394227</v>
      </c>
      <c r="F591" s="4" t="n">
        <f aca="false">D591*Varsayımlar!$B$3</f>
        <v>-0.00751615</v>
      </c>
      <c r="G591" s="5" t="n">
        <f aca="false">G590*(1+F591)</f>
        <v>11772.8261003428</v>
      </c>
    </row>
    <row r="592" customFormat="false" ht="15" hidden="false" customHeight="false" outlineLevel="0" collapsed="false">
      <c r="A592" s="3" t="n">
        <v>45352</v>
      </c>
      <c r="B592" s="10" t="n">
        <v>-0.02538432</v>
      </c>
      <c r="C592" s="5" t="n">
        <f aca="false">C591*(1+B592)</f>
        <v>5684.20693467814</v>
      </c>
      <c r="D592" s="10" t="n">
        <v>-0.02102746</v>
      </c>
      <c r="E592" s="5" t="n">
        <f aca="false">E591*(1+D592)</f>
        <v>8270.28309411718</v>
      </c>
      <c r="F592" s="4" t="n">
        <f aca="false">D592*Varsayımlar!$B$3</f>
        <v>-0.026284325</v>
      </c>
      <c r="G592" s="5" t="n">
        <f aca="false">G591*(1+F592)</f>
        <v>11463.3853129529</v>
      </c>
    </row>
    <row r="593" customFormat="false" ht="15" hidden="false" customHeight="false" outlineLevel="0" collapsed="false">
      <c r="A593" s="3" t="n">
        <v>45353</v>
      </c>
      <c r="B593" s="10" t="n">
        <v>-0.02753698</v>
      </c>
      <c r="C593" s="5" t="n">
        <f aca="false">C592*(1+B593)</f>
        <v>5527.68104200205</v>
      </c>
      <c r="D593" s="10" t="n">
        <v>-0.03808029</v>
      </c>
      <c r="E593" s="5" t="n">
        <f aca="false">E592*(1+D593)</f>
        <v>7955.3483155111</v>
      </c>
      <c r="F593" s="4" t="n">
        <f aca="false">D593*Varsayımlar!$B$3</f>
        <v>-0.0476003625</v>
      </c>
      <c r="G593" s="5" t="n">
        <f aca="false">G592*(1+F593)</f>
        <v>10917.7240165792</v>
      </c>
    </row>
    <row r="594" customFormat="false" ht="15" hidden="false" customHeight="false" outlineLevel="0" collapsed="false">
      <c r="A594" s="3" t="n">
        <v>45354</v>
      </c>
      <c r="B594" s="10" t="n">
        <v>-0.01379663</v>
      </c>
      <c r="C594" s="5" t="n">
        <f aca="false">C593*(1+B594)</f>
        <v>5451.41767190753</v>
      </c>
      <c r="D594" s="10" t="n">
        <v>-0.00926471</v>
      </c>
      <c r="E594" s="5" t="n">
        <f aca="false">E593*(1+D594)</f>
        <v>7881.6443204189</v>
      </c>
      <c r="F594" s="4" t="n">
        <f aca="false">D594*Varsayımlar!$B$3</f>
        <v>-0.0115808875</v>
      </c>
      <c r="G594" s="5" t="n">
        <f aca="false">G593*(1+F594)</f>
        <v>10791.2870829872</v>
      </c>
    </row>
    <row r="595" customFormat="false" ht="15" hidden="false" customHeight="false" outlineLevel="0" collapsed="false">
      <c r="A595" s="3" t="n">
        <v>45355</v>
      </c>
      <c r="B595" s="10" t="n">
        <v>-0.00916575</v>
      </c>
      <c r="C595" s="5" t="n">
        <f aca="false">C594*(1+B595)</f>
        <v>5401.45134038125</v>
      </c>
      <c r="D595" s="10" t="n">
        <v>-0.04502792</v>
      </c>
      <c r="E595" s="5" t="n">
        <f aca="false">E594*(1+D595)</f>
        <v>7526.75027049063</v>
      </c>
      <c r="F595" s="4" t="n">
        <f aca="false">D595*Varsayımlar!$B$3</f>
        <v>-0.0562849</v>
      </c>
      <c r="G595" s="5" t="n">
        <f aca="false">G594*(1+F595)</f>
        <v>10183.9005686499</v>
      </c>
    </row>
    <row r="596" customFormat="false" ht="15" hidden="false" customHeight="false" outlineLevel="0" collapsed="false">
      <c r="A596" s="3" t="n">
        <v>45356</v>
      </c>
      <c r="B596" s="10" t="n">
        <v>0.02791848</v>
      </c>
      <c r="C596" s="5" t="n">
        <f aca="false">C595*(1+B596)</f>
        <v>5552.25165159865</v>
      </c>
      <c r="D596" s="10" t="n">
        <v>0.05702169</v>
      </c>
      <c r="E596" s="5" t="n">
        <f aca="false">E595*(1+D596)</f>
        <v>7955.93829112196</v>
      </c>
      <c r="F596" s="4" t="n">
        <f aca="false">D596*Varsayımlar!$B$3</f>
        <v>0.0712771125</v>
      </c>
      <c r="G596" s="5" t="n">
        <f aca="false">G595*(1+F596)</f>
        <v>10909.7795951704</v>
      </c>
    </row>
    <row r="597" customFormat="false" ht="15" hidden="false" customHeight="false" outlineLevel="0" collapsed="false">
      <c r="A597" s="3" t="n">
        <v>45357</v>
      </c>
      <c r="B597" s="10" t="n">
        <v>0.02794176</v>
      </c>
      <c r="C597" s="5" t="n">
        <f aca="false">C596*(1+B597)</f>
        <v>5707.39133470723</v>
      </c>
      <c r="D597" s="10" t="n">
        <v>0.03024538</v>
      </c>
      <c r="E597" s="5" t="n">
        <f aca="false">E596*(1+D597)</f>
        <v>8196.56866799349</v>
      </c>
      <c r="F597" s="4" t="n">
        <f aca="false">D597*Varsayımlar!$B$3</f>
        <v>0.037806725</v>
      </c>
      <c r="G597" s="5" t="n">
        <f aca="false">G596*(1+F597)</f>
        <v>11322.2426321356</v>
      </c>
    </row>
    <row r="598" customFormat="false" ht="15" hidden="false" customHeight="false" outlineLevel="0" collapsed="false">
      <c r="A598" s="3" t="n">
        <v>45358</v>
      </c>
      <c r="B598" s="10" t="n">
        <v>0.00638519</v>
      </c>
      <c r="C598" s="5" t="n">
        <f aca="false">C597*(1+B598)</f>
        <v>5743.83411278369</v>
      </c>
      <c r="D598" s="10" t="n">
        <v>0.01186687</v>
      </c>
      <c r="E598" s="5" t="n">
        <f aca="false">E597*(1+D598)</f>
        <v>8293.83628282264</v>
      </c>
      <c r="F598" s="4" t="n">
        <f aca="false">D598*Varsayımlar!$B$3</f>
        <v>0.0148335875</v>
      </c>
      <c r="G598" s="5" t="n">
        <f aca="false">G597*(1+F598)</f>
        <v>11490.1921089156</v>
      </c>
    </row>
    <row r="599" customFormat="false" ht="15" hidden="false" customHeight="false" outlineLevel="0" collapsed="false">
      <c r="A599" s="3" t="n">
        <v>45359</v>
      </c>
      <c r="B599" s="10" t="n">
        <v>0.00594572</v>
      </c>
      <c r="C599" s="5" t="n">
        <f aca="false">C598*(1+B599)</f>
        <v>5777.98534214475</v>
      </c>
      <c r="D599" s="10" t="n">
        <v>0.00206509</v>
      </c>
      <c r="E599" s="5" t="n">
        <f aca="false">E598*(1+D599)</f>
        <v>8310.96380119194</v>
      </c>
      <c r="F599" s="4" t="n">
        <f aca="false">D599*Varsayımlar!$B$3</f>
        <v>0.0025813625</v>
      </c>
      <c r="G599" s="5" t="n">
        <f aca="false">G598*(1+F599)</f>
        <v>11519.8524599434</v>
      </c>
    </row>
    <row r="600" customFormat="false" ht="15" hidden="false" customHeight="false" outlineLevel="0" collapsed="false">
      <c r="A600" s="3" t="n">
        <v>45360</v>
      </c>
      <c r="B600" s="10" t="n">
        <v>-0.0066905</v>
      </c>
      <c r="C600" s="5" t="n">
        <f aca="false">C599*(1+B600)</f>
        <v>5739.32773121313</v>
      </c>
      <c r="D600" s="10" t="n">
        <v>-0.00120464</v>
      </c>
      <c r="E600" s="5" t="n">
        <f aca="false">E599*(1+D600)</f>
        <v>8300.95208175847</v>
      </c>
      <c r="F600" s="4" t="n">
        <f aca="false">D600*Varsayımlar!$B$3</f>
        <v>-0.0015058</v>
      </c>
      <c r="G600" s="5" t="n">
        <f aca="false">G599*(1+F600)</f>
        <v>11502.5058661092</v>
      </c>
    </row>
    <row r="601" customFormat="false" ht="15" hidden="false" customHeight="false" outlineLevel="0" collapsed="false">
      <c r="A601" s="3" t="n">
        <v>45361</v>
      </c>
      <c r="B601" s="10" t="n">
        <v>0.03293257</v>
      </c>
      <c r="C601" s="5" t="n">
        <f aca="false">C600*(1+B601)</f>
        <v>5928.33854347424</v>
      </c>
      <c r="D601" s="10" t="n">
        <v>0.06535947</v>
      </c>
      <c r="E601" s="5" t="n">
        <f aca="false">E600*(1+D601)</f>
        <v>8843.4979103176</v>
      </c>
      <c r="F601" s="4" t="n">
        <f aca="false">D601*Varsayımlar!$B$3</f>
        <v>0.0816993375</v>
      </c>
      <c r="G601" s="5" t="n">
        <f aca="false">G600*(1+F601)</f>
        <v>12442.2529749602</v>
      </c>
    </row>
    <row r="602" customFormat="false" ht="15" hidden="false" customHeight="false" outlineLevel="0" collapsed="false">
      <c r="A602" s="3" t="n">
        <v>45362</v>
      </c>
      <c r="B602" s="10" t="n">
        <v>-0.00241625</v>
      </c>
      <c r="C602" s="5" t="n">
        <f aca="false">C601*(1+B602)</f>
        <v>5914.01419546857</v>
      </c>
      <c r="D602" s="10" t="n">
        <v>-8.544E-005</v>
      </c>
      <c r="E602" s="5" t="n">
        <f aca="false">E601*(1+D602)</f>
        <v>8842.74232185614</v>
      </c>
      <c r="F602" s="4" t="n">
        <f aca="false">D602*Varsayımlar!$B$3</f>
        <v>-0.0001068</v>
      </c>
      <c r="G602" s="5" t="n">
        <f aca="false">G601*(1+F602)</f>
        <v>12440.9241423425</v>
      </c>
    </row>
    <row r="603" customFormat="false" ht="15" hidden="false" customHeight="false" outlineLevel="0" collapsed="false">
      <c r="A603" s="3" t="n">
        <v>45363</v>
      </c>
      <c r="B603" s="10" t="n">
        <v>0.0100426</v>
      </c>
      <c r="C603" s="5" t="n">
        <f aca="false">C602*(1+B603)</f>
        <v>5973.40627442799</v>
      </c>
      <c r="D603" s="10" t="n">
        <v>0.00732217</v>
      </c>
      <c r="E603" s="5" t="n">
        <f aca="false">E602*(1+D603)</f>
        <v>8907.49038440297</v>
      </c>
      <c r="F603" s="4" t="n">
        <f aca="false">D603*Varsayımlar!$B$3</f>
        <v>0.0091527125</v>
      </c>
      <c r="G603" s="5" t="n">
        <f aca="false">G602*(1+F603)</f>
        <v>12554.7923442516</v>
      </c>
    </row>
    <row r="604" customFormat="false" ht="15" hidden="false" customHeight="false" outlineLevel="0" collapsed="false">
      <c r="A604" s="3" t="n">
        <v>45364</v>
      </c>
      <c r="B604" s="10" t="n">
        <v>0.03336809</v>
      </c>
      <c r="C604" s="5" t="n">
        <f aca="false">C603*(1+B604)</f>
        <v>6172.72743259967</v>
      </c>
      <c r="D604" s="10" t="n">
        <v>0.04578337</v>
      </c>
      <c r="E604" s="5" t="n">
        <f aca="false">E603*(1+D604)</f>
        <v>9315.30531244353</v>
      </c>
      <c r="F604" s="4" t="n">
        <f aca="false">D604*Varsayımlar!$B$3</f>
        <v>0.0572292125</v>
      </c>
      <c r="G604" s="5" t="n">
        <f aca="false">G603*(1+F604)</f>
        <v>13273.2932232142</v>
      </c>
    </row>
    <row r="605" customFormat="false" ht="15" hidden="false" customHeight="false" outlineLevel="0" collapsed="false">
      <c r="A605" s="3" t="n">
        <v>45365</v>
      </c>
      <c r="B605" s="10" t="n">
        <v>0.01488488</v>
      </c>
      <c r="C605" s="5" t="n">
        <f aca="false">C604*(1+B605)</f>
        <v>6264.60773970662</v>
      </c>
      <c r="D605" s="10" t="n">
        <v>0.02512535</v>
      </c>
      <c r="E605" s="5" t="n">
        <f aca="false">E604*(1+D605)</f>
        <v>9549.35561877554</v>
      </c>
      <c r="F605" s="4" t="n">
        <f aca="false">D605*Varsayımlar!$B$3</f>
        <v>0.0314066875</v>
      </c>
      <c r="G605" s="5" t="n">
        <f aca="false">G604*(1+F605)</f>
        <v>13690.1633955716</v>
      </c>
    </row>
    <row r="606" customFormat="false" ht="15" hidden="false" customHeight="false" outlineLevel="0" collapsed="false">
      <c r="A606" s="3" t="n">
        <v>45366</v>
      </c>
      <c r="B606" s="10" t="n">
        <v>0.03659853</v>
      </c>
      <c r="C606" s="5" t="n">
        <f aca="false">C605*(1+B606)</f>
        <v>6493.88317400651</v>
      </c>
      <c r="D606" s="10" t="n">
        <v>0.05415833</v>
      </c>
      <c r="E606" s="5" t="n">
        <f aca="false">E605*(1+D606)</f>
        <v>10066.5327716645</v>
      </c>
      <c r="F606" s="4" t="n">
        <f aca="false">D606*Varsayımlar!$B$3</f>
        <v>0.0676979125</v>
      </c>
      <c r="G606" s="5" t="n">
        <f aca="false">G605*(1+F606)</f>
        <v>14616.9588792357</v>
      </c>
    </row>
    <row r="607" customFormat="false" ht="15" hidden="false" customHeight="false" outlineLevel="0" collapsed="false">
      <c r="A607" s="3" t="n">
        <v>45367</v>
      </c>
      <c r="B607" s="10" t="n">
        <v>0.00684095</v>
      </c>
      <c r="C607" s="5" t="n">
        <f aca="false">C606*(1+B607)</f>
        <v>6538.30750410573</v>
      </c>
      <c r="D607" s="10" t="n">
        <v>0.00344136</v>
      </c>
      <c r="E607" s="5" t="n">
        <f aca="false">E606*(1+D607)</f>
        <v>10101.1753348836</v>
      </c>
      <c r="F607" s="4" t="n">
        <f aca="false">D607*Varsayımlar!$B$3</f>
        <v>0.0043017</v>
      </c>
      <c r="G607" s="5" t="n">
        <f aca="false">G606*(1+F607)</f>
        <v>14679.8366512465</v>
      </c>
    </row>
    <row r="608" customFormat="false" ht="15" hidden="false" customHeight="false" outlineLevel="0" collapsed="false">
      <c r="A608" s="3" t="n">
        <v>45368</v>
      </c>
      <c r="B608" s="10" t="n">
        <v>0.00135397</v>
      </c>
      <c r="C608" s="5" t="n">
        <f aca="false">C607*(1+B608)</f>
        <v>6547.16017631706</v>
      </c>
      <c r="D608" s="10" t="n">
        <v>-0.00201697</v>
      </c>
      <c r="E608" s="5" t="n">
        <f aca="false">E607*(1+D608)</f>
        <v>10080.8015672684</v>
      </c>
      <c r="F608" s="4" t="n">
        <f aca="false">D608*Varsayımlar!$B$3</f>
        <v>-0.0025212125</v>
      </c>
      <c r="G608" s="5" t="n">
        <f aca="false">G607*(1+F608)</f>
        <v>14642.8256635834</v>
      </c>
    </row>
    <row r="609" customFormat="false" ht="15" hidden="false" customHeight="false" outlineLevel="0" collapsed="false">
      <c r="A609" s="3" t="n">
        <v>45369</v>
      </c>
      <c r="B609" s="10" t="n">
        <v>0.0016723</v>
      </c>
      <c r="C609" s="5" t="n">
        <f aca="false">C608*(1+B609)</f>
        <v>6558.10899227992</v>
      </c>
      <c r="D609" s="10" t="n">
        <v>0.00704777</v>
      </c>
      <c r="E609" s="5" t="n">
        <f aca="false">E608*(1+D609)</f>
        <v>10151.8487381302</v>
      </c>
      <c r="F609" s="4" t="n">
        <f aca="false">D609*Varsayımlar!$B$3</f>
        <v>0.0088097125</v>
      </c>
      <c r="G609" s="5" t="n">
        <f aca="false">G608*(1+F609)</f>
        <v>14771.8247478672</v>
      </c>
    </row>
    <row r="610" customFormat="false" ht="15" hidden="false" customHeight="false" outlineLevel="0" collapsed="false">
      <c r="A610" s="3" t="n">
        <v>45370</v>
      </c>
      <c r="B610" s="10" t="n">
        <v>-0.00636403</v>
      </c>
      <c r="C610" s="5" t="n">
        <f aca="false">C609*(1+B610)</f>
        <v>6516.37298990978</v>
      </c>
      <c r="D610" s="10" t="n">
        <v>-0.00365705</v>
      </c>
      <c r="E610" s="5" t="n">
        <f aca="false">E609*(1+D610)</f>
        <v>10114.7229197024</v>
      </c>
      <c r="F610" s="4" t="n">
        <f aca="false">D610*Varsayımlar!$B$3</f>
        <v>-0.0045713125</v>
      </c>
      <c r="G610" s="5" t="n">
        <f aca="false">G609*(1+F610)</f>
        <v>14704.2981207494</v>
      </c>
    </row>
    <row r="611" customFormat="false" ht="15" hidden="false" customHeight="false" outlineLevel="0" collapsed="false">
      <c r="A611" s="3" t="n">
        <v>45371</v>
      </c>
      <c r="B611" s="10" t="n">
        <v>0.01062559</v>
      </c>
      <c r="C611" s="5" t="n">
        <f aca="false">C610*(1+B611)</f>
        <v>6585.61329758763</v>
      </c>
      <c r="D611" s="10" t="n">
        <v>0.00893764</v>
      </c>
      <c r="E611" s="5" t="n">
        <f aca="false">E610*(1+D611)</f>
        <v>10205.1246718585</v>
      </c>
      <c r="F611" s="4" t="n">
        <f aca="false">D611*Varsayımlar!$B$3</f>
        <v>0.01117205</v>
      </c>
      <c r="G611" s="5" t="n">
        <f aca="false">G610*(1+F611)</f>
        <v>14868.5752745694</v>
      </c>
    </row>
    <row r="612" customFormat="false" ht="15" hidden="false" customHeight="false" outlineLevel="0" collapsed="false">
      <c r="A612" s="3" t="n">
        <v>45372</v>
      </c>
      <c r="B612" s="10" t="n">
        <v>-0.0119367</v>
      </c>
      <c r="C612" s="5" t="n">
        <f aca="false">C611*(1+B612)</f>
        <v>6507.00280733832</v>
      </c>
      <c r="D612" s="10" t="n">
        <v>-0.00639971</v>
      </c>
      <c r="E612" s="5" t="n">
        <f aca="false">E611*(1+D612)</f>
        <v>10139.8148334447</v>
      </c>
      <c r="F612" s="4" t="n">
        <f aca="false">D612*Varsayımlar!$B$3</f>
        <v>-0.0079996375</v>
      </c>
      <c r="G612" s="5" t="n">
        <f aca="false">G611*(1+F612)</f>
        <v>14749.6320622313</v>
      </c>
    </row>
    <row r="613" customFormat="false" ht="15" hidden="false" customHeight="false" outlineLevel="0" collapsed="false">
      <c r="A613" s="3" t="n">
        <v>45373</v>
      </c>
      <c r="B613" s="10" t="n">
        <v>0.00181402</v>
      </c>
      <c r="C613" s="5" t="n">
        <f aca="false">C612*(1+B613)</f>
        <v>6518.80664057089</v>
      </c>
      <c r="D613" s="10" t="n">
        <v>0.00041077</v>
      </c>
      <c r="E613" s="5" t="n">
        <f aca="false">E612*(1+D613)</f>
        <v>10143.9799651838</v>
      </c>
      <c r="F613" s="4" t="n">
        <f aca="false">D613*Varsayımlar!$B$3</f>
        <v>0.0005134625</v>
      </c>
      <c r="G613" s="5" t="n">
        <f aca="false">G612*(1+F613)</f>
        <v>14757.2054451841</v>
      </c>
    </row>
    <row r="614" customFormat="false" ht="15" hidden="false" customHeight="false" outlineLevel="0" collapsed="false">
      <c r="A614" s="3" t="n">
        <v>45374</v>
      </c>
      <c r="B614" s="10" t="n">
        <v>-0.00502452</v>
      </c>
      <c r="C614" s="5" t="n">
        <f aca="false">C613*(1+B614)</f>
        <v>6486.05276622921</v>
      </c>
      <c r="D614" s="10" t="n">
        <v>-0.00454377</v>
      </c>
      <c r="E614" s="5" t="n">
        <f aca="false">E613*(1+D614)</f>
        <v>10097.8880533374</v>
      </c>
      <c r="F614" s="4" t="n">
        <f aca="false">D614*Varsayımlar!$B$3</f>
        <v>-0.0056797125</v>
      </c>
      <c r="G614" s="5" t="n">
        <f aca="false">G613*(1+F614)</f>
        <v>14673.388760952</v>
      </c>
    </row>
    <row r="615" customFormat="false" ht="15" hidden="false" customHeight="false" outlineLevel="0" collapsed="false">
      <c r="A615" s="3" t="n">
        <v>45375</v>
      </c>
      <c r="B615" s="10" t="n">
        <v>-0.00492633</v>
      </c>
      <c r="C615" s="5" t="n">
        <f aca="false">C614*(1+B615)</f>
        <v>6454.10032990535</v>
      </c>
      <c r="D615" s="10" t="n">
        <v>-0.00638663</v>
      </c>
      <c r="E615" s="5" t="n">
        <f aca="false">E614*(1+D615)</f>
        <v>10033.3965785594</v>
      </c>
      <c r="F615" s="4" t="n">
        <f aca="false">D615*Varsayımlar!$B$3</f>
        <v>-0.0079832875</v>
      </c>
      <c r="G615" s="5" t="n">
        <f aca="false">G614*(1+F615)</f>
        <v>14556.2468798741</v>
      </c>
    </row>
    <row r="616" customFormat="false" ht="15" hidden="false" customHeight="false" outlineLevel="0" collapsed="false">
      <c r="A616" s="3" t="n">
        <v>45376</v>
      </c>
      <c r="B616" s="10" t="n">
        <v>0.03139437</v>
      </c>
      <c r="C616" s="5" t="n">
        <f aca="false">C615*(1+B616)</f>
        <v>6656.72274367952</v>
      </c>
      <c r="D616" s="10" t="n">
        <v>0.03368564</v>
      </c>
      <c r="E616" s="5" t="n">
        <f aca="false">E615*(1+D616)</f>
        <v>10371.3779636819</v>
      </c>
      <c r="F616" s="4" t="n">
        <f aca="false">D616*Varsayımlar!$B$3</f>
        <v>0.04210705</v>
      </c>
      <c r="G616" s="5" t="n">
        <f aca="false">G615*(1+F616)</f>
        <v>15169.1674950573</v>
      </c>
    </row>
    <row r="617" customFormat="false" ht="15" hidden="false" customHeight="false" outlineLevel="0" collapsed="false">
      <c r="A617" s="3" t="n">
        <v>45377</v>
      </c>
      <c r="B617" s="10" t="n">
        <v>0.00732581</v>
      </c>
      <c r="C617" s="5" t="n">
        <f aca="false">C616*(1+B617)</f>
        <v>6705.48862972239</v>
      </c>
      <c r="D617" s="10" t="n">
        <v>0.00108843</v>
      </c>
      <c r="E617" s="5" t="n">
        <f aca="false">E616*(1+D617)</f>
        <v>10382.6664825989</v>
      </c>
      <c r="F617" s="4" t="n">
        <f aca="false">D617*Varsayımlar!$B$3</f>
        <v>0.0013605375</v>
      </c>
      <c r="G617" s="5" t="n">
        <f aca="false">G616*(1+F617)</f>
        <v>15189.8057162781</v>
      </c>
    </row>
    <row r="618" customFormat="false" ht="15" hidden="false" customHeight="false" outlineLevel="0" collapsed="false">
      <c r="A618" s="3" t="n">
        <v>45378</v>
      </c>
      <c r="B618" s="10" t="n">
        <v>0.00809485</v>
      </c>
      <c r="C618" s="5" t="n">
        <f aca="false">C617*(1+B618)</f>
        <v>6759.7685543567</v>
      </c>
      <c r="D618" s="10" t="n">
        <v>0.00783466</v>
      </c>
      <c r="E618" s="5" t="n">
        <f aca="false">E617*(1+D618)</f>
        <v>10464.0111443835</v>
      </c>
      <c r="F618" s="4" t="n">
        <f aca="false">D618*Varsayımlar!$B$3</f>
        <v>0.009793325</v>
      </c>
      <c r="G618" s="5" t="n">
        <f aca="false">G617*(1+F618)</f>
        <v>15338.5644203444</v>
      </c>
    </row>
    <row r="619" customFormat="false" ht="15" hidden="false" customHeight="false" outlineLevel="0" collapsed="false">
      <c r="A619" s="3" t="n">
        <v>45379</v>
      </c>
      <c r="B619" s="10" t="n">
        <v>-0.00813252</v>
      </c>
      <c r="C619" s="5" t="n">
        <f aca="false">C618*(1+B619)</f>
        <v>6704.79460139302</v>
      </c>
      <c r="D619" s="10" t="n">
        <v>-0.01483372</v>
      </c>
      <c r="E619" s="5" t="n">
        <f aca="false">E618*(1+D619)</f>
        <v>10308.7909329908</v>
      </c>
      <c r="F619" s="4" t="n">
        <f aca="false">D619*Varsayımlar!$B$3</f>
        <v>-0.01854215</v>
      </c>
      <c r="G619" s="5" t="n">
        <f aca="false">G618*(1+F619)</f>
        <v>15054.1544580778</v>
      </c>
    </row>
    <row r="620" customFormat="false" ht="15" hidden="false" customHeight="false" outlineLevel="0" collapsed="false">
      <c r="A620" s="3" t="n">
        <v>45380</v>
      </c>
      <c r="B620" s="10" t="n">
        <v>-0.00826882</v>
      </c>
      <c r="C620" s="5" t="n">
        <f aca="false">C619*(1+B620)</f>
        <v>6649.35386169713</v>
      </c>
      <c r="D620" s="10" t="n">
        <v>-0.00414068</v>
      </c>
      <c r="E620" s="5" t="n">
        <f aca="false">E619*(1+D620)</f>
        <v>10266.1055285504</v>
      </c>
      <c r="F620" s="4" t="n">
        <f aca="false">D620*Varsayımlar!$B$3</f>
        <v>-0.00517585</v>
      </c>
      <c r="G620" s="5" t="n">
        <f aca="false">G619*(1+F620)</f>
        <v>14976.2364127259</v>
      </c>
    </row>
    <row r="621" customFormat="false" ht="15" hidden="false" customHeight="false" outlineLevel="0" collapsed="false">
      <c r="A621" s="3" t="n">
        <v>45381</v>
      </c>
      <c r="B621" s="10" t="n">
        <v>-0.00201065</v>
      </c>
      <c r="C621" s="5" t="n">
        <f aca="false">C620*(1+B621)</f>
        <v>6635.98433835511</v>
      </c>
      <c r="D621" s="10" t="n">
        <v>0.00100319</v>
      </c>
      <c r="E621" s="5" t="n">
        <f aca="false">E620*(1+D621)</f>
        <v>10276.4043829556</v>
      </c>
      <c r="F621" s="4" t="n">
        <f aca="false">D621*Varsayımlar!$B$3</f>
        <v>0.0012539875</v>
      </c>
      <c r="G621" s="5" t="n">
        <f aca="false">G620*(1+F621)</f>
        <v>14995.0164259845</v>
      </c>
    </row>
    <row r="622" customFormat="false" ht="15" hidden="false" customHeight="false" outlineLevel="0" collapsed="false">
      <c r="A622" s="3" t="n">
        <v>45382</v>
      </c>
      <c r="B622" s="10" t="n">
        <v>0.01671473</v>
      </c>
      <c r="C622" s="5" t="n">
        <f aca="false">C621*(1+B622)</f>
        <v>6746.90302485495</v>
      </c>
      <c r="D622" s="10" t="n">
        <v>0.01194329</v>
      </c>
      <c r="E622" s="5" t="n">
        <f aca="false">E621*(1+D622)</f>
        <v>10399.1384606585</v>
      </c>
      <c r="F622" s="4" t="n">
        <f aca="false">D622*Varsayımlar!$B$3</f>
        <v>0.0149291125</v>
      </c>
      <c r="G622" s="5" t="n">
        <f aca="false">G621*(1+F622)</f>
        <v>15218.8787131474</v>
      </c>
    </row>
    <row r="623" customFormat="false" ht="15" hidden="false" customHeight="false" outlineLevel="0" collapsed="false">
      <c r="A623" s="3" t="n">
        <v>45383</v>
      </c>
      <c r="B623" s="10" t="n">
        <v>0.021084</v>
      </c>
      <c r="C623" s="5" t="n">
        <f aca="false">C622*(1+B623)</f>
        <v>6889.15472823099</v>
      </c>
      <c r="D623" s="10" t="n">
        <v>0.02402027</v>
      </c>
      <c r="E623" s="5" t="n">
        <f aca="false">E622*(1+D623)</f>
        <v>10648.9285742509</v>
      </c>
      <c r="F623" s="4" t="n">
        <f aca="false">D623*Varsayımlar!$B$3</f>
        <v>0.0300253375</v>
      </c>
      <c r="G623" s="5" t="n">
        <f aca="false">G622*(1+F623)</f>
        <v>15675.8306828812</v>
      </c>
    </row>
    <row r="624" customFormat="false" ht="15" hidden="false" customHeight="false" outlineLevel="0" collapsed="false">
      <c r="A624" s="3" t="n">
        <v>45384</v>
      </c>
      <c r="B624" s="10" t="n">
        <v>0.00186602</v>
      </c>
      <c r="C624" s="5" t="n">
        <f aca="false">C623*(1+B624)</f>
        <v>6902.01002873696</v>
      </c>
      <c r="D624" s="10" t="n">
        <v>0.00094047</v>
      </c>
      <c r="E624" s="5" t="n">
        <f aca="false">E623*(1+D624)</f>
        <v>10658.9435721072</v>
      </c>
      <c r="F624" s="4" t="n">
        <f aca="false">D624*Varsayımlar!$B$3</f>
        <v>0.0011755875</v>
      </c>
      <c r="G624" s="5" t="n">
        <f aca="false">G623*(1+F624)</f>
        <v>15694.2589934841</v>
      </c>
    </row>
    <row r="625" customFormat="false" ht="15" hidden="false" customHeight="false" outlineLevel="0" collapsed="false">
      <c r="A625" s="3" t="n">
        <v>45385</v>
      </c>
      <c r="B625" s="10" t="n">
        <v>0.00053277</v>
      </c>
      <c r="C625" s="5" t="n">
        <f aca="false">C624*(1+B625)</f>
        <v>6905.68721261997</v>
      </c>
      <c r="D625" s="10" t="n">
        <v>0.00519018</v>
      </c>
      <c r="E625" s="5" t="n">
        <f aca="false">E624*(1+D625)</f>
        <v>10714.2654078562</v>
      </c>
      <c r="F625" s="4" t="n">
        <f aca="false">D625*Varsayımlar!$B$3</f>
        <v>0.006487725</v>
      </c>
      <c r="G625" s="5" t="n">
        <f aca="false">G624*(1+F625)</f>
        <v>15796.0790299126</v>
      </c>
    </row>
    <row r="626" customFormat="false" ht="15" hidden="false" customHeight="false" outlineLevel="0" collapsed="false">
      <c r="A626" s="3" t="n">
        <v>45386</v>
      </c>
      <c r="B626" s="10" t="n">
        <v>0.00618813</v>
      </c>
      <c r="C626" s="5" t="n">
        <f aca="false">C625*(1+B626)</f>
        <v>6948.420502831</v>
      </c>
      <c r="D626" s="10" t="n">
        <v>0.00347485</v>
      </c>
      <c r="E626" s="5" t="n">
        <f aca="false">E625*(1+D626)</f>
        <v>10751.4958730087</v>
      </c>
      <c r="F626" s="4" t="n">
        <f aca="false">D626*Varsayımlar!$B$3</f>
        <v>0.0043435625</v>
      </c>
      <c r="G626" s="5" t="n">
        <f aca="false">G625*(1+F626)</f>
        <v>15864.690286434</v>
      </c>
    </row>
    <row r="627" customFormat="false" ht="15" hidden="false" customHeight="false" outlineLevel="0" collapsed="false">
      <c r="A627" s="3" t="n">
        <v>45387</v>
      </c>
      <c r="B627" s="10" t="n">
        <v>0.00812386</v>
      </c>
      <c r="C627" s="5" t="n">
        <f aca="false">C626*(1+B627)</f>
        <v>7004.86849821713</v>
      </c>
      <c r="D627" s="10" t="n">
        <v>0.01447336</v>
      </c>
      <c r="E627" s="5" t="n">
        <f aca="false">E626*(1+D627)</f>
        <v>10907.1061433173</v>
      </c>
      <c r="F627" s="4" t="n">
        <f aca="false">D627*Varsayımlar!$B$3</f>
        <v>0.0180917</v>
      </c>
      <c r="G627" s="5" t="n">
        <f aca="false">G626*(1+F627)</f>
        <v>16151.7095036891</v>
      </c>
    </row>
    <row r="628" customFormat="false" ht="15" hidden="false" customHeight="false" outlineLevel="0" collapsed="false">
      <c r="A628" s="3" t="n">
        <v>45388</v>
      </c>
      <c r="B628" s="10" t="n">
        <v>-0.00064437</v>
      </c>
      <c r="C628" s="5" t="n">
        <f aca="false">C627*(1+B628)</f>
        <v>7000.35477110293</v>
      </c>
      <c r="D628" s="10" t="n">
        <v>0.0055197</v>
      </c>
      <c r="E628" s="5" t="n">
        <f aca="false">E627*(1+D628)</f>
        <v>10967.3100970966</v>
      </c>
      <c r="F628" s="4" t="n">
        <f aca="false">D628*Varsayımlar!$B$3</f>
        <v>0.006899625</v>
      </c>
      <c r="G628" s="5" t="n">
        <f aca="false">G627*(1+F628)</f>
        <v>16263.1502423734</v>
      </c>
    </row>
    <row r="629" customFormat="false" ht="15" hidden="false" customHeight="false" outlineLevel="0" collapsed="false">
      <c r="A629" s="3" t="n">
        <v>45389</v>
      </c>
      <c r="B629" s="10" t="n">
        <v>0.003127</v>
      </c>
      <c r="C629" s="5" t="n">
        <f aca="false">C628*(1+B629)</f>
        <v>7022.24488047217</v>
      </c>
      <c r="D629" s="10" t="n">
        <v>0.00411752</v>
      </c>
      <c r="E629" s="5" t="n">
        <f aca="false">E628*(1+D629)</f>
        <v>11012.4682157676</v>
      </c>
      <c r="F629" s="4" t="n">
        <f aca="false">D629*Varsayımlar!$B$3</f>
        <v>0.0051469</v>
      </c>
      <c r="G629" s="5" t="n">
        <f aca="false">G628*(1+F629)</f>
        <v>16346.8550503559</v>
      </c>
    </row>
    <row r="630" customFormat="false" ht="15" hidden="false" customHeight="false" outlineLevel="0" collapsed="false">
      <c r="A630" s="3" t="n">
        <v>45390</v>
      </c>
      <c r="B630" s="10" t="n">
        <v>-0.00411002</v>
      </c>
      <c r="C630" s="5" t="n">
        <f aca="false">C629*(1+B630)</f>
        <v>6993.38331356853</v>
      </c>
      <c r="D630" s="10" t="n">
        <v>-0.00285482</v>
      </c>
      <c r="E630" s="5" t="n">
        <f aca="false">E629*(1+D630)</f>
        <v>10981.0296012558</v>
      </c>
      <c r="F630" s="4" t="n">
        <f aca="false">D630*Varsayımlar!$B$3</f>
        <v>-0.003568525</v>
      </c>
      <c r="G630" s="5" t="n">
        <f aca="false">G629*(1+F630)</f>
        <v>16288.5208894373</v>
      </c>
    </row>
    <row r="631" customFormat="false" ht="15" hidden="false" customHeight="false" outlineLevel="0" collapsed="false">
      <c r="A631" s="3" t="n">
        <v>45391</v>
      </c>
      <c r="B631" s="10" t="n">
        <v>0.01617928</v>
      </c>
      <c r="C631" s="5" t="n">
        <f aca="false">C630*(1+B631)</f>
        <v>7106.53122034609</v>
      </c>
      <c r="D631" s="10" t="n">
        <v>0.01856125</v>
      </c>
      <c r="E631" s="5" t="n">
        <f aca="false">E630*(1+D631)</f>
        <v>11184.8512369421</v>
      </c>
      <c r="F631" s="4" t="n">
        <f aca="false">D631*Varsayımlar!$B$3</f>
        <v>0.0232015625</v>
      </c>
      <c r="G631" s="5" t="n">
        <f aca="false">G630*(1+F631)</f>
        <v>16666.4400248862</v>
      </c>
    </row>
    <row r="632" customFormat="false" ht="15" hidden="false" customHeight="false" outlineLevel="0" collapsed="false">
      <c r="A632" s="3" t="n">
        <v>45392</v>
      </c>
      <c r="B632" s="10" t="n">
        <v>0.00697176</v>
      </c>
      <c r="C632" s="5" t="n">
        <f aca="false">C631*(1+B632)</f>
        <v>7156.07625044685</v>
      </c>
      <c r="D632" s="10" t="n">
        <v>-0.00072991</v>
      </c>
      <c r="E632" s="5" t="n">
        <f aca="false">E631*(1+D632)</f>
        <v>11176.6873021758</v>
      </c>
      <c r="F632" s="4" t="n">
        <f aca="false">D632*Varsayımlar!$B$3</f>
        <v>-0.0009123875</v>
      </c>
      <c r="G632" s="5" t="n">
        <f aca="false">G631*(1+F632)</f>
        <v>16651.233773338</v>
      </c>
    </row>
    <row r="633" customFormat="false" ht="15" hidden="false" customHeight="false" outlineLevel="0" collapsed="false">
      <c r="A633" s="3" t="n">
        <v>45393</v>
      </c>
      <c r="B633" s="10" t="n">
        <v>-0.00991909</v>
      </c>
      <c r="C633" s="5" t="n">
        <f aca="false">C632*(1+B633)</f>
        <v>7085.0944860718</v>
      </c>
      <c r="D633" s="10" t="n">
        <v>-0.01068169</v>
      </c>
      <c r="E633" s="5" t="n">
        <f aca="false">E632*(1+D633)</f>
        <v>11057.301393187</v>
      </c>
      <c r="F633" s="4" t="n">
        <f aca="false">D633*Varsayımlar!$B$3</f>
        <v>-0.0133521125</v>
      </c>
      <c r="G633" s="5" t="n">
        <f aca="false">G632*(1+F633)</f>
        <v>16428.9046267326</v>
      </c>
    </row>
    <row r="634" customFormat="false" ht="15" hidden="false" customHeight="false" outlineLevel="0" collapsed="false">
      <c r="A634" s="3" t="n">
        <v>45394</v>
      </c>
      <c r="B634" s="10" t="n">
        <v>0.01294875</v>
      </c>
      <c r="C634" s="5" t="n">
        <f aca="false">C633*(1+B634)</f>
        <v>7176.83760329833</v>
      </c>
      <c r="D634" s="10" t="n">
        <v>0.01751054</v>
      </c>
      <c r="E634" s="5" t="n">
        <f aca="false">E633*(1+D634)</f>
        <v>11250.9207115244</v>
      </c>
      <c r="F634" s="4" t="n">
        <f aca="false">D634*Varsayımlar!$B$3</f>
        <v>0.021888175</v>
      </c>
      <c r="G634" s="5" t="n">
        <f aca="false">G633*(1+F634)</f>
        <v>16788.5033662608</v>
      </c>
    </row>
    <row r="635" customFormat="false" ht="15" hidden="false" customHeight="false" outlineLevel="0" collapsed="false">
      <c r="A635" s="3" t="n">
        <v>45395</v>
      </c>
      <c r="B635" s="10" t="n">
        <v>-0.02835997</v>
      </c>
      <c r="C635" s="5" t="n">
        <f aca="false">C634*(1+B635)</f>
        <v>6973.30270417391</v>
      </c>
      <c r="D635" s="10" t="n">
        <v>-0.03678196</v>
      </c>
      <c r="E635" s="5" t="n">
        <f aca="false">E634*(1+D635)</f>
        <v>10837.08979595</v>
      </c>
      <c r="F635" s="4" t="n">
        <f aca="false">D635*Varsayımlar!$B$3</f>
        <v>-0.04597745</v>
      </c>
      <c r="G635" s="5" t="n">
        <f aca="false">G634*(1+F635)</f>
        <v>16016.6107921637</v>
      </c>
    </row>
    <row r="636" customFormat="false" ht="15" hidden="false" customHeight="false" outlineLevel="0" collapsed="false">
      <c r="A636" s="3" t="n">
        <v>45396</v>
      </c>
      <c r="B636" s="10" t="n">
        <v>0.02864021</v>
      </c>
      <c r="C636" s="5" t="n">
        <f aca="false">C635*(1+B636)</f>
        <v>7173.01955801502</v>
      </c>
      <c r="D636" s="10" t="n">
        <v>0.02657662</v>
      </c>
      <c r="E636" s="5" t="n">
        <f aca="false">E635*(1+D636)</f>
        <v>11125.1030133628</v>
      </c>
      <c r="F636" s="4" t="n">
        <f aca="false">D636*Varsayımlar!$B$3</f>
        <v>0.033220775</v>
      </c>
      <c r="G636" s="5" t="n">
        <f aca="false">G635*(1+F636)</f>
        <v>16548.6950155528</v>
      </c>
    </row>
    <row r="637" customFormat="false" ht="15" hidden="false" customHeight="false" outlineLevel="0" collapsed="false">
      <c r="A637" s="3" t="n">
        <v>45397</v>
      </c>
      <c r="B637" s="10" t="n">
        <v>0.00612416</v>
      </c>
      <c r="C637" s="5" t="n">
        <f aca="false">C636*(1+B637)</f>
        <v>7216.94827747144</v>
      </c>
      <c r="D637" s="10" t="n">
        <v>0.00912635</v>
      </c>
      <c r="E637" s="5" t="n">
        <f aca="false">E636*(1+D637)</f>
        <v>11226.6345972488</v>
      </c>
      <c r="F637" s="4" t="n">
        <f aca="false">D637*Varsayımlar!$B$3</f>
        <v>0.0114079375</v>
      </c>
      <c r="G637" s="5" t="n">
        <f aca="false">G636*(1+F637)</f>
        <v>16737.4814939967</v>
      </c>
    </row>
    <row r="638" customFormat="false" ht="15" hidden="false" customHeight="false" outlineLevel="0" collapsed="false">
      <c r="A638" s="3" t="n">
        <v>45398</v>
      </c>
      <c r="B638" s="10" t="n">
        <v>0.0032525</v>
      </c>
      <c r="C638" s="5" t="n">
        <f aca="false">C637*(1+B638)</f>
        <v>7240.42140174391</v>
      </c>
      <c r="D638" s="10" t="n">
        <v>0.00531018</v>
      </c>
      <c r="E638" s="5" t="n">
        <f aca="false">E637*(1+D638)</f>
        <v>11286.2500477544</v>
      </c>
      <c r="F638" s="4" t="n">
        <f aca="false">D638*Varsayımlar!$B$3</f>
        <v>0.006637725</v>
      </c>
      <c r="G638" s="5" t="n">
        <f aca="false">G637*(1+F638)</f>
        <v>16848.5802933465</v>
      </c>
    </row>
    <row r="639" customFormat="false" ht="15" hidden="false" customHeight="false" outlineLevel="0" collapsed="false">
      <c r="A639" s="3" t="n">
        <v>45399</v>
      </c>
      <c r="B639" s="10" t="n">
        <v>-0.01288738</v>
      </c>
      <c r="C639" s="5" t="n">
        <f aca="false">C638*(1+B639)</f>
        <v>7147.11133977951</v>
      </c>
      <c r="D639" s="10" t="n">
        <v>-0.01911185</v>
      </c>
      <c r="E639" s="5" t="n">
        <f aca="false">E638*(1+D639)</f>
        <v>11070.5489297793</v>
      </c>
      <c r="F639" s="4" t="n">
        <f aca="false">D639*Varsayımlar!$B$3</f>
        <v>-0.0238898125</v>
      </c>
      <c r="G639" s="5" t="n">
        <f aca="false">G638*(1+F639)</f>
        <v>16446.0708692472</v>
      </c>
    </row>
    <row r="640" customFormat="false" ht="15" hidden="false" customHeight="false" outlineLevel="0" collapsed="false">
      <c r="A640" s="3" t="n">
        <v>45400</v>
      </c>
      <c r="B640" s="10" t="n">
        <v>0.01931314</v>
      </c>
      <c r="C640" s="5" t="n">
        <f aca="false">C639*(1+B640)</f>
        <v>7285.14450168025</v>
      </c>
      <c r="D640" s="10" t="n">
        <v>0.0315822</v>
      </c>
      <c r="E640" s="5" t="n">
        <f aca="false">E639*(1+D640)</f>
        <v>11420.1812201893</v>
      </c>
      <c r="F640" s="4" t="n">
        <f aca="false">D640*Varsayımlar!$B$3</f>
        <v>0.03947775</v>
      </c>
      <c r="G640" s="5" t="n">
        <f aca="false">G639*(1+F640)</f>
        <v>17095.3247435057</v>
      </c>
    </row>
    <row r="641" customFormat="false" ht="15" hidden="false" customHeight="false" outlineLevel="0" collapsed="false">
      <c r="A641" s="3" t="n">
        <v>45401</v>
      </c>
      <c r="B641" s="10" t="n">
        <v>0.00374507</v>
      </c>
      <c r="C641" s="5" t="n">
        <f aca="false">C640*(1+B641)</f>
        <v>7312.42787779916</v>
      </c>
      <c r="D641" s="10" t="n">
        <v>0.00576182</v>
      </c>
      <c r="E641" s="5" t="n">
        <f aca="false">E640*(1+D641)</f>
        <v>11485.9822487475</v>
      </c>
      <c r="F641" s="4" t="n">
        <f aca="false">D641*Varsayımlar!$B$3</f>
        <v>0.007202275</v>
      </c>
      <c r="G641" s="5" t="n">
        <f aca="false">G640*(1+F641)</f>
        <v>17218.4499735227</v>
      </c>
    </row>
    <row r="642" customFormat="false" ht="15" hidden="false" customHeight="false" outlineLevel="0" collapsed="false">
      <c r="A642" s="3" t="n">
        <v>45402</v>
      </c>
      <c r="B642" s="10" t="n">
        <v>-0.03705699</v>
      </c>
      <c r="C642" s="5" t="n">
        <f aca="false">C641*(1+B642)</f>
        <v>7041.45131105584</v>
      </c>
      <c r="D642" s="10" t="n">
        <v>-0.04993554</v>
      </c>
      <c r="E642" s="5" t="n">
        <f aca="false">E641*(1+D642)</f>
        <v>10912.4235227258</v>
      </c>
      <c r="F642" s="4" t="n">
        <f aca="false">D642*Varsayımlar!$B$3</f>
        <v>-0.062419425</v>
      </c>
      <c r="G642" s="5" t="n">
        <f aca="false">G641*(1+F642)</f>
        <v>16143.6842267841</v>
      </c>
    </row>
    <row r="643" customFormat="false" ht="15" hidden="false" customHeight="false" outlineLevel="0" collapsed="false">
      <c r="A643" s="3" t="n">
        <v>45403</v>
      </c>
      <c r="B643" s="10" t="n">
        <v>0.03371709</v>
      </c>
      <c r="C643" s="5" t="n">
        <f aca="false">C642*(1+B643)</f>
        <v>7278.86855864132</v>
      </c>
      <c r="D643" s="10" t="n">
        <v>0.0384108</v>
      </c>
      <c r="E643" s="5" t="n">
        <f aca="false">E642*(1+D643)</f>
        <v>11331.5784401726</v>
      </c>
      <c r="F643" s="4" t="n">
        <f aca="false">D643*Varsayımlar!$B$3</f>
        <v>0.0480135</v>
      </c>
      <c r="G643" s="5" t="n">
        <f aca="false">G642*(1+F643)</f>
        <v>16918.7990094068</v>
      </c>
    </row>
    <row r="644" customFormat="false" ht="15" hidden="false" customHeight="false" outlineLevel="0" collapsed="false">
      <c r="A644" s="3" t="n">
        <v>45404</v>
      </c>
      <c r="B644" s="10" t="n">
        <v>0.01267765</v>
      </c>
      <c r="C644" s="5" t="n">
        <f aca="false">C643*(1+B644)</f>
        <v>7371.14750662378</v>
      </c>
      <c r="D644" s="10" t="n">
        <v>0.01228088</v>
      </c>
      <c r="E644" s="5" t="n">
        <f aca="false">E643*(1+D644)</f>
        <v>11470.7401952069</v>
      </c>
      <c r="F644" s="4" t="n">
        <f aca="false">D644*Varsayımlar!$B$3</f>
        <v>0.0153511</v>
      </c>
      <c r="G644" s="5" t="n">
        <f aca="false">G643*(1+F644)</f>
        <v>17178.5211848801</v>
      </c>
    </row>
    <row r="645" customFormat="false" ht="15" hidden="false" customHeight="false" outlineLevel="0" collapsed="false">
      <c r="A645" s="3" t="n">
        <v>45405</v>
      </c>
      <c r="B645" s="10" t="n">
        <v>-0.00374674</v>
      </c>
      <c r="C645" s="5" t="n">
        <f aca="false">C644*(1+B645)</f>
        <v>7343.52973341481</v>
      </c>
      <c r="D645" s="10" t="n">
        <v>-0.0159244</v>
      </c>
      <c r="E645" s="5" t="n">
        <f aca="false">E644*(1+D645)</f>
        <v>11288.0755400424</v>
      </c>
      <c r="F645" s="4" t="n">
        <f aca="false">D645*Varsayımlar!$B$3</f>
        <v>-0.0199055</v>
      </c>
      <c r="G645" s="5" t="n">
        <f aca="false">G644*(1+F645)</f>
        <v>16836.5741314345</v>
      </c>
    </row>
    <row r="646" customFormat="false" ht="15" hidden="false" customHeight="false" outlineLevel="0" collapsed="false">
      <c r="A646" s="3" t="n">
        <v>45406</v>
      </c>
      <c r="B646" s="10" t="n">
        <v>0.01218167</v>
      </c>
      <c r="C646" s="5" t="n">
        <f aca="false">C645*(1+B646)</f>
        <v>7432.98618926246</v>
      </c>
      <c r="D646" s="10" t="n">
        <v>0.01560442</v>
      </c>
      <c r="E646" s="5" t="n">
        <f aca="false">E645*(1+D646)</f>
        <v>11464.2194117609</v>
      </c>
      <c r="F646" s="4" t="n">
        <f aca="false">D646*Varsayımlar!$B$3</f>
        <v>0.019505525</v>
      </c>
      <c r="G646" s="5" t="n">
        <f aca="false">G645*(1+F646)</f>
        <v>17164.9803490696</v>
      </c>
    </row>
    <row r="647" customFormat="false" ht="15" hidden="false" customHeight="false" outlineLevel="0" collapsed="false">
      <c r="A647" s="3" t="n">
        <v>45407</v>
      </c>
      <c r="B647" s="10" t="n">
        <v>-0.00156332</v>
      </c>
      <c r="C647" s="5" t="n">
        <f aca="false">C646*(1+B647)</f>
        <v>7421.36605329306</v>
      </c>
      <c r="D647" s="10" t="n">
        <v>-0.00118067</v>
      </c>
      <c r="E647" s="5" t="n">
        <f aca="false">E646*(1+D647)</f>
        <v>11450.683951828</v>
      </c>
      <c r="F647" s="4" t="n">
        <f aca="false">D647*Varsayımlar!$B$3</f>
        <v>-0.0014758375</v>
      </c>
      <c r="G647" s="5" t="n">
        <f aca="false">G646*(1+F647)</f>
        <v>17139.6476273836</v>
      </c>
    </row>
    <row r="648" customFormat="false" ht="15" hidden="false" customHeight="false" outlineLevel="0" collapsed="false">
      <c r="A648" s="3" t="n">
        <v>45408</v>
      </c>
      <c r="B648" s="10" t="n">
        <v>0.00313039</v>
      </c>
      <c r="C648" s="5" t="n">
        <f aca="false">C647*(1+B648)</f>
        <v>7444.59782337263</v>
      </c>
      <c r="D648" s="10" t="n">
        <v>0.01068208</v>
      </c>
      <c r="E648" s="5" t="n">
        <f aca="false">E647*(1+D648)</f>
        <v>11573.0010738562</v>
      </c>
      <c r="F648" s="4" t="n">
        <f aca="false">D648*Varsayımlar!$B$3</f>
        <v>0.0133526</v>
      </c>
      <c r="G648" s="5" t="n">
        <f aca="false">G647*(1+F648)</f>
        <v>17368.506486293</v>
      </c>
    </row>
    <row r="649" customFormat="false" ht="15" hidden="false" customHeight="false" outlineLevel="0" collapsed="false">
      <c r="A649" s="3" t="n">
        <v>45409</v>
      </c>
      <c r="B649" s="10" t="n">
        <v>-0.01108428</v>
      </c>
      <c r="C649" s="5" t="n">
        <f aca="false">C648*(1+B649)</f>
        <v>7362.07981661098</v>
      </c>
      <c r="D649" s="10" t="n">
        <v>-0.00463439</v>
      </c>
      <c r="E649" s="5" t="n">
        <f aca="false">E648*(1+D649)</f>
        <v>11519.3672734095</v>
      </c>
      <c r="F649" s="4" t="n">
        <f aca="false">D649*Varsayımlar!$B$3</f>
        <v>-0.0057929875</v>
      </c>
      <c r="G649" s="5" t="n">
        <f aca="false">G648*(1+F649)</f>
        <v>17267.8909453243</v>
      </c>
    </row>
    <row r="650" customFormat="false" ht="15" hidden="false" customHeight="false" outlineLevel="0" collapsed="false">
      <c r="A650" s="3" t="n">
        <v>45410</v>
      </c>
      <c r="B650" s="10" t="n">
        <v>0.002055</v>
      </c>
      <c r="C650" s="5" t="n">
        <f aca="false">C649*(1+B650)</f>
        <v>7377.20889063411</v>
      </c>
      <c r="D650" s="10" t="n">
        <v>-0.00151574</v>
      </c>
      <c r="E650" s="5" t="n">
        <f aca="false">E649*(1+D650)</f>
        <v>11501.9069076585</v>
      </c>
      <c r="F650" s="4" t="n">
        <f aca="false">D650*Varsayımlar!$B$3</f>
        <v>-0.001894675</v>
      </c>
      <c r="G650" s="5" t="n">
        <f aca="false">G649*(1+F650)</f>
        <v>17235.1739040475</v>
      </c>
    </row>
    <row r="651" customFormat="false" ht="15" hidden="false" customHeight="false" outlineLevel="0" collapsed="false">
      <c r="A651" s="3" t="n">
        <v>45411</v>
      </c>
      <c r="B651" s="10" t="n">
        <v>-0.00387258</v>
      </c>
      <c r="C651" s="5" t="n">
        <f aca="false">C650*(1+B651)</f>
        <v>7348.64005902842</v>
      </c>
      <c r="D651" s="10" t="n">
        <v>-0.01062504</v>
      </c>
      <c r="E651" s="5" t="n">
        <f aca="false">E650*(1+D651)</f>
        <v>11379.6986866883</v>
      </c>
      <c r="F651" s="4" t="n">
        <f aca="false">D651*Varsayımlar!$B$3</f>
        <v>-0.0132813</v>
      </c>
      <c r="G651" s="5" t="n">
        <f aca="false">G650*(1+F651)</f>
        <v>17006.2683888756</v>
      </c>
    </row>
    <row r="652" customFormat="false" ht="15" hidden="false" customHeight="false" outlineLevel="0" collapsed="false">
      <c r="A652" s="3" t="n">
        <v>45412</v>
      </c>
      <c r="B652" s="10" t="n">
        <v>-0.00595461</v>
      </c>
      <c r="C652" s="5" t="n">
        <f aca="false">C651*(1+B652)</f>
        <v>7304.88177344653</v>
      </c>
      <c r="D652" s="10" t="n">
        <v>-0.00098678</v>
      </c>
      <c r="E652" s="5" t="n">
        <f aca="false">E651*(1+D652)</f>
        <v>11368.4694276183</v>
      </c>
      <c r="F652" s="4" t="n">
        <f aca="false">D652*Varsayımlar!$B$3</f>
        <v>-0.001233475</v>
      </c>
      <c r="G652" s="5" t="n">
        <f aca="false">G651*(1+F652)</f>
        <v>16985.2915819747</v>
      </c>
    </row>
    <row r="653" customFormat="false" ht="15" hidden="false" customHeight="false" outlineLevel="0" collapsed="false">
      <c r="A653" s="3" t="n">
        <v>45413</v>
      </c>
      <c r="B653" s="10" t="n">
        <v>-0.01070602</v>
      </c>
      <c r="C653" s="5" t="n">
        <f aca="false">C652*(1+B653)</f>
        <v>7226.67556308238</v>
      </c>
      <c r="D653" s="10" t="n">
        <v>-0.01377119</v>
      </c>
      <c r="E653" s="5" t="n">
        <f aca="false">E652*(1+D653)</f>
        <v>11211.9120751214</v>
      </c>
      <c r="F653" s="4" t="n">
        <f aca="false">D653*Varsayımlar!$B$3</f>
        <v>-0.0172139875</v>
      </c>
      <c r="G653" s="5" t="n">
        <f aca="false">G652*(1+F653)</f>
        <v>16692.9069849987</v>
      </c>
    </row>
    <row r="654" customFormat="false" ht="15" hidden="false" customHeight="false" outlineLevel="0" collapsed="false">
      <c r="A654" s="3" t="n">
        <v>45414</v>
      </c>
      <c r="B654" s="10" t="n">
        <v>0.00271383</v>
      </c>
      <c r="C654" s="5" t="n">
        <f aca="false">C653*(1+B654)</f>
        <v>7246.28753202574</v>
      </c>
      <c r="D654" s="10" t="n">
        <v>-0.0071385</v>
      </c>
      <c r="E654" s="5" t="n">
        <f aca="false">E653*(1+D654)</f>
        <v>11131.8758407731</v>
      </c>
      <c r="F654" s="4" t="n">
        <f aca="false">D654*Varsayımlar!$B$3</f>
        <v>-0.008923125</v>
      </c>
      <c r="G654" s="5" t="n">
        <f aca="false">G653*(1+F654)</f>
        <v>16543.9540893582</v>
      </c>
    </row>
    <row r="655" customFormat="false" ht="15" hidden="false" customHeight="false" outlineLevel="0" collapsed="false">
      <c r="A655" s="3" t="n">
        <v>45415</v>
      </c>
      <c r="B655" s="10" t="n">
        <v>0.01009238</v>
      </c>
      <c r="C655" s="5" t="n">
        <f aca="false">C654*(1+B655)</f>
        <v>7319.4198193882</v>
      </c>
      <c r="D655" s="10" t="n">
        <v>-0.00509294</v>
      </c>
      <c r="E655" s="5" t="n">
        <f aca="false">E654*(1+D655)</f>
        <v>11075.1818650286</v>
      </c>
      <c r="F655" s="4" t="n">
        <f aca="false">D655*Varsayımlar!$B$3</f>
        <v>-0.006366175</v>
      </c>
      <c r="G655" s="5" t="n">
        <f aca="false">G654*(1+F655)</f>
        <v>16438.6323824334</v>
      </c>
    </row>
    <row r="656" customFormat="false" ht="15" hidden="false" customHeight="false" outlineLevel="0" collapsed="false">
      <c r="A656" s="3" t="n">
        <v>45416</v>
      </c>
      <c r="B656" s="10" t="n">
        <v>0.01053299</v>
      </c>
      <c r="C656" s="5" t="n">
        <f aca="false">C655*(1+B656)</f>
        <v>7396.51519515162</v>
      </c>
      <c r="D656" s="10" t="n">
        <v>0.03923457</v>
      </c>
      <c r="E656" s="5" t="n">
        <f aca="false">E655*(1+D656)</f>
        <v>11509.7118631748</v>
      </c>
      <c r="F656" s="4" t="n">
        <f aca="false">D656*Varsayımlar!$B$3</f>
        <v>0.0490432125</v>
      </c>
      <c r="G656" s="5" t="n">
        <f aca="false">G655*(1+F656)</f>
        <v>17244.8357235744</v>
      </c>
    </row>
    <row r="657" customFormat="false" ht="15" hidden="false" customHeight="false" outlineLevel="0" collapsed="false">
      <c r="A657" s="3" t="n">
        <v>45417</v>
      </c>
      <c r="B657" s="10" t="n">
        <v>-0.00689697</v>
      </c>
      <c r="C657" s="5" t="n">
        <f aca="false">C656*(1+B657)</f>
        <v>7345.50165174612</v>
      </c>
      <c r="D657" s="10" t="n">
        <v>-0.00192884</v>
      </c>
      <c r="E657" s="5" t="n">
        <f aca="false">E656*(1+D657)</f>
        <v>11487.5114705446</v>
      </c>
      <c r="F657" s="4" t="n">
        <f aca="false">D657*Varsayımlar!$B$3</f>
        <v>-0.00241105</v>
      </c>
      <c r="G657" s="5" t="n">
        <f aca="false">G656*(1+F657)</f>
        <v>17203.2575624031</v>
      </c>
    </row>
    <row r="658" customFormat="false" ht="15" hidden="false" customHeight="false" outlineLevel="0" collapsed="false">
      <c r="A658" s="3" t="n">
        <v>45418</v>
      </c>
      <c r="B658" s="10" t="n">
        <v>-0.00953837</v>
      </c>
      <c r="C658" s="5" t="n">
        <f aca="false">C657*(1+B658)</f>
        <v>7275.43753915615</v>
      </c>
      <c r="D658" s="10" t="n">
        <v>-0.00581084</v>
      </c>
      <c r="E658" s="5" t="n">
        <f aca="false">E657*(1+D658)</f>
        <v>11420.7593793911</v>
      </c>
      <c r="F658" s="4" t="n">
        <f aca="false">D658*Varsayımlar!$B$3</f>
        <v>-0.00726355</v>
      </c>
      <c r="G658" s="5" t="n">
        <f aca="false">G657*(1+F658)</f>
        <v>17078.3008409357</v>
      </c>
    </row>
    <row r="659" customFormat="false" ht="15" hidden="false" customHeight="false" outlineLevel="0" collapsed="false">
      <c r="A659" s="3" t="n">
        <v>45419</v>
      </c>
      <c r="B659" s="10" t="n">
        <v>0.00389308</v>
      </c>
      <c r="C659" s="5" t="n">
        <f aca="false">C658*(1+B659)</f>
        <v>7303.76139953109</v>
      </c>
      <c r="D659" s="10" t="n">
        <v>0.00250519</v>
      </c>
      <c r="E659" s="5" t="n">
        <f aca="false">E658*(1+D659)</f>
        <v>11449.3705515808</v>
      </c>
      <c r="F659" s="4" t="n">
        <f aca="false">D659*Varsayımlar!$B$3</f>
        <v>0.0031314875</v>
      </c>
      <c r="G659" s="5" t="n">
        <f aca="false">G658*(1+F659)</f>
        <v>17131.7813265403</v>
      </c>
    </row>
    <row r="660" customFormat="false" ht="15" hidden="false" customHeight="false" outlineLevel="0" collapsed="false">
      <c r="A660" s="3" t="n">
        <v>45420</v>
      </c>
      <c r="B660" s="10" t="n">
        <v>0.01919494</v>
      </c>
      <c r="C660" s="5" t="n">
        <f aca="false">C659*(1+B660)</f>
        <v>7443.9566613694</v>
      </c>
      <c r="D660" s="10" t="n">
        <v>0.01401316</v>
      </c>
      <c r="E660" s="5" t="n">
        <f aca="false">E659*(1+D660)</f>
        <v>11609.8124130194</v>
      </c>
      <c r="F660" s="4" t="n">
        <f aca="false">D660*Varsayımlar!$B$3</f>
        <v>0.01751645</v>
      </c>
      <c r="G660" s="5" t="n">
        <f aca="false">G659*(1+F660)</f>
        <v>17431.8693175576</v>
      </c>
    </row>
    <row r="661" customFormat="false" ht="15" hidden="false" customHeight="false" outlineLevel="0" collapsed="false">
      <c r="A661" s="3" t="n">
        <v>45421</v>
      </c>
      <c r="B661" s="10" t="n">
        <v>-0.00268091</v>
      </c>
      <c r="C661" s="5" t="n">
        <f aca="false">C660*(1+B661)</f>
        <v>7424.00008351637</v>
      </c>
      <c r="D661" s="10" t="n">
        <v>-0.01055766</v>
      </c>
      <c r="E661" s="5" t="n">
        <f aca="false">E660*(1+D661)</f>
        <v>11487.2399608989</v>
      </c>
      <c r="F661" s="4" t="n">
        <f aca="false">D661*Varsayımlar!$B$3</f>
        <v>-0.013197075</v>
      </c>
      <c r="G661" s="5" t="n">
        <f aca="false">G660*(1+F661)</f>
        <v>17201.8196307836</v>
      </c>
    </row>
    <row r="662" customFormat="false" ht="15" hidden="false" customHeight="false" outlineLevel="0" collapsed="false">
      <c r="A662" s="3" t="n">
        <v>45422</v>
      </c>
      <c r="B662" s="10" t="n">
        <v>0.0023063</v>
      </c>
      <c r="C662" s="5" t="n">
        <f aca="false">C661*(1+B662)</f>
        <v>7441.12205490899</v>
      </c>
      <c r="D662" s="10" t="n">
        <v>-0.00110457</v>
      </c>
      <c r="E662" s="5" t="n">
        <f aca="false">E661*(1+D662)</f>
        <v>11474.5515002553</v>
      </c>
      <c r="F662" s="4" t="n">
        <f aca="false">D662*Varsayımlar!$B$3</f>
        <v>-0.0013807125</v>
      </c>
      <c r="G662" s="5" t="n">
        <f aca="false">G661*(1+F662)</f>
        <v>17178.0688633966</v>
      </c>
    </row>
    <row r="663" customFormat="false" ht="15" hidden="false" customHeight="false" outlineLevel="0" collapsed="false">
      <c r="A663" s="3" t="n">
        <v>45423</v>
      </c>
      <c r="B663" s="10" t="n">
        <v>0.00699421</v>
      </c>
      <c r="C663" s="5" t="n">
        <f aca="false">C662*(1+B663)</f>
        <v>7493.16682519665</v>
      </c>
      <c r="D663" s="10" t="n">
        <v>-0.00013265</v>
      </c>
      <c r="E663" s="5" t="n">
        <f aca="false">E662*(1+D663)</f>
        <v>11473.0294009988</v>
      </c>
      <c r="F663" s="4" t="n">
        <f aca="false">D663*Varsayımlar!$B$3</f>
        <v>-0.0001658125</v>
      </c>
      <c r="G663" s="5" t="n">
        <f aca="false">G662*(1+F663)</f>
        <v>17175.2205248532</v>
      </c>
    </row>
    <row r="664" customFormat="false" ht="15" hidden="false" customHeight="false" outlineLevel="0" collapsed="false">
      <c r="A664" s="3" t="n">
        <v>45424</v>
      </c>
      <c r="B664" s="10" t="n">
        <v>0.01451611</v>
      </c>
      <c r="C664" s="5" t="n">
        <f aca="false">C663*(1+B664)</f>
        <v>7601.93845907956</v>
      </c>
      <c r="D664" s="10" t="n">
        <v>0.01312033</v>
      </c>
      <c r="E664" s="5" t="n">
        <f aca="false">E663*(1+D664)</f>
        <v>11623.5593328396</v>
      </c>
      <c r="F664" s="4" t="n">
        <f aca="false">D664*Varsayımlar!$B$3</f>
        <v>0.0164004125</v>
      </c>
      <c r="G664" s="5" t="n">
        <f aca="false">G663*(1+F664)</f>
        <v>17456.9012262393</v>
      </c>
    </row>
    <row r="665" customFormat="false" ht="15" hidden="false" customHeight="false" outlineLevel="0" collapsed="false">
      <c r="A665" s="3" t="n">
        <v>45425</v>
      </c>
      <c r="B665" s="10" t="n">
        <v>-0.00085577</v>
      </c>
      <c r="C665" s="5" t="n">
        <f aca="false">C664*(1+B665)</f>
        <v>7595.43294820443</v>
      </c>
      <c r="D665" s="10" t="n">
        <v>-0.00052012</v>
      </c>
      <c r="E665" s="5" t="n">
        <f aca="false">E664*(1+D665)</f>
        <v>11617.5136871594</v>
      </c>
      <c r="F665" s="4" t="n">
        <f aca="false">D665*Varsayımlar!$B$3</f>
        <v>-0.00065015</v>
      </c>
      <c r="G665" s="5" t="n">
        <f aca="false">G664*(1+F665)</f>
        <v>17445.551621907</v>
      </c>
    </row>
    <row r="666" customFormat="false" ht="15" hidden="false" customHeight="false" outlineLevel="0" collapsed="false">
      <c r="A666" s="3" t="n">
        <v>45426</v>
      </c>
      <c r="B666" s="10" t="n">
        <v>0.00503204</v>
      </c>
      <c r="C666" s="5" t="n">
        <f aca="false">C665*(1+B666)</f>
        <v>7633.65347061711</v>
      </c>
      <c r="D666" s="10" t="n">
        <v>0.00248581</v>
      </c>
      <c r="E666" s="5" t="n">
        <f aca="false">E665*(1+D666)</f>
        <v>11646.3926188581</v>
      </c>
      <c r="F666" s="4" t="n">
        <f aca="false">D666*Varsayımlar!$B$3</f>
        <v>0.0031072625</v>
      </c>
      <c r="G666" s="5" t="n">
        <f aca="false">G665*(1+F666)</f>
        <v>17499.7595302536</v>
      </c>
    </row>
    <row r="667" customFormat="false" ht="15" hidden="false" customHeight="false" outlineLevel="0" collapsed="false">
      <c r="A667" s="3" t="n">
        <v>45427</v>
      </c>
      <c r="B667" s="10" t="n">
        <v>-0.00807045</v>
      </c>
      <c r="C667" s="5" t="n">
        <f aca="false">C666*(1+B667)</f>
        <v>7572.04645196517</v>
      </c>
      <c r="D667" s="10" t="n">
        <v>-0.01605681</v>
      </c>
      <c r="E667" s="5" t="n">
        <f aca="false">E666*(1+D667)</f>
        <v>11459.3887053917</v>
      </c>
      <c r="F667" s="4" t="n">
        <f aca="false">D667*Varsayımlar!$B$3</f>
        <v>-0.0200710125</v>
      </c>
      <c r="G667" s="5" t="n">
        <f aca="false">G666*(1+F667)</f>
        <v>17148.5216379749</v>
      </c>
    </row>
    <row r="668" customFormat="false" ht="15" hidden="false" customHeight="false" outlineLevel="0" collapsed="false">
      <c r="A668" s="3" t="n">
        <v>45428</v>
      </c>
      <c r="B668" s="10" t="n">
        <v>-0.00089545</v>
      </c>
      <c r="C668" s="5" t="n">
        <f aca="false">C667*(1+B668)</f>
        <v>7565.26606296976</v>
      </c>
      <c r="D668" s="10" t="n">
        <v>0.00045889</v>
      </c>
      <c r="E668" s="5" t="n">
        <f aca="false">E667*(1+D668)</f>
        <v>11464.6473042747</v>
      </c>
      <c r="F668" s="4" t="n">
        <f aca="false">D668*Varsayımlar!$B$3</f>
        <v>0.0005736125</v>
      </c>
      <c r="G668" s="5" t="n">
        <f aca="false">G667*(1+F668)</f>
        <v>17158.3582443429</v>
      </c>
    </row>
    <row r="669" customFormat="false" ht="15" hidden="false" customHeight="false" outlineLevel="0" collapsed="false">
      <c r="A669" s="3" t="n">
        <v>45429</v>
      </c>
      <c r="B669" s="10" t="n">
        <v>-0.01246786</v>
      </c>
      <c r="C669" s="5" t="n">
        <f aca="false">C668*(1+B669)</f>
        <v>7470.9433848339</v>
      </c>
      <c r="D669" s="10" t="n">
        <v>-0.02129391</v>
      </c>
      <c r="E669" s="5" t="n">
        <f aca="false">E668*(1+D669)</f>
        <v>11220.5201363958</v>
      </c>
      <c r="F669" s="4" t="n">
        <f aca="false">D669*Varsayımlar!$B$3</f>
        <v>-0.0266173875</v>
      </c>
      <c r="G669" s="5" t="n">
        <f aca="false">G668*(1+F669)</f>
        <v>16701.6475740894</v>
      </c>
    </row>
    <row r="670" customFormat="false" ht="15" hidden="false" customHeight="false" outlineLevel="0" collapsed="false">
      <c r="A670" s="3" t="n">
        <v>45430</v>
      </c>
      <c r="B670" s="10" t="n">
        <v>-0.00874239</v>
      </c>
      <c r="C670" s="5" t="n">
        <f aca="false">C669*(1+B670)</f>
        <v>7405.62948409576</v>
      </c>
      <c r="D670" s="10" t="n">
        <v>-0.00495966</v>
      </c>
      <c r="E670" s="5" t="n">
        <f aca="false">E669*(1+D670)</f>
        <v>11164.8701714961</v>
      </c>
      <c r="F670" s="4" t="n">
        <f aca="false">D670*Varsayımlar!$B$3</f>
        <v>-0.006199575</v>
      </c>
      <c r="G670" s="5" t="n">
        <f aca="false">G669*(1+F670)</f>
        <v>16598.1044573303</v>
      </c>
    </row>
    <row r="671" customFormat="false" ht="15" hidden="false" customHeight="false" outlineLevel="0" collapsed="false">
      <c r="A671" s="3" t="n">
        <v>45431</v>
      </c>
      <c r="B671" s="10" t="n">
        <v>0.00201781</v>
      </c>
      <c r="C671" s="5" t="n">
        <f aca="false">C670*(1+B671)</f>
        <v>7420.57263732507</v>
      </c>
      <c r="D671" s="10" t="n">
        <v>0.00642018</v>
      </c>
      <c r="E671" s="5" t="n">
        <f aca="false">E670*(1+D671)</f>
        <v>11236.5506476737</v>
      </c>
      <c r="F671" s="4" t="n">
        <f aca="false">D671*Varsayımlar!$B$3</f>
        <v>0.008025225</v>
      </c>
      <c r="G671" s="5" t="n">
        <f aca="false">G670*(1+F671)</f>
        <v>16731.3079801739</v>
      </c>
    </row>
    <row r="672" customFormat="false" ht="15" hidden="false" customHeight="false" outlineLevel="0" collapsed="false">
      <c r="A672" s="3" t="n">
        <v>45432</v>
      </c>
      <c r="B672" s="10" t="n">
        <v>0.00127118</v>
      </c>
      <c r="C672" s="5" t="n">
        <f aca="false">C671*(1+B672)</f>
        <v>7430.00552085018</v>
      </c>
      <c r="D672" s="10" t="n">
        <v>-0.00223722</v>
      </c>
      <c r="E672" s="5" t="n">
        <f aca="false">E671*(1+D672)</f>
        <v>11211.4120118337</v>
      </c>
      <c r="F672" s="4" t="n">
        <f aca="false">D672*Varsayımlar!$B$3</f>
        <v>-0.002796525</v>
      </c>
      <c r="G672" s="5" t="n">
        <f aca="false">G671*(1+F672)</f>
        <v>16684.5184591246</v>
      </c>
    </row>
    <row r="673" customFormat="false" ht="15" hidden="false" customHeight="false" outlineLevel="0" collapsed="false">
      <c r="A673" s="3" t="n">
        <v>45433</v>
      </c>
      <c r="B673" s="10" t="n">
        <v>-0.00147096</v>
      </c>
      <c r="C673" s="5" t="n">
        <f aca="false">C672*(1+B673)</f>
        <v>7419.07627992923</v>
      </c>
      <c r="D673" s="10" t="n">
        <v>0.00360396</v>
      </c>
      <c r="E673" s="5" t="n">
        <f aca="false">E672*(1+D673)</f>
        <v>11251.8174922679</v>
      </c>
      <c r="F673" s="4" t="n">
        <f aca="false">D673*Varsayımlar!$B$3</f>
        <v>0.00450495</v>
      </c>
      <c r="G673" s="5" t="n">
        <f aca="false">G672*(1+F673)</f>
        <v>16759.6813805571</v>
      </c>
    </row>
    <row r="674" customFormat="false" ht="15" hidden="false" customHeight="false" outlineLevel="0" collapsed="false">
      <c r="A674" s="3" t="n">
        <v>45434</v>
      </c>
      <c r="B674" s="10" t="n">
        <v>0.02454626</v>
      </c>
      <c r="C674" s="5" t="n">
        <f aca="false">C673*(1+B674)</f>
        <v>7601.18685525621</v>
      </c>
      <c r="D674" s="10" t="n">
        <v>0.03314456</v>
      </c>
      <c r="E674" s="5" t="n">
        <f aca="false">E673*(1+D674)</f>
        <v>11624.7540322494</v>
      </c>
      <c r="F674" s="4" t="n">
        <f aca="false">D674*Varsayımlar!$B$3</f>
        <v>0.0414307</v>
      </c>
      <c r="G674" s="5" t="n">
        <f aca="false">G673*(1+F674)</f>
        <v>17454.0467119305</v>
      </c>
    </row>
    <row r="675" customFormat="false" ht="15" hidden="false" customHeight="false" outlineLevel="0" collapsed="false">
      <c r="A675" s="3" t="n">
        <v>45435</v>
      </c>
      <c r="B675" s="10" t="n">
        <v>0.00454967</v>
      </c>
      <c r="C675" s="5" t="n">
        <f aca="false">C674*(1+B675)</f>
        <v>7635.76974705596</v>
      </c>
      <c r="D675" s="10" t="n">
        <v>0.00900164</v>
      </c>
      <c r="E675" s="5" t="n">
        <f aca="false">E674*(1+D675)</f>
        <v>11729.3958831363</v>
      </c>
      <c r="F675" s="4" t="n">
        <f aca="false">D675*Varsayımlar!$B$3</f>
        <v>0.01125205</v>
      </c>
      <c r="G675" s="5" t="n">
        <f aca="false">G674*(1+F675)</f>
        <v>17650.4405182355</v>
      </c>
    </row>
    <row r="676" customFormat="false" ht="15" hidden="false" customHeight="false" outlineLevel="0" collapsed="false">
      <c r="A676" s="3" t="n">
        <v>45436</v>
      </c>
      <c r="B676" s="10" t="n">
        <v>0.00380099</v>
      </c>
      <c r="C676" s="5" t="n">
        <f aca="false">C675*(1+B676)</f>
        <v>7664.79323150682</v>
      </c>
      <c r="D676" s="10" t="n">
        <v>9.973E-005</v>
      </c>
      <c r="E676" s="5" t="n">
        <f aca="false">E675*(1+D676)</f>
        <v>11730.5656557877</v>
      </c>
      <c r="F676" s="4" t="n">
        <f aca="false">D676*Varsayımlar!$B$3</f>
        <v>0.0001246625</v>
      </c>
      <c r="G676" s="5" t="n">
        <f aca="false">G675*(1+F676)</f>
        <v>17652.6408662766</v>
      </c>
    </row>
    <row r="677" customFormat="false" ht="15" hidden="false" customHeight="false" outlineLevel="0" collapsed="false">
      <c r="A677" s="3" t="n">
        <v>45437</v>
      </c>
      <c r="B677" s="10" t="n">
        <v>-0.01534077</v>
      </c>
      <c r="C677" s="5" t="n">
        <f aca="false">C676*(1+B677)</f>
        <v>7547.20940144472</v>
      </c>
      <c r="D677" s="10" t="n">
        <v>-0.02595247</v>
      </c>
      <c r="E677" s="5" t="n">
        <f aca="false">E676*(1+D677)</f>
        <v>11426.1285025228</v>
      </c>
      <c r="F677" s="4" t="n">
        <f aca="false">D677*Varsayımlar!$B$3</f>
        <v>-0.0324405875</v>
      </c>
      <c r="G677" s="5" t="n">
        <f aca="false">G676*(1+F677)</f>
        <v>17079.9788256481</v>
      </c>
    </row>
    <row r="678" customFormat="false" ht="15" hidden="false" customHeight="false" outlineLevel="0" collapsed="false">
      <c r="A678" s="3" t="n">
        <v>45438</v>
      </c>
      <c r="B678" s="10" t="n">
        <v>0.00558473</v>
      </c>
      <c r="C678" s="5" t="n">
        <f aca="false">C677*(1+B678)</f>
        <v>7589.35852820525</v>
      </c>
      <c r="D678" s="10" t="n">
        <v>-0.0003991</v>
      </c>
      <c r="E678" s="5" t="n">
        <f aca="false">E677*(1+D678)</f>
        <v>11421.5683346375</v>
      </c>
      <c r="F678" s="4" t="n">
        <f aca="false">D678*Varsayımlar!$B$3</f>
        <v>-0.000498875</v>
      </c>
      <c r="G678" s="5" t="n">
        <f aca="false">G677*(1+F678)</f>
        <v>17071.4580512114</v>
      </c>
    </row>
    <row r="679" customFormat="false" ht="15" hidden="false" customHeight="false" outlineLevel="0" collapsed="false">
      <c r="A679" s="3" t="n">
        <v>45439</v>
      </c>
      <c r="B679" s="10" t="n">
        <v>-0.0166574</v>
      </c>
      <c r="C679" s="5" t="n">
        <f aca="false">C678*(1+B679)</f>
        <v>7462.93954745752</v>
      </c>
      <c r="D679" s="10" t="n">
        <v>-0.02608972</v>
      </c>
      <c r="E679" s="5" t="n">
        <f aca="false">E678*(1+D679)</f>
        <v>11123.5828148259</v>
      </c>
      <c r="F679" s="4" t="n">
        <f aca="false">D679*Varsayımlar!$B$3</f>
        <v>-0.03261215</v>
      </c>
      <c r="G679" s="5" t="n">
        <f aca="false">G678*(1+F679)</f>
        <v>16514.7211005266</v>
      </c>
    </row>
    <row r="680" customFormat="false" ht="15" hidden="false" customHeight="false" outlineLevel="0" collapsed="false">
      <c r="A680" s="3" t="n">
        <v>45440</v>
      </c>
      <c r="B680" s="10" t="n">
        <v>0.0095605</v>
      </c>
      <c r="C680" s="5" t="n">
        <f aca="false">C679*(1+B680)</f>
        <v>7534.28898100099</v>
      </c>
      <c r="D680" s="10" t="n">
        <v>-0.00268348</v>
      </c>
      <c r="E680" s="5" t="n">
        <f aca="false">E679*(1+D680)</f>
        <v>11093.732902814</v>
      </c>
      <c r="F680" s="4" t="n">
        <f aca="false">D680*Varsayımlar!$B$3</f>
        <v>-0.00335435</v>
      </c>
      <c r="G680" s="5" t="n">
        <f aca="false">G679*(1+F680)</f>
        <v>16459.3249458031</v>
      </c>
    </row>
    <row r="681" customFormat="false" ht="15" hidden="false" customHeight="false" outlineLevel="0" collapsed="false">
      <c r="A681" s="3" t="n">
        <v>45441</v>
      </c>
      <c r="B681" s="10" t="n">
        <v>-0.0073584</v>
      </c>
      <c r="C681" s="5" t="n">
        <f aca="false">C680*(1+B681)</f>
        <v>7478.84866896319</v>
      </c>
      <c r="D681" s="10" t="n">
        <v>-0.0034546</v>
      </c>
      <c r="E681" s="5" t="n">
        <f aca="false">E680*(1+D681)</f>
        <v>11055.4084931279</v>
      </c>
      <c r="F681" s="4" t="n">
        <f aca="false">D681*Varsayımlar!$B$3</f>
        <v>-0.00431825</v>
      </c>
      <c r="G681" s="5" t="n">
        <f aca="false">G680*(1+F681)</f>
        <v>16388.2494658558</v>
      </c>
    </row>
    <row r="682" customFormat="false" ht="15" hidden="false" customHeight="false" outlineLevel="0" collapsed="false">
      <c r="A682" s="3" t="n">
        <v>45442</v>
      </c>
      <c r="B682" s="10" t="n">
        <v>-0.00943895</v>
      </c>
      <c r="C682" s="5" t="n">
        <f aca="false">C681*(1+B682)</f>
        <v>7408.25619031928</v>
      </c>
      <c r="D682" s="10" t="n">
        <v>-0.00755646</v>
      </c>
      <c r="E682" s="5" t="n">
        <f aca="false">E681*(1+D682)</f>
        <v>10971.868741066</v>
      </c>
      <c r="F682" s="4" t="n">
        <f aca="false">D682*Varsayımlar!$B$3</f>
        <v>-0.009445575</v>
      </c>
      <c r="G682" s="5" t="n">
        <f aca="false">G681*(1+F682)</f>
        <v>16233.4530264074</v>
      </c>
    </row>
    <row r="683" customFormat="false" ht="15" hidden="false" customHeight="false" outlineLevel="0" collapsed="false">
      <c r="A683" s="3" t="n">
        <v>45443</v>
      </c>
      <c r="B683" s="10" t="n">
        <v>0.00667594</v>
      </c>
      <c r="C683" s="5" t="n">
        <f aca="false">C682*(1+B683)</f>
        <v>7457.71326415048</v>
      </c>
      <c r="D683" s="10" t="n">
        <v>0.00595558</v>
      </c>
      <c r="E683" s="5" t="n">
        <f aca="false">E682*(1+D683)</f>
        <v>11037.2125831029</v>
      </c>
      <c r="F683" s="4" t="n">
        <f aca="false">D683*Varsayımlar!$B$3</f>
        <v>0.007444475</v>
      </c>
      <c r="G683" s="5" t="n">
        <f aca="false">G682*(1+F683)</f>
        <v>16354.3025616262</v>
      </c>
    </row>
    <row r="684" customFormat="false" ht="15" hidden="false" customHeight="false" outlineLevel="0" collapsed="false">
      <c r="A684" s="3" t="n">
        <v>45444</v>
      </c>
      <c r="B684" s="10" t="n">
        <v>0.02944832</v>
      </c>
      <c r="C684" s="5" t="n">
        <f aca="false">C683*(1+B684)</f>
        <v>7677.33039082143</v>
      </c>
      <c r="D684" s="10" t="n">
        <v>0.02060447</v>
      </c>
      <c r="E684" s="5" t="n">
        <f aca="false">E683*(1+D684)</f>
        <v>11264.628498655</v>
      </c>
      <c r="F684" s="4" t="n">
        <f aca="false">D684*Varsayımlar!$B$3</f>
        <v>0.0257555875</v>
      </c>
      <c r="G684" s="5" t="n">
        <f aca="false">G683*(1+F684)</f>
        <v>16775.5172322536</v>
      </c>
    </row>
    <row r="685" customFormat="false" ht="15" hidden="false" customHeight="false" outlineLevel="0" collapsed="false">
      <c r="A685" s="3" t="n">
        <v>45445</v>
      </c>
      <c r="B685" s="10" t="n">
        <v>0.00054584</v>
      </c>
      <c r="C685" s="5" t="n">
        <f aca="false">C684*(1+B685)</f>
        <v>7681.52098484196</v>
      </c>
      <c r="D685" s="10" t="n">
        <v>-0.01890772</v>
      </c>
      <c r="E685" s="5" t="n">
        <f aca="false">E684*(1+D685)</f>
        <v>11051.6400570985</v>
      </c>
      <c r="F685" s="4" t="n">
        <f aca="false">D685*Varsayımlar!$B$3</f>
        <v>-0.02363465</v>
      </c>
      <c r="G685" s="5" t="n">
        <f aca="false">G684*(1+F685)</f>
        <v>16379.0337539003</v>
      </c>
    </row>
    <row r="686" customFormat="false" ht="15" hidden="false" customHeight="false" outlineLevel="0" collapsed="false">
      <c r="A686" s="3" t="n">
        <v>45446</v>
      </c>
      <c r="B686" s="10" t="n">
        <v>-0.01660853</v>
      </c>
      <c r="C686" s="5" t="n">
        <f aca="false">C685*(1+B686)</f>
        <v>7553.94221311958</v>
      </c>
      <c r="D686" s="10" t="n">
        <v>-0.00607237</v>
      </c>
      <c r="E686" s="5" t="n">
        <f aca="false">E685*(1+D686)</f>
        <v>10984.5304095649</v>
      </c>
      <c r="F686" s="4" t="n">
        <f aca="false">D686*Varsayımlar!$B$3</f>
        <v>-0.0075904625</v>
      </c>
      <c r="G686" s="5" t="n">
        <f aca="false">G685*(1+F686)</f>
        <v>16254.7093124051</v>
      </c>
    </row>
    <row r="687" customFormat="false" ht="15" hidden="false" customHeight="false" outlineLevel="0" collapsed="false">
      <c r="A687" s="3" t="n">
        <v>45447</v>
      </c>
      <c r="B687" s="10" t="n">
        <v>-0.00586968</v>
      </c>
      <c r="C687" s="5" t="n">
        <f aca="false">C686*(1+B687)</f>
        <v>7509.60298959008</v>
      </c>
      <c r="D687" s="10" t="n">
        <v>-0.00802077</v>
      </c>
      <c r="E687" s="5" t="n">
        <f aca="false">E686*(1+D687)</f>
        <v>10896.4260175918</v>
      </c>
      <c r="F687" s="4" t="n">
        <f aca="false">D687*Varsayımlar!$B$3</f>
        <v>-0.0100259625</v>
      </c>
      <c r="G687" s="5" t="n">
        <f aca="false">G686*(1+F687)</f>
        <v>16091.7402063905</v>
      </c>
    </row>
    <row r="688" customFormat="false" ht="15" hidden="false" customHeight="false" outlineLevel="0" collapsed="false">
      <c r="A688" s="3" t="n">
        <v>45448</v>
      </c>
      <c r="B688" s="10" t="n">
        <v>0.00118276</v>
      </c>
      <c r="C688" s="5" t="n">
        <f aca="false">C687*(1+B688)</f>
        <v>7518.48504762205</v>
      </c>
      <c r="D688" s="10" t="n">
        <v>0.00473755</v>
      </c>
      <c r="E688" s="5" t="n">
        <f aca="false">E687*(1+D688)</f>
        <v>10948.0483806714</v>
      </c>
      <c r="F688" s="4" t="n">
        <f aca="false">D688*Varsayımlar!$B$3</f>
        <v>0.0059219375</v>
      </c>
      <c r="G688" s="5" t="n">
        <f aca="false">G687*(1+F688)</f>
        <v>16187.034486159</v>
      </c>
    </row>
    <row r="689" customFormat="false" ht="15" hidden="false" customHeight="false" outlineLevel="0" collapsed="false">
      <c r="A689" s="3" t="n">
        <v>45449</v>
      </c>
      <c r="B689" s="10" t="n">
        <v>0.01428406</v>
      </c>
      <c r="C689" s="5" t="n">
        <f aca="false">C688*(1+B689)</f>
        <v>7625.87953915138</v>
      </c>
      <c r="D689" s="10" t="n">
        <v>0.01128284</v>
      </c>
      <c r="E689" s="5" t="n">
        <f aca="false">E688*(1+D689)</f>
        <v>11071.5734588628</v>
      </c>
      <c r="F689" s="4" t="n">
        <f aca="false">D689*Varsayımlar!$B$3</f>
        <v>0.01410355</v>
      </c>
      <c r="G689" s="5" t="n">
        <f aca="false">G688*(1+F689)</f>
        <v>16415.3291363863</v>
      </c>
    </row>
    <row r="690" customFormat="false" ht="15" hidden="false" customHeight="false" outlineLevel="0" collapsed="false">
      <c r="A690" s="3" t="n">
        <v>45450</v>
      </c>
      <c r="B690" s="10" t="n">
        <v>0.03649156</v>
      </c>
      <c r="C690" s="5" t="n">
        <f aca="false">C689*(1+B690)</f>
        <v>7904.1597799071</v>
      </c>
      <c r="D690" s="10" t="n">
        <v>0.06783076</v>
      </c>
      <c r="E690" s="5" t="n">
        <f aca="false">E689*(1+D690)</f>
        <v>11822.5667009733</v>
      </c>
      <c r="F690" s="4" t="n">
        <f aca="false">D690*Varsayımlar!$B$3</f>
        <v>0.08478845</v>
      </c>
      <c r="G690" s="5" t="n">
        <f aca="false">G689*(1+F690)</f>
        <v>17807.1594501003</v>
      </c>
    </row>
    <row r="691" customFormat="false" ht="15" hidden="false" customHeight="false" outlineLevel="0" collapsed="false">
      <c r="A691" s="3" t="n">
        <v>45451</v>
      </c>
      <c r="B691" s="10" t="n">
        <v>-0.00231095</v>
      </c>
      <c r="C691" s="5" t="n">
        <f aca="false">C690*(1+B691)</f>
        <v>7885.89366186372</v>
      </c>
      <c r="D691" s="10" t="n">
        <v>-0.03611868</v>
      </c>
      <c r="E691" s="5" t="n">
        <f aca="false">E690*(1+D691)</f>
        <v>11395.5511975222</v>
      </c>
      <c r="F691" s="4" t="n">
        <f aca="false">D691*Varsayımlar!$B$3</f>
        <v>-0.04514835</v>
      </c>
      <c r="G691" s="5" t="n">
        <f aca="false">G690*(1+F691)</f>
        <v>17003.1955827414</v>
      </c>
    </row>
    <row r="692" customFormat="false" ht="15" hidden="false" customHeight="false" outlineLevel="0" collapsed="false">
      <c r="A692" s="3" t="n">
        <v>45452</v>
      </c>
      <c r="B692" s="10" t="n">
        <v>-0.00571231</v>
      </c>
      <c r="C692" s="5" t="n">
        <f aca="false">C691*(1+B692)</f>
        <v>7840.84699264012</v>
      </c>
      <c r="D692" s="10" t="n">
        <v>-0.00785235</v>
      </c>
      <c r="E692" s="5" t="n">
        <f aca="false">E691*(1+D692)</f>
        <v>11306.0693410763</v>
      </c>
      <c r="F692" s="4" t="n">
        <f aca="false">D692*Varsayımlar!$B$3</f>
        <v>-0.0098154375</v>
      </c>
      <c r="G692" s="5" t="n">
        <f aca="false">G691*(1+F692)</f>
        <v>16836.3017791987</v>
      </c>
    </row>
    <row r="693" customFormat="false" ht="15" hidden="false" customHeight="false" outlineLevel="0" collapsed="false">
      <c r="A693" s="3" t="n">
        <v>45453</v>
      </c>
      <c r="B693" s="10" t="n">
        <v>-0.00222255</v>
      </c>
      <c r="C693" s="5" t="n">
        <f aca="false">C692*(1+B693)</f>
        <v>7823.42031815663</v>
      </c>
      <c r="D693" s="10" t="n">
        <v>0.00146632</v>
      </c>
      <c r="E693" s="5" t="n">
        <f aca="false">E692*(1+D693)</f>
        <v>11322.6476566725</v>
      </c>
      <c r="F693" s="4" t="n">
        <f aca="false">D693*Varsayımlar!$B$3</f>
        <v>0.0018329</v>
      </c>
      <c r="G693" s="5" t="n">
        <f aca="false">G692*(1+F693)</f>
        <v>16867.1610367298</v>
      </c>
    </row>
    <row r="694" customFormat="false" ht="15" hidden="false" customHeight="false" outlineLevel="0" collapsed="false">
      <c r="A694" s="3" t="n">
        <v>45454</v>
      </c>
      <c r="B694" s="10" t="n">
        <v>-0.01461895</v>
      </c>
      <c r="C694" s="5" t="n">
        <f aca="false">C693*(1+B694)</f>
        <v>7709.05012769651</v>
      </c>
      <c r="D694" s="10" t="n">
        <v>-0.02214363</v>
      </c>
      <c r="E694" s="5" t="n">
        <f aca="false">E693*(1+D694)</f>
        <v>11071.9231363428</v>
      </c>
      <c r="F694" s="4" t="n">
        <f aca="false">D694*Varsayımlar!$B$3</f>
        <v>-0.0276795375</v>
      </c>
      <c r="G694" s="5" t="n">
        <f aca="false">G693*(1+F694)</f>
        <v>16400.2858202951</v>
      </c>
    </row>
    <row r="695" customFormat="false" ht="15" hidden="false" customHeight="false" outlineLevel="0" collapsed="false">
      <c r="A695" s="3" t="n">
        <v>45455</v>
      </c>
      <c r="B695" s="10" t="n">
        <v>-0.01028328</v>
      </c>
      <c r="C695" s="5" t="n">
        <f aca="false">C694*(1+B695)</f>
        <v>7629.77580669937</v>
      </c>
      <c r="D695" s="10" t="n">
        <v>0.00281992</v>
      </c>
      <c r="E695" s="5" t="n">
        <f aca="false">E694*(1+D695)</f>
        <v>11103.1450738335</v>
      </c>
      <c r="F695" s="4" t="n">
        <f aca="false">D695*Varsayımlar!$B$3</f>
        <v>0.0035249</v>
      </c>
      <c r="G695" s="5" t="n">
        <f aca="false">G694*(1+F695)</f>
        <v>16458.095187783</v>
      </c>
    </row>
    <row r="696" customFormat="false" ht="15" hidden="false" customHeight="false" outlineLevel="0" collapsed="false">
      <c r="A696" s="3" t="n">
        <v>45456</v>
      </c>
      <c r="B696" s="10" t="n">
        <v>0.00836679</v>
      </c>
      <c r="C696" s="5" t="n">
        <f aca="false">C695*(1+B696)</f>
        <v>7693.61253862111</v>
      </c>
      <c r="D696" s="10" t="n">
        <v>0.00513377</v>
      </c>
      <c r="E696" s="5" t="n">
        <f aca="false">E695*(1+D696)</f>
        <v>11160.1460669192</v>
      </c>
      <c r="F696" s="4" t="n">
        <f aca="false">D696*Varsayımlar!$B$3</f>
        <v>0.0064172125</v>
      </c>
      <c r="G696" s="5" t="n">
        <f aca="false">G695*(1+F696)</f>
        <v>16563.7102819483</v>
      </c>
    </row>
    <row r="697" customFormat="false" ht="15" hidden="false" customHeight="false" outlineLevel="0" collapsed="false">
      <c r="A697" s="3" t="n">
        <v>45457</v>
      </c>
      <c r="B697" s="10" t="n">
        <v>0.00675032</v>
      </c>
      <c r="C697" s="5" t="n">
        <f aca="false">C696*(1+B697)</f>
        <v>7745.54688521281</v>
      </c>
      <c r="D697" s="10" t="n">
        <v>0.00108174</v>
      </c>
      <c r="E697" s="5" t="n">
        <f aca="false">E696*(1+D697)</f>
        <v>11172.2184433256</v>
      </c>
      <c r="F697" s="4" t="n">
        <f aca="false">D697*Varsayımlar!$B$3</f>
        <v>0.001352175</v>
      </c>
      <c r="G697" s="5" t="n">
        <f aca="false">G696*(1+F697)</f>
        <v>16586.1073168988</v>
      </c>
    </row>
    <row r="698" customFormat="false" ht="15" hidden="false" customHeight="false" outlineLevel="0" collapsed="false">
      <c r="A698" s="3" t="n">
        <v>45458</v>
      </c>
      <c r="B698" s="10" t="n">
        <v>-0.01224442</v>
      </c>
      <c r="C698" s="5" t="n">
        <f aca="false">C697*(1+B698)</f>
        <v>7650.70715602058</v>
      </c>
      <c r="D698" s="10" t="n">
        <v>-0.00846858</v>
      </c>
      <c r="E698" s="5" t="n">
        <f aca="false">E697*(1+D698)</f>
        <v>11077.6056176608</v>
      </c>
      <c r="F698" s="4" t="n">
        <f aca="false">D698*Varsayımlar!$B$3</f>
        <v>-0.010585725</v>
      </c>
      <c r="G698" s="5" t="n">
        <f aca="false">G697*(1+F698)</f>
        <v>16410.5313460216</v>
      </c>
    </row>
    <row r="699" customFormat="false" ht="15" hidden="false" customHeight="false" outlineLevel="0" collapsed="false">
      <c r="A699" s="3" t="n">
        <v>45459</v>
      </c>
      <c r="B699" s="10" t="n">
        <v>-0.00279531</v>
      </c>
      <c r="C699" s="5" t="n">
        <f aca="false">C698*(1+B699)</f>
        <v>7629.32105780028</v>
      </c>
      <c r="D699" s="10" t="n">
        <v>-0.00623248</v>
      </c>
      <c r="E699" s="5" t="n">
        <f aca="false">E698*(1+D699)</f>
        <v>11008.5646622008</v>
      </c>
      <c r="F699" s="4" t="n">
        <f aca="false">D699*Varsayımlar!$B$3</f>
        <v>-0.0077906</v>
      </c>
      <c r="G699" s="5" t="n">
        <f aca="false">G698*(1+F699)</f>
        <v>16282.6834605173</v>
      </c>
    </row>
    <row r="700" customFormat="false" ht="15" hidden="false" customHeight="false" outlineLevel="0" collapsed="false">
      <c r="A700" s="3" t="n">
        <v>45460</v>
      </c>
      <c r="B700" s="10" t="n">
        <v>-0.01321997</v>
      </c>
      <c r="C700" s="5" t="n">
        <f aca="false">C699*(1+B700)</f>
        <v>7528.46166229579</v>
      </c>
      <c r="D700" s="10" t="n">
        <v>-0.00789091</v>
      </c>
      <c r="E700" s="5" t="n">
        <f aca="false">E699*(1+D700)</f>
        <v>10921.6970692222</v>
      </c>
      <c r="F700" s="4" t="n">
        <f aca="false">D700*Varsayımlar!$B$3</f>
        <v>-0.0098636375</v>
      </c>
      <c r="G700" s="5" t="n">
        <f aca="false">G699*(1+F700)</f>
        <v>16122.0769733355</v>
      </c>
    </row>
    <row r="701" customFormat="false" ht="15" hidden="false" customHeight="false" outlineLevel="0" collapsed="false">
      <c r="A701" s="3" t="n">
        <v>45461</v>
      </c>
      <c r="B701" s="10" t="n">
        <v>0.00640584</v>
      </c>
      <c r="C701" s="5" t="n">
        <f aca="false">C700*(1+B701)</f>
        <v>7576.68778315059</v>
      </c>
      <c r="D701" s="10" t="n">
        <v>0.0095673</v>
      </c>
      <c r="E701" s="5" t="n">
        <f aca="false">E700*(1+D701)</f>
        <v>11026.1882215926</v>
      </c>
      <c r="F701" s="4" t="n">
        <f aca="false">D701*Varsayımlar!$B$3</f>
        <v>0.011959125</v>
      </c>
      <c r="G701" s="5" t="n">
        <f aca="false">G700*(1+F701)</f>
        <v>16314.8829071192</v>
      </c>
    </row>
    <row r="702" customFormat="false" ht="15" hidden="false" customHeight="false" outlineLevel="0" collapsed="false">
      <c r="A702" s="3" t="n">
        <v>45462</v>
      </c>
      <c r="B702" s="10" t="n">
        <v>-0.00721846</v>
      </c>
      <c r="C702" s="5" t="n">
        <f aca="false">C701*(1+B702)</f>
        <v>7521.99576545543</v>
      </c>
      <c r="D702" s="10" t="n">
        <v>-0.00520304</v>
      </c>
      <c r="E702" s="5" t="n">
        <f aca="false">E701*(1+D702)</f>
        <v>10968.8185232281</v>
      </c>
      <c r="F702" s="4" t="n">
        <f aca="false">D702*Varsayımlar!$B$3</f>
        <v>-0.0065038</v>
      </c>
      <c r="G702" s="5" t="n">
        <f aca="false">G701*(1+F702)</f>
        <v>16208.7741716679</v>
      </c>
    </row>
    <row r="703" customFormat="false" ht="15" hidden="false" customHeight="false" outlineLevel="0" collapsed="false">
      <c r="A703" s="3" t="n">
        <v>45463</v>
      </c>
      <c r="B703" s="10" t="n">
        <v>0.00634386</v>
      </c>
      <c r="C703" s="5" t="n">
        <f aca="false">C702*(1+B703)</f>
        <v>7569.71425351207</v>
      </c>
      <c r="D703" s="10" t="n">
        <v>0.00710059</v>
      </c>
      <c r="E703" s="5" t="n">
        <f aca="false">E702*(1+D703)</f>
        <v>11046.703606346</v>
      </c>
      <c r="F703" s="4" t="n">
        <f aca="false">D703*Varsayımlar!$B$3</f>
        <v>0.0088757375</v>
      </c>
      <c r="G703" s="5" t="n">
        <f aca="false">G702*(1+F703)</f>
        <v>16352.6389964124</v>
      </c>
    </row>
    <row r="704" customFormat="false" ht="15" hidden="false" customHeight="false" outlineLevel="0" collapsed="false">
      <c r="A704" s="3" t="n">
        <v>45464</v>
      </c>
      <c r="B704" s="10" t="n">
        <v>-0.00155771</v>
      </c>
      <c r="C704" s="5" t="n">
        <f aca="false">C703*(1+B704)</f>
        <v>7557.92283392223</v>
      </c>
      <c r="D704" s="10" t="n">
        <v>-0.00263232</v>
      </c>
      <c r="E704" s="5" t="n">
        <f aca="false">E703*(1+D704)</f>
        <v>11017.6251475089</v>
      </c>
      <c r="F704" s="4" t="n">
        <f aca="false">D704*Varsayımlar!$B$3</f>
        <v>-0.0032904</v>
      </c>
      <c r="G704" s="5" t="n">
        <f aca="false">G703*(1+F704)</f>
        <v>16298.8322730586</v>
      </c>
    </row>
    <row r="705" customFormat="false" ht="15" hidden="false" customHeight="false" outlineLevel="0" collapsed="false">
      <c r="A705" s="3" t="n">
        <v>45465</v>
      </c>
      <c r="B705" s="10" t="n">
        <v>-0.01721539</v>
      </c>
      <c r="C705" s="5" t="n">
        <f aca="false">C704*(1+B705)</f>
        <v>7427.81024474636</v>
      </c>
      <c r="D705" s="10" t="n">
        <v>-0.02984568</v>
      </c>
      <c r="E705" s="5" t="n">
        <f aca="false">E704*(1+D705)</f>
        <v>10688.7966329964</v>
      </c>
      <c r="F705" s="4" t="n">
        <f aca="false">D705*Varsayımlar!$B$3</f>
        <v>-0.0373071</v>
      </c>
      <c r="G705" s="5" t="n">
        <f aca="false">G704*(1+F705)</f>
        <v>15690.7701075644</v>
      </c>
    </row>
    <row r="706" customFormat="false" ht="15" hidden="false" customHeight="false" outlineLevel="0" collapsed="false">
      <c r="A706" s="3" t="n">
        <v>45466</v>
      </c>
      <c r="B706" s="10" t="n">
        <v>0.00133762</v>
      </c>
      <c r="C706" s="5" t="n">
        <f aca="false">C705*(1+B706)</f>
        <v>7437.74583228594</v>
      </c>
      <c r="D706" s="10" t="n">
        <v>0.00315857</v>
      </c>
      <c r="E706" s="5" t="n">
        <f aca="false">E705*(1+D706)</f>
        <v>10722.5579453775</v>
      </c>
      <c r="F706" s="4" t="n">
        <f aca="false">D706*Varsayımlar!$B$3</f>
        <v>0.0039482125</v>
      </c>
      <c r="G706" s="5" t="n">
        <f aca="false">G705*(1+F706)</f>
        <v>15752.7206022377</v>
      </c>
    </row>
    <row r="707" customFormat="false" ht="15" hidden="false" customHeight="false" outlineLevel="0" collapsed="false">
      <c r="A707" s="3" t="n">
        <v>45467</v>
      </c>
      <c r="B707" s="10" t="n">
        <v>0.00804768</v>
      </c>
      <c r="C707" s="5" t="n">
        <f aca="false">C706*(1+B707)</f>
        <v>7497.60243066551</v>
      </c>
      <c r="D707" s="10" t="n">
        <v>-0.0025011</v>
      </c>
      <c r="E707" s="5" t="n">
        <f aca="false">E706*(1+D707)</f>
        <v>10695.7397557003</v>
      </c>
      <c r="F707" s="4" t="n">
        <f aca="false">D707*Varsayımlar!$B$3</f>
        <v>-0.003126375</v>
      </c>
      <c r="G707" s="5" t="n">
        <f aca="false">G706*(1+F707)</f>
        <v>15703.4716903649</v>
      </c>
    </row>
    <row r="708" customFormat="false" ht="15" hidden="false" customHeight="false" outlineLevel="0" collapsed="false">
      <c r="A708" s="3" t="n">
        <v>45468</v>
      </c>
      <c r="B708" s="10" t="n">
        <v>-0.00602041</v>
      </c>
      <c r="C708" s="5" t="n">
        <f aca="false">C707*(1+B708)</f>
        <v>7452.4637900159</v>
      </c>
      <c r="D708" s="10" t="n">
        <v>-0.00674018</v>
      </c>
      <c r="E708" s="5" t="n">
        <f aca="false">E707*(1+D708)</f>
        <v>10623.6485445137</v>
      </c>
      <c r="F708" s="4" t="n">
        <f aca="false">D708*Varsayımlar!$B$3</f>
        <v>-0.008425225</v>
      </c>
      <c r="G708" s="5" t="n">
        <f aca="false">G707*(1+F708)</f>
        <v>15571.1664080924</v>
      </c>
    </row>
    <row r="709" customFormat="false" ht="15" hidden="false" customHeight="false" outlineLevel="0" collapsed="false">
      <c r="A709" s="3" t="n">
        <v>45469</v>
      </c>
      <c r="B709" s="10" t="n">
        <v>0.00147797</v>
      </c>
      <c r="C709" s="5" t="n">
        <f aca="false">C708*(1+B709)</f>
        <v>7463.47830792363</v>
      </c>
      <c r="D709" s="10" t="n">
        <v>0.00544455</v>
      </c>
      <c r="E709" s="5" t="n">
        <f aca="false">E708*(1+D709)</f>
        <v>10681.4895301968</v>
      </c>
      <c r="F709" s="4" t="n">
        <f aca="false">D709*Varsayımlar!$B$3</f>
        <v>0.0068056875</v>
      </c>
      <c r="G709" s="5" t="n">
        <f aca="false">G708*(1+F709)</f>
        <v>15677.1389006764</v>
      </c>
    </row>
    <row r="710" customFormat="false" ht="15" hidden="false" customHeight="false" outlineLevel="0" collapsed="false">
      <c r="A710" s="3" t="n">
        <v>45470</v>
      </c>
      <c r="B710" s="10" t="n">
        <v>-0.00606492</v>
      </c>
      <c r="C710" s="5" t="n">
        <f aca="false">C709*(1+B710)</f>
        <v>7418.21290906434</v>
      </c>
      <c r="D710" s="10" t="n">
        <v>-0.01060967</v>
      </c>
      <c r="E710" s="5" t="n">
        <f aca="false">E709*(1+D710)</f>
        <v>10568.1624511729</v>
      </c>
      <c r="F710" s="4" t="n">
        <f aca="false">D710*Varsayımlar!$B$3</f>
        <v>-0.0132620875</v>
      </c>
      <c r="G710" s="5" t="n">
        <f aca="false">G709*(1+F710)</f>
        <v>15469.227312826</v>
      </c>
    </row>
    <row r="711" customFormat="false" ht="15" hidden="false" customHeight="false" outlineLevel="0" collapsed="false">
      <c r="A711" s="3" t="n">
        <v>45471</v>
      </c>
      <c r="B711" s="10" t="n">
        <v>0.0035346</v>
      </c>
      <c r="C711" s="5" t="n">
        <f aca="false">C710*(1+B711)</f>
        <v>7444.43332441272</v>
      </c>
      <c r="D711" s="10" t="n">
        <v>0.00545902</v>
      </c>
      <c r="E711" s="5" t="n">
        <f aca="false">E710*(1+D711)</f>
        <v>10625.8542613571</v>
      </c>
      <c r="F711" s="4" t="n">
        <f aca="false">D711*Varsayımlar!$B$3</f>
        <v>0.006823775</v>
      </c>
      <c r="G711" s="5" t="n">
        <f aca="false">G710*(1+F711)</f>
        <v>15574.7858394326</v>
      </c>
    </row>
    <row r="712" customFormat="false" ht="15" hidden="false" customHeight="false" outlineLevel="0" collapsed="false">
      <c r="A712" s="3" t="n">
        <v>45472</v>
      </c>
      <c r="B712" s="10" t="n">
        <v>0.00286547</v>
      </c>
      <c r="C712" s="5" t="n">
        <f aca="false">C711*(1+B712)</f>
        <v>7465.76512477082</v>
      </c>
      <c r="D712" s="10" t="n">
        <v>0.00075949</v>
      </c>
      <c r="E712" s="5" t="n">
        <f aca="false">E711*(1+D712)</f>
        <v>10633.9244914101</v>
      </c>
      <c r="F712" s="4" t="n">
        <f aca="false">D712*Varsayımlar!$B$3</f>
        <v>0.0009493625</v>
      </c>
      <c r="G712" s="5" t="n">
        <f aca="false">G711*(1+F712)</f>
        <v>15589.571957054</v>
      </c>
    </row>
    <row r="713" customFormat="false" ht="15" hidden="false" customHeight="false" outlineLevel="0" collapsed="false">
      <c r="A713" s="3" t="n">
        <v>45473</v>
      </c>
      <c r="B713" s="10" t="n">
        <v>0.00815365</v>
      </c>
      <c r="C713" s="5" t="n">
        <f aca="false">C712*(1+B713)</f>
        <v>7526.63836058041</v>
      </c>
      <c r="D713" s="10" t="n">
        <v>-0.00299839</v>
      </c>
      <c r="E713" s="5" t="n">
        <f aca="false">E712*(1+D713)</f>
        <v>10602.0398385543</v>
      </c>
      <c r="F713" s="4" t="n">
        <f aca="false">D713*Varsayımlar!$B$3</f>
        <v>-0.0037479875</v>
      </c>
      <c r="G713" s="5" t="n">
        <f aca="false">G712*(1+F713)</f>
        <v>15531.1424362287</v>
      </c>
    </row>
    <row r="714" customFormat="false" ht="15" hidden="false" customHeight="false" outlineLevel="0" collapsed="false">
      <c r="A714" s="3" t="n">
        <v>45474</v>
      </c>
      <c r="B714" s="10" t="n">
        <v>-0.00130232</v>
      </c>
      <c r="C714" s="5" t="n">
        <f aca="false">C713*(1+B714)</f>
        <v>7516.83626891066</v>
      </c>
      <c r="D714" s="10" t="n">
        <v>-0.00844521</v>
      </c>
      <c r="E714" s="5" t="n">
        <f aca="false">E713*(1+D714)</f>
        <v>10512.5033856893</v>
      </c>
      <c r="F714" s="4" t="n">
        <f aca="false">D714*Varsayımlar!$B$3</f>
        <v>-0.0105565125</v>
      </c>
      <c r="G714" s="5" t="n">
        <f aca="false">G713*(1+F714)</f>
        <v>15367.1877369613</v>
      </c>
    </row>
    <row r="715" customFormat="false" ht="15" hidden="false" customHeight="false" outlineLevel="0" collapsed="false">
      <c r="A715" s="3" t="n">
        <v>45475</v>
      </c>
      <c r="B715" s="10" t="n">
        <v>0.0092834</v>
      </c>
      <c r="C715" s="5" t="n">
        <f aca="false">C714*(1+B715)</f>
        <v>7586.61806672947</v>
      </c>
      <c r="D715" s="10" t="n">
        <v>0.00585721</v>
      </c>
      <c r="E715" s="5" t="n">
        <f aca="false">E714*(1+D715)</f>
        <v>10574.077325645</v>
      </c>
      <c r="F715" s="4" t="n">
        <f aca="false">D715*Varsayımlar!$B$3</f>
        <v>0.0073215125</v>
      </c>
      <c r="G715" s="5" t="n">
        <f aca="false">G714*(1+F715)</f>
        <v>15479.6987940673</v>
      </c>
    </row>
    <row r="716" customFormat="false" ht="15" hidden="false" customHeight="false" outlineLevel="0" collapsed="false">
      <c r="A716" s="3" t="n">
        <v>45476</v>
      </c>
      <c r="B716" s="10" t="n">
        <v>0.00075221</v>
      </c>
      <c r="C716" s="5" t="n">
        <f aca="false">C715*(1+B716)</f>
        <v>7592.32479670544</v>
      </c>
      <c r="D716" s="10" t="n">
        <v>0.00234443</v>
      </c>
      <c r="E716" s="5" t="n">
        <f aca="false">E715*(1+D716)</f>
        <v>10598.8675097496</v>
      </c>
      <c r="F716" s="4" t="n">
        <f aca="false">D716*Varsayımlar!$B$3</f>
        <v>0.0029305375</v>
      </c>
      <c r="G716" s="5" t="n">
        <f aca="false">G715*(1+F716)</f>
        <v>15525.0626318721</v>
      </c>
    </row>
    <row r="717" customFormat="false" ht="15" hidden="false" customHeight="false" outlineLevel="0" collapsed="false">
      <c r="A717" s="3" t="n">
        <v>45477</v>
      </c>
      <c r="B717" s="10" t="n">
        <v>-0.01150055</v>
      </c>
      <c r="C717" s="5" t="n">
        <f aca="false">C716*(1+B717)</f>
        <v>7505.00888576469</v>
      </c>
      <c r="D717" s="10" t="n">
        <v>-0.01477087</v>
      </c>
      <c r="E717" s="5" t="n">
        <f aca="false">E716*(1+D717)</f>
        <v>10442.3130156159</v>
      </c>
      <c r="F717" s="4" t="n">
        <f aca="false">D717*Varsayımlar!$B$3</f>
        <v>-0.0184635875</v>
      </c>
      <c r="G717" s="5" t="n">
        <f aca="false">G716*(1+F717)</f>
        <v>15238.4142795255</v>
      </c>
    </row>
    <row r="718" customFormat="false" ht="15" hidden="false" customHeight="false" outlineLevel="0" collapsed="false">
      <c r="A718" s="3" t="n">
        <v>45478</v>
      </c>
      <c r="B718" s="10" t="n">
        <v>0.01881284</v>
      </c>
      <c r="C718" s="5" t="n">
        <f aca="false">C717*(1+B718)</f>
        <v>7646.19941713116</v>
      </c>
      <c r="D718" s="10" t="n">
        <v>0.02386922</v>
      </c>
      <c r="E718" s="5" t="n">
        <f aca="false">E717*(1+D718)</f>
        <v>10691.5628822945</v>
      </c>
      <c r="F718" s="4" t="n">
        <f aca="false">D718*Varsayımlar!$B$3</f>
        <v>0.029836525</v>
      </c>
      <c r="G718" s="5" t="n">
        <f aca="false">G717*(1+F718)</f>
        <v>15693.0756081369</v>
      </c>
    </row>
    <row r="719" customFormat="false" ht="15" hidden="false" customHeight="false" outlineLevel="0" collapsed="false">
      <c r="A719" s="3" t="n">
        <v>45479</v>
      </c>
      <c r="B719" s="10" t="n">
        <v>0.01646731</v>
      </c>
      <c r="C719" s="5" t="n">
        <f aca="false">C718*(1+B719)</f>
        <v>7772.11175325487</v>
      </c>
      <c r="D719" s="10" t="n">
        <v>0.02084082</v>
      </c>
      <c r="E719" s="5" t="n">
        <f aca="false">E718*(1+D719)</f>
        <v>10914.383819843</v>
      </c>
      <c r="F719" s="4" t="n">
        <f aca="false">D719*Varsayımlar!$B$3</f>
        <v>0.026051025</v>
      </c>
      <c r="G719" s="5" t="n">
        <f aca="false">G718*(1+F719)</f>
        <v>16101.8963131314</v>
      </c>
    </row>
    <row r="720" customFormat="false" ht="15" hidden="false" customHeight="false" outlineLevel="0" collapsed="false">
      <c r="A720" s="3" t="n">
        <v>45480</v>
      </c>
      <c r="B720" s="10" t="n">
        <v>-0.008392</v>
      </c>
      <c r="C720" s="5" t="n">
        <f aca="false">C719*(1+B720)</f>
        <v>7706.88819142156</v>
      </c>
      <c r="D720" s="10" t="n">
        <v>-0.01836562</v>
      </c>
      <c r="E720" s="5" t="n">
        <f aca="false">E719*(1+D720)</f>
        <v>10713.9343940737</v>
      </c>
      <c r="F720" s="4" t="n">
        <f aca="false">D720*Varsayımlar!$B$3</f>
        <v>-0.022957025</v>
      </c>
      <c r="G720" s="5" t="n">
        <f aca="false">G719*(1+F720)</f>
        <v>15732.2446769234</v>
      </c>
    </row>
    <row r="721" customFormat="false" ht="15" hidden="false" customHeight="false" outlineLevel="0" collapsed="false">
      <c r="A721" s="3" t="n">
        <v>45481</v>
      </c>
      <c r="B721" s="10" t="n">
        <v>0.01627518</v>
      </c>
      <c r="C721" s="5" t="n">
        <f aca="false">C720*(1+B721)</f>
        <v>7832.31918397682</v>
      </c>
      <c r="D721" s="10" t="n">
        <v>0.01601375</v>
      </c>
      <c r="E721" s="5" t="n">
        <f aca="false">E720*(1+D721)</f>
        <v>10885.5046609767</v>
      </c>
      <c r="F721" s="4" t="n">
        <f aca="false">D721*Varsayımlar!$B$3</f>
        <v>0.0200171875</v>
      </c>
      <c r="G721" s="5" t="n">
        <f aca="false">G720*(1+F721)</f>
        <v>16047.1599684173</v>
      </c>
    </row>
    <row r="722" customFormat="false" ht="15" hidden="false" customHeight="false" outlineLevel="0" collapsed="false">
      <c r="A722" s="3" t="n">
        <v>45482</v>
      </c>
      <c r="B722" s="10" t="n">
        <v>0.02521184</v>
      </c>
      <c r="C722" s="5" t="n">
        <f aca="false">C721*(1+B722)</f>
        <v>8029.78636207218</v>
      </c>
      <c r="D722" s="10" t="n">
        <v>0.01865974</v>
      </c>
      <c r="E722" s="5" t="n">
        <f aca="false">E721*(1+D722)</f>
        <v>11088.6253477194</v>
      </c>
      <c r="F722" s="4" t="n">
        <f aca="false">D722*Varsayımlar!$B$3</f>
        <v>0.023324675</v>
      </c>
      <c r="G722" s="5" t="n">
        <f aca="false">G721*(1+F722)</f>
        <v>16421.4547593536</v>
      </c>
    </row>
    <row r="723" customFormat="false" ht="15" hidden="false" customHeight="false" outlineLevel="0" collapsed="false">
      <c r="A723" s="3" t="n">
        <v>45483</v>
      </c>
      <c r="B723" s="10" t="n">
        <v>-0.01430961</v>
      </c>
      <c r="C723" s="5" t="n">
        <f aca="false">C722*(1+B723)</f>
        <v>7914.8832508476</v>
      </c>
      <c r="D723" s="10" t="n">
        <v>-0.0178132</v>
      </c>
      <c r="E723" s="5" t="n">
        <f aca="false">E722*(1+D723)</f>
        <v>10891.1014466754</v>
      </c>
      <c r="F723" s="4" t="n">
        <f aca="false">D723*Varsayımlar!$B$3</f>
        <v>-0.0222665</v>
      </c>
      <c r="G723" s="5" t="n">
        <f aca="false">G722*(1+F723)</f>
        <v>16055.8064369545</v>
      </c>
    </row>
    <row r="724" customFormat="false" ht="15" hidden="false" customHeight="false" outlineLevel="0" collapsed="false">
      <c r="A724" s="3" t="n">
        <v>45484</v>
      </c>
      <c r="B724" s="10" t="n">
        <v>0.00362865</v>
      </c>
      <c r="C724" s="5" t="n">
        <f aca="false">C723*(1+B724)</f>
        <v>7943.60359195579</v>
      </c>
      <c r="D724" s="10" t="n">
        <v>0.01370992</v>
      </c>
      <c r="E724" s="5" t="n">
        <f aca="false">E723*(1+D724)</f>
        <v>11040.4175762212</v>
      </c>
      <c r="F724" s="4" t="n">
        <f aca="false">D724*Varsayımlar!$B$3</f>
        <v>0.0171374</v>
      </c>
      <c r="G724" s="5" t="n">
        <f aca="false">G723*(1+F724)</f>
        <v>16330.9612141871</v>
      </c>
    </row>
    <row r="725" customFormat="false" ht="15" hidden="false" customHeight="false" outlineLevel="0" collapsed="false">
      <c r="A725" s="3" t="n">
        <v>45485</v>
      </c>
      <c r="B725" s="10" t="n">
        <v>-0.00701624</v>
      </c>
      <c r="C725" s="5" t="n">
        <f aca="false">C724*(1+B725)</f>
        <v>7887.86936268977</v>
      </c>
      <c r="D725" s="10" t="n">
        <v>-0.01953352</v>
      </c>
      <c r="E725" s="5" t="n">
        <f aca="false">E724*(1+D725)</f>
        <v>10824.7593586877</v>
      </c>
      <c r="F725" s="4" t="n">
        <f aca="false">D725*Varsayımlar!$B$3</f>
        <v>-0.0244169</v>
      </c>
      <c r="G725" s="5" t="n">
        <f aca="false">G724*(1+F725)</f>
        <v>15932.2097673164</v>
      </c>
    </row>
    <row r="726" customFormat="false" ht="15" hidden="false" customHeight="false" outlineLevel="0" collapsed="false">
      <c r="A726" s="3" t="n">
        <v>45486</v>
      </c>
      <c r="B726" s="10" t="n">
        <v>0.02800542</v>
      </c>
      <c r="C726" s="5" t="n">
        <f aca="false">C725*(1+B726)</f>
        <v>8108.77245709703</v>
      </c>
      <c r="D726" s="10" t="n">
        <v>0.03753315</v>
      </c>
      <c r="E726" s="5" t="n">
        <f aca="false">E725*(1+D726)</f>
        <v>11231.0466754112</v>
      </c>
      <c r="F726" s="4" t="n">
        <f aca="false">D726*Varsayımlar!$B$3</f>
        <v>0.0469164375</v>
      </c>
      <c r="G726" s="5" t="n">
        <f aca="false">G725*(1+F726)</f>
        <v>16679.6922911016</v>
      </c>
    </row>
    <row r="727" customFormat="false" ht="15" hidden="false" customHeight="false" outlineLevel="0" collapsed="false">
      <c r="A727" s="3" t="n">
        <v>45487</v>
      </c>
      <c r="B727" s="10" t="n">
        <v>-0.00427816</v>
      </c>
      <c r="C727" s="5" t="n">
        <f aca="false">C726*(1+B727)</f>
        <v>8074.08183112197</v>
      </c>
      <c r="D727" s="10" t="n">
        <v>-0.00581358</v>
      </c>
      <c r="E727" s="5" t="n">
        <f aca="false">E726*(1+D727)</f>
        <v>11165.75408708</v>
      </c>
      <c r="F727" s="4" t="n">
        <f aca="false">D727*Varsayımlar!$B$3</f>
        <v>-0.007266975</v>
      </c>
      <c r="G727" s="5" t="n">
        <f aca="false">G726*(1+F727)</f>
        <v>16558.4813842145</v>
      </c>
    </row>
    <row r="728" customFormat="false" ht="15" hidden="false" customHeight="false" outlineLevel="0" collapsed="false">
      <c r="A728" s="3" t="n">
        <v>45488</v>
      </c>
      <c r="B728" s="10" t="n">
        <v>-0.01626837</v>
      </c>
      <c r="C728" s="5" t="n">
        <f aca="false">C727*(1+B728)</f>
        <v>7942.729680483</v>
      </c>
      <c r="D728" s="10" t="n">
        <v>-0.02386031</v>
      </c>
      <c r="E728" s="5" t="n">
        <f aca="false">E727*(1+D728)</f>
        <v>10899.3357331785</v>
      </c>
      <c r="F728" s="4" t="n">
        <f aca="false">D728*Varsayımlar!$B$3</f>
        <v>-0.0298253875</v>
      </c>
      <c r="G728" s="5" t="n">
        <f aca="false">G727*(1+F728)</f>
        <v>16064.6182605188</v>
      </c>
    </row>
    <row r="729" customFormat="false" ht="15" hidden="false" customHeight="false" outlineLevel="0" collapsed="false">
      <c r="A729" s="3" t="n">
        <v>45489</v>
      </c>
      <c r="B729" s="10" t="n">
        <v>-0.00092038</v>
      </c>
      <c r="C729" s="5" t="n">
        <f aca="false">C728*(1+B729)</f>
        <v>7935.41935093968</v>
      </c>
      <c r="D729" s="10" t="n">
        <v>0.00971605</v>
      </c>
      <c r="E729" s="5" t="n">
        <f aca="false">E728*(1+D729)</f>
        <v>11005.2342241288</v>
      </c>
      <c r="F729" s="4" t="n">
        <f aca="false">D729*Varsayımlar!$B$3</f>
        <v>0.0121450625</v>
      </c>
      <c r="G729" s="5" t="n">
        <f aca="false">G728*(1+F729)</f>
        <v>16259.7240533314</v>
      </c>
    </row>
    <row r="730" customFormat="false" ht="15" hidden="false" customHeight="false" outlineLevel="0" collapsed="false">
      <c r="A730" s="3" t="n">
        <v>45490</v>
      </c>
      <c r="B730" s="10" t="n">
        <v>0.01888996</v>
      </c>
      <c r="C730" s="5" t="n">
        <f aca="false">C729*(1+B730)</f>
        <v>8085.31910506216</v>
      </c>
      <c r="D730" s="10" t="n">
        <v>0.02796209</v>
      </c>
      <c r="E730" s="5" t="n">
        <f aca="false">E729*(1+D730)</f>
        <v>11312.963573975</v>
      </c>
      <c r="F730" s="4" t="n">
        <f aca="false">D730*Varsayımlar!$B$3</f>
        <v>0.0349526125</v>
      </c>
      <c r="G730" s="5" t="n">
        <f aca="false">G729*(1+F730)</f>
        <v>16828.0438875244</v>
      </c>
    </row>
    <row r="731" customFormat="false" ht="15" hidden="false" customHeight="false" outlineLevel="0" collapsed="false">
      <c r="A731" s="3" t="n">
        <v>45491</v>
      </c>
      <c r="B731" s="10" t="n">
        <v>0.01254646</v>
      </c>
      <c r="C731" s="5" t="n">
        <f aca="false">C730*(1+B731)</f>
        <v>8186.76123780106</v>
      </c>
      <c r="D731" s="10" t="n">
        <v>0.02121586</v>
      </c>
      <c r="E731" s="5" t="n">
        <f aca="false">E730*(1+D731)</f>
        <v>11552.9778253456</v>
      </c>
      <c r="F731" s="4" t="n">
        <f aca="false">D731*Varsayımlar!$B$3</f>
        <v>0.026519825</v>
      </c>
      <c r="G731" s="5" t="n">
        <f aca="false">G730*(1+F731)</f>
        <v>17274.3206665139</v>
      </c>
    </row>
    <row r="732" customFormat="false" ht="15" hidden="false" customHeight="false" outlineLevel="0" collapsed="false">
      <c r="A732" s="3" t="n">
        <v>45492</v>
      </c>
      <c r="B732" s="10" t="n">
        <v>-0.02058231</v>
      </c>
      <c r="C732" s="5" t="n">
        <f aca="false">C731*(1+B732)</f>
        <v>8018.25878010865</v>
      </c>
      <c r="D732" s="10" t="n">
        <v>-0.02934143</v>
      </c>
      <c r="E732" s="5" t="n">
        <f aca="false">E731*(1+D732)</f>
        <v>11213.9969351916</v>
      </c>
      <c r="F732" s="4" t="n">
        <f aca="false">D732*Varsayımlar!$B$3</f>
        <v>-0.0366767875</v>
      </c>
      <c r="G732" s="5" t="n">
        <f aca="false">G731*(1+F732)</f>
        <v>16640.7540782213</v>
      </c>
    </row>
    <row r="733" customFormat="false" ht="15" hidden="false" customHeight="false" outlineLevel="0" collapsed="false">
      <c r="A733" s="3" t="n">
        <v>45493</v>
      </c>
      <c r="B733" s="10" t="n">
        <v>-0.00031221</v>
      </c>
      <c r="C733" s="5" t="n">
        <f aca="false">C732*(1+B733)</f>
        <v>8015.75539953491</v>
      </c>
      <c r="D733" s="10" t="n">
        <v>-0.00432667</v>
      </c>
      <c r="E733" s="5" t="n">
        <f aca="false">E732*(1+D733)</f>
        <v>11165.4776710721</v>
      </c>
      <c r="F733" s="4" t="n">
        <f aca="false">D733*Varsayımlar!$B$3</f>
        <v>-0.0054083375</v>
      </c>
      <c r="G733" s="5" t="n">
        <f aca="false">G732*(1+F733)</f>
        <v>16550.7552639118</v>
      </c>
    </row>
    <row r="734" customFormat="false" ht="15" hidden="false" customHeight="false" outlineLevel="0" collapsed="false">
      <c r="A734" s="3" t="n">
        <v>45494</v>
      </c>
      <c r="B734" s="10" t="n">
        <v>-0.00225414</v>
      </c>
      <c r="C734" s="5" t="n">
        <f aca="false">C733*(1+B734)</f>
        <v>7997.68676465861</v>
      </c>
      <c r="D734" s="10" t="n">
        <v>-0.00350856</v>
      </c>
      <c r="E734" s="5" t="n">
        <f aca="false">E733*(1+D734)</f>
        <v>11126.3029227344</v>
      </c>
      <c r="F734" s="4" t="n">
        <f aca="false">D734*Varsayımlar!$B$3</f>
        <v>-0.0043857</v>
      </c>
      <c r="G734" s="5" t="n">
        <f aca="false">G733*(1+F734)</f>
        <v>16478.1686165509</v>
      </c>
    </row>
    <row r="735" customFormat="false" ht="15" hidden="false" customHeight="false" outlineLevel="0" collapsed="false">
      <c r="A735" s="3" t="n">
        <v>45495</v>
      </c>
      <c r="B735" s="10" t="n">
        <v>-0.00224048</v>
      </c>
      <c r="C735" s="5" t="n">
        <f aca="false">C734*(1+B735)</f>
        <v>7979.76810741612</v>
      </c>
      <c r="D735" s="10" t="n">
        <v>-0.00163084</v>
      </c>
      <c r="E735" s="5" t="n">
        <f aca="false">E734*(1+D735)</f>
        <v>11108.1577028759</v>
      </c>
      <c r="F735" s="4" t="n">
        <f aca="false">D735*Varsayımlar!$B$3</f>
        <v>-0.00203855</v>
      </c>
      <c r="G735" s="5" t="n">
        <f aca="false">G734*(1+F735)</f>
        <v>16444.5770459176</v>
      </c>
    </row>
    <row r="736" customFormat="false" ht="15" hidden="false" customHeight="false" outlineLevel="0" collapsed="false">
      <c r="A736" s="3" t="n">
        <v>45496</v>
      </c>
      <c r="B736" s="10" t="n">
        <v>-3.59E-005</v>
      </c>
      <c r="C736" s="5" t="n">
        <f aca="false">C735*(1+B736)</f>
        <v>7979.48163374107</v>
      </c>
      <c r="D736" s="10" t="n">
        <v>0.00684295</v>
      </c>
      <c r="E736" s="5" t="n">
        <f aca="false">E735*(1+D736)</f>
        <v>11184.1702706288</v>
      </c>
      <c r="F736" s="4" t="n">
        <f aca="false">D736*Varsayımlar!$B$3</f>
        <v>0.0085536875</v>
      </c>
      <c r="G736" s="5" t="n">
        <f aca="false">G735*(1+F736)</f>
        <v>16585.238819038</v>
      </c>
    </row>
    <row r="737" customFormat="false" ht="15" hidden="false" customHeight="false" outlineLevel="0" collapsed="false">
      <c r="A737" s="3" t="n">
        <v>45497</v>
      </c>
      <c r="B737" s="10" t="n">
        <v>0.0201477</v>
      </c>
      <c r="C737" s="5" t="n">
        <f aca="false">C736*(1+B737)</f>
        <v>8140.24983585319</v>
      </c>
      <c r="D737" s="10" t="n">
        <v>0.01513959</v>
      </c>
      <c r="E737" s="5" t="n">
        <f aca="false">E736*(1+D737)</f>
        <v>11353.4940230163</v>
      </c>
      <c r="F737" s="4" t="n">
        <f aca="false">D737*Varsayımlar!$B$3</f>
        <v>0.0189244875</v>
      </c>
      <c r="G737" s="5" t="n">
        <f aca="false">G736*(1+F737)</f>
        <v>16899.1059637534</v>
      </c>
    </row>
    <row r="738" customFormat="false" ht="15" hidden="false" customHeight="false" outlineLevel="0" collapsed="false">
      <c r="A738" s="3" t="n">
        <v>45498</v>
      </c>
      <c r="B738" s="10" t="n">
        <v>0.00286091</v>
      </c>
      <c r="C738" s="5" t="n">
        <f aca="false">C737*(1+B738)</f>
        <v>8163.53835801108</v>
      </c>
      <c r="D738" s="10" t="n">
        <v>0.00313198</v>
      </c>
      <c r="E738" s="5" t="n">
        <f aca="false">E737*(1+D738)</f>
        <v>11389.0529392265</v>
      </c>
      <c r="F738" s="4" t="n">
        <f aca="false">D738*Varsayımlar!$B$3</f>
        <v>0.003914975</v>
      </c>
      <c r="G738" s="5" t="n">
        <f aca="false">G737*(1+F738)</f>
        <v>16965.2655411239</v>
      </c>
    </row>
    <row r="739" customFormat="false" ht="15" hidden="false" customHeight="false" outlineLevel="0" collapsed="false">
      <c r="A739" s="3" t="n">
        <v>45499</v>
      </c>
      <c r="B739" s="10" t="n">
        <v>0.00566238</v>
      </c>
      <c r="C739" s="5" t="n">
        <f aca="false">C738*(1+B739)</f>
        <v>8209.76341433872</v>
      </c>
      <c r="D739" s="10" t="n">
        <v>0.00714867</v>
      </c>
      <c r="E739" s="5" t="n">
        <f aca="false">E738*(1+D739)</f>
        <v>11470.4695203016</v>
      </c>
      <c r="F739" s="4" t="n">
        <f aca="false">D739*Varsayımlar!$B$3</f>
        <v>0.0089358375</v>
      </c>
      <c r="G739" s="5" t="n">
        <f aca="false">G738*(1+F739)</f>
        <v>17116.8643971437</v>
      </c>
    </row>
    <row r="740" customFormat="false" ht="15" hidden="false" customHeight="false" outlineLevel="0" collapsed="false">
      <c r="A740" s="3" t="n">
        <v>45500</v>
      </c>
      <c r="B740" s="10" t="n">
        <v>-0.00149534</v>
      </c>
      <c r="C740" s="5" t="n">
        <f aca="false">C739*(1+B740)</f>
        <v>8197.48702671472</v>
      </c>
      <c r="D740" s="10" t="n">
        <v>0.00521229</v>
      </c>
      <c r="E740" s="5" t="n">
        <f aca="false">E739*(1+D740)</f>
        <v>11530.2569338776</v>
      </c>
      <c r="F740" s="4" t="n">
        <f aca="false">D740*Varsayımlar!$B$3</f>
        <v>0.0065153625</v>
      </c>
      <c r="G740" s="5" t="n">
        <f aca="false">G739*(1+F740)</f>
        <v>17228.3869735545</v>
      </c>
    </row>
    <row r="741" customFormat="false" ht="15" hidden="false" customHeight="false" outlineLevel="0" collapsed="false">
      <c r="A741" s="3" t="n">
        <v>45501</v>
      </c>
      <c r="B741" s="10" t="n">
        <v>0.00118936</v>
      </c>
      <c r="C741" s="5" t="n">
        <f aca="false">C740*(1+B741)</f>
        <v>8207.23678988482</v>
      </c>
      <c r="D741" s="10" t="n">
        <v>-0.00140657</v>
      </c>
      <c r="E741" s="5" t="n">
        <f aca="false">E740*(1+D741)</f>
        <v>11514.0388203821</v>
      </c>
      <c r="F741" s="4" t="n">
        <f aca="false">D741*Varsayımlar!$B$3</f>
        <v>-0.0017582125</v>
      </c>
      <c r="G741" s="5" t="n">
        <f aca="false">G740*(1+F741)</f>
        <v>17198.0958082227</v>
      </c>
    </row>
    <row r="742" customFormat="false" ht="15" hidden="false" customHeight="false" outlineLevel="0" collapsed="false">
      <c r="A742" s="3" t="n">
        <v>45502</v>
      </c>
      <c r="B742" s="10" t="n">
        <v>-0.00444137</v>
      </c>
      <c r="C742" s="5" t="n">
        <f aca="false">C741*(1+B742)</f>
        <v>8170.78541462333</v>
      </c>
      <c r="D742" s="10" t="n">
        <v>0.00281881</v>
      </c>
      <c r="E742" s="5" t="n">
        <f aca="false">E741*(1+D742)</f>
        <v>11546.4947081494</v>
      </c>
      <c r="F742" s="4" t="n">
        <f aca="false">D742*Varsayımlar!$B$3</f>
        <v>0.0035235125</v>
      </c>
      <c r="G742" s="5" t="n">
        <f aca="false">G741*(1+F742)</f>
        <v>17258.6935137792</v>
      </c>
    </row>
    <row r="743" customFormat="false" ht="15" hidden="false" customHeight="false" outlineLevel="0" collapsed="false">
      <c r="A743" s="3" t="n">
        <v>45503</v>
      </c>
      <c r="B743" s="10" t="n">
        <v>-0.00826899</v>
      </c>
      <c r="C743" s="5" t="n">
        <f aca="false">C742*(1+B743)</f>
        <v>8103.22127173766</v>
      </c>
      <c r="D743" s="10" t="n">
        <v>0.00227293</v>
      </c>
      <c r="E743" s="5" t="n">
        <f aca="false">E742*(1+D743)</f>
        <v>11572.7390823664</v>
      </c>
      <c r="F743" s="4" t="n">
        <f aca="false">D743*Varsayımlar!$B$3</f>
        <v>0.0028411625</v>
      </c>
      <c r="G743" s="5" t="n">
        <f aca="false">G742*(1+F743)</f>
        <v>17307.7282665895</v>
      </c>
    </row>
    <row r="744" customFormat="false" ht="15" hidden="false" customHeight="false" outlineLevel="0" collapsed="false">
      <c r="A744" s="3" t="n">
        <v>45504</v>
      </c>
      <c r="B744" s="10" t="n">
        <v>0.00107049</v>
      </c>
      <c r="C744" s="5" t="n">
        <f aca="false">C743*(1+B744)</f>
        <v>8111.89568907684</v>
      </c>
      <c r="D744" s="10" t="n">
        <v>-0.00185908</v>
      </c>
      <c r="E744" s="5" t="n">
        <f aca="false">E743*(1+D744)</f>
        <v>11551.2244345931</v>
      </c>
      <c r="F744" s="4" t="n">
        <f aca="false">D744*Varsayımlar!$B$3</f>
        <v>-0.00232385</v>
      </c>
      <c r="G744" s="5" t="n">
        <f aca="false">G743*(1+F744)</f>
        <v>17267.5077022572</v>
      </c>
    </row>
    <row r="745" customFormat="false" ht="15" hidden="false" customHeight="false" outlineLevel="0" collapsed="false">
      <c r="A745" s="3" t="n">
        <v>45505</v>
      </c>
      <c r="B745" s="10" t="n">
        <v>0.00842066</v>
      </c>
      <c r="C745" s="5" t="n">
        <f aca="false">C744*(1+B745)</f>
        <v>8180.20320463002</v>
      </c>
      <c r="D745" s="10" t="n">
        <v>0.01085302</v>
      </c>
      <c r="E745" s="5" t="n">
        <f aca="false">E744*(1+D745)</f>
        <v>11676.5901044062</v>
      </c>
      <c r="F745" s="4" t="n">
        <f aca="false">D745*Varsayımlar!$B$3</f>
        <v>0.013566275</v>
      </c>
      <c r="G745" s="5" t="n">
        <f aca="false">G744*(1+F745)</f>
        <v>17501.7634603107</v>
      </c>
    </row>
    <row r="746" customFormat="false" ht="15" hidden="false" customHeight="false" outlineLevel="0" collapsed="false">
      <c r="A746" s="3" t="n">
        <v>45506</v>
      </c>
      <c r="B746" s="10" t="n">
        <v>0.00676979</v>
      </c>
      <c r="C746" s="5" t="n">
        <f aca="false">C745*(1+B746)</f>
        <v>8235.5814624827</v>
      </c>
      <c r="D746" s="10" t="n">
        <v>0.01583416</v>
      </c>
      <c r="E746" s="5" t="n">
        <f aca="false">E745*(1+D746)</f>
        <v>11861.4791003738</v>
      </c>
      <c r="F746" s="4" t="n">
        <f aca="false">D746*Varsayımlar!$B$3</f>
        <v>0.0197927</v>
      </c>
      <c r="G746" s="5" t="n">
        <f aca="false">G745*(1+F746)</f>
        <v>17848.1706139515</v>
      </c>
    </row>
    <row r="747" customFormat="false" ht="15" hidden="false" customHeight="false" outlineLevel="0" collapsed="false">
      <c r="A747" s="3" t="n">
        <v>45507</v>
      </c>
      <c r="B747" s="10" t="n">
        <v>-0.00968723</v>
      </c>
      <c r="C747" s="5" t="n">
        <f aca="false">C746*(1+B747)</f>
        <v>8155.80149067189</v>
      </c>
      <c r="D747" s="10" t="n">
        <v>-0.00109074</v>
      </c>
      <c r="E747" s="5" t="n">
        <f aca="false">E746*(1+D747)</f>
        <v>11848.5413106599</v>
      </c>
      <c r="F747" s="4" t="n">
        <f aca="false">D747*Varsayımlar!$B$3</f>
        <v>-0.001363425</v>
      </c>
      <c r="G747" s="5" t="n">
        <f aca="false">G746*(1+F747)</f>
        <v>17823.8359719322</v>
      </c>
    </row>
    <row r="748" customFormat="false" ht="15" hidden="false" customHeight="false" outlineLevel="0" collapsed="false">
      <c r="A748" s="3" t="n">
        <v>45508</v>
      </c>
      <c r="B748" s="10" t="n">
        <v>0.00470461</v>
      </c>
      <c r="C748" s="5" t="n">
        <f aca="false">C747*(1+B748)</f>
        <v>8194.17135592292</v>
      </c>
      <c r="D748" s="10" t="n">
        <v>0.00600878</v>
      </c>
      <c r="E748" s="5" t="n">
        <f aca="false">E747*(1+D748)</f>
        <v>11919.7365887166</v>
      </c>
      <c r="F748" s="4" t="n">
        <f aca="false">D748*Varsayımlar!$B$3</f>
        <v>0.007510975</v>
      </c>
      <c r="G748" s="5" t="n">
        <f aca="false">G747*(1+F748)</f>
        <v>17957.7103583215</v>
      </c>
    </row>
    <row r="749" customFormat="false" ht="15" hidden="false" customHeight="false" outlineLevel="0" collapsed="false">
      <c r="A749" s="3" t="n">
        <v>45509</v>
      </c>
      <c r="B749" s="10" t="n">
        <v>-0.00193485</v>
      </c>
      <c r="C749" s="5" t="n">
        <f aca="false">C748*(1+B749)</f>
        <v>8178.31686347491</v>
      </c>
      <c r="D749" s="10" t="n">
        <v>0.00338943</v>
      </c>
      <c r="E749" s="5" t="n">
        <f aca="false">E748*(1+D749)</f>
        <v>11960.1377015025</v>
      </c>
      <c r="F749" s="4" t="n">
        <f aca="false">D749*Varsayımlar!$B$3</f>
        <v>0.0042367875</v>
      </c>
      <c r="G749" s="5" t="n">
        <f aca="false">G748*(1+F749)</f>
        <v>18033.7933610963</v>
      </c>
    </row>
    <row r="750" customFormat="false" ht="15" hidden="false" customHeight="false" outlineLevel="0" collapsed="false">
      <c r="A750" s="3" t="n">
        <v>45510</v>
      </c>
      <c r="B750" s="10" t="n">
        <v>0.01920622</v>
      </c>
      <c r="C750" s="5" t="n">
        <f aca="false">C749*(1+B750)</f>
        <v>8335.39141638452</v>
      </c>
      <c r="D750" s="10" t="n">
        <v>0.0090292</v>
      </c>
      <c r="E750" s="5" t="n">
        <f aca="false">E749*(1+D750)</f>
        <v>12068.1281768369</v>
      </c>
      <c r="F750" s="4" t="n">
        <f aca="false">D750*Varsayımlar!$B$3</f>
        <v>0.0112865</v>
      </c>
      <c r="G750" s="5" t="n">
        <f aca="false">G749*(1+F750)</f>
        <v>18237.3317698663</v>
      </c>
    </row>
    <row r="751" customFormat="false" ht="15" hidden="false" customHeight="false" outlineLevel="0" collapsed="false">
      <c r="A751" s="3" t="n">
        <v>45511</v>
      </c>
      <c r="B751" s="10" t="n">
        <v>-0.01538436</v>
      </c>
      <c r="C751" s="5" t="n">
        <f aca="false">C750*(1+B751)</f>
        <v>8207.15675409395</v>
      </c>
      <c r="D751" s="10" t="n">
        <v>-0.00992262</v>
      </c>
      <c r="E751" s="5" t="n">
        <f aca="false">E750*(1+D751)</f>
        <v>11948.3807268268</v>
      </c>
      <c r="F751" s="4" t="n">
        <f aca="false">D751*Varsayımlar!$B$3</f>
        <v>-0.012403275</v>
      </c>
      <c r="G751" s="5" t="n">
        <f aca="false">G750*(1+F751)</f>
        <v>18011.1291286584</v>
      </c>
    </row>
    <row r="752" customFormat="false" ht="15" hidden="false" customHeight="false" outlineLevel="0" collapsed="false">
      <c r="A752" s="3" t="n">
        <v>45512</v>
      </c>
      <c r="B752" s="10" t="n">
        <v>0.00789832</v>
      </c>
      <c r="C752" s="5" t="n">
        <f aca="false">C751*(1+B752)</f>
        <v>8271.97950442795</v>
      </c>
      <c r="D752" s="10" t="n">
        <v>-7.421E-005</v>
      </c>
      <c r="E752" s="5" t="n">
        <f aca="false">E751*(1+D752)</f>
        <v>11947.4940374931</v>
      </c>
      <c r="F752" s="4" t="n">
        <f aca="false">D752*Varsayımlar!$B$3</f>
        <v>-9.27625E-005</v>
      </c>
      <c r="G752" s="5" t="n">
        <f aca="false">G751*(1+F752)</f>
        <v>18009.4583712926</v>
      </c>
    </row>
    <row r="753" customFormat="false" ht="15" hidden="false" customHeight="false" outlineLevel="0" collapsed="false">
      <c r="A753" s="3" t="n">
        <v>45513</v>
      </c>
      <c r="B753" s="10" t="n">
        <v>0.00774265</v>
      </c>
      <c r="C753" s="5" t="n">
        <f aca="false">C752*(1+B753)</f>
        <v>8336.02654653791</v>
      </c>
      <c r="D753" s="10" t="n">
        <v>0.01561003</v>
      </c>
      <c r="E753" s="5" t="n">
        <f aca="false">E752*(1+D753)</f>
        <v>12133.9947778432</v>
      </c>
      <c r="F753" s="4" t="n">
        <f aca="false">D753*Varsayımlar!$B$3</f>
        <v>0.0195125375</v>
      </c>
      <c r="G753" s="5" t="n">
        <f aca="false">G752*(1+F753)</f>
        <v>18360.8686031171</v>
      </c>
    </row>
    <row r="754" customFormat="false" ht="15" hidden="false" customHeight="false" outlineLevel="0" collapsed="false">
      <c r="A754" s="3" t="n">
        <v>45514</v>
      </c>
      <c r="B754" s="10" t="n">
        <v>-0.0026959</v>
      </c>
      <c r="C754" s="5" t="n">
        <f aca="false">C753*(1+B754)</f>
        <v>8313.5534525711</v>
      </c>
      <c r="D754" s="10" t="n">
        <v>-0.00731771</v>
      </c>
      <c r="E754" s="5" t="n">
        <f aca="false">E753*(1+D754)</f>
        <v>12045.2017229174</v>
      </c>
      <c r="F754" s="4" t="n">
        <f aca="false">D754*Varsayımlar!$B$3</f>
        <v>-0.0091471375</v>
      </c>
      <c r="G754" s="5" t="n">
        <f aca="false">G753*(1+F754)</f>
        <v>18192.919213385</v>
      </c>
    </row>
    <row r="755" customFormat="false" ht="15" hidden="false" customHeight="false" outlineLevel="0" collapsed="false">
      <c r="A755" s="3" t="n">
        <v>45515</v>
      </c>
      <c r="B755" s="10" t="n">
        <v>-0.00217251</v>
      </c>
      <c r="C755" s="5" t="n">
        <f aca="false">C754*(1+B755)</f>
        <v>8295.49217455985</v>
      </c>
      <c r="D755" s="10" t="n">
        <v>0.00180049</v>
      </c>
      <c r="E755" s="5" t="n">
        <f aca="false">E754*(1+D755)</f>
        <v>12066.8889881675</v>
      </c>
      <c r="F755" s="4" t="n">
        <f aca="false">D755*Varsayımlar!$B$3</f>
        <v>0.0022506125</v>
      </c>
      <c r="G755" s="5" t="n">
        <f aca="false">G754*(1+F755)</f>
        <v>18233.8644247781</v>
      </c>
    </row>
    <row r="756" customFormat="false" ht="15" hidden="false" customHeight="false" outlineLevel="0" collapsed="false">
      <c r="A756" s="3" t="n">
        <v>45516</v>
      </c>
      <c r="B756" s="10" t="n">
        <v>-0.00075803</v>
      </c>
      <c r="C756" s="5" t="n">
        <f aca="false">C755*(1+B756)</f>
        <v>8289.20394262677</v>
      </c>
      <c r="D756" s="10" t="n">
        <v>-0.00667979</v>
      </c>
      <c r="E756" s="5" t="n">
        <f aca="false">E755*(1+D756)</f>
        <v>11986.2847037732</v>
      </c>
      <c r="F756" s="4" t="n">
        <f aca="false">D756*Varsayımlar!$B$3</f>
        <v>-0.0083497375</v>
      </c>
      <c r="G756" s="5" t="n">
        <f aca="false">G755*(1+F756)</f>
        <v>18081.6164432206</v>
      </c>
    </row>
    <row r="757" customFormat="false" ht="15" hidden="false" customHeight="false" outlineLevel="0" collapsed="false">
      <c r="A757" s="3" t="n">
        <v>45517</v>
      </c>
      <c r="B757" s="10" t="n">
        <v>-0.00587574</v>
      </c>
      <c r="C757" s="5" t="n">
        <f aca="false">C756*(1+B757)</f>
        <v>8240.49873545292</v>
      </c>
      <c r="D757" s="10" t="n">
        <v>-0.00857089</v>
      </c>
      <c r="E757" s="5" t="n">
        <f aca="false">E756*(1+D757)</f>
        <v>11883.5515760685</v>
      </c>
      <c r="F757" s="4" t="n">
        <f aca="false">D757*Varsayımlar!$B$3</f>
        <v>-0.0107136125</v>
      </c>
      <c r="G757" s="5" t="n">
        <f aca="false">G756*(1+F757)</f>
        <v>17887.8970112743</v>
      </c>
    </row>
    <row r="758" customFormat="false" ht="15" hidden="false" customHeight="false" outlineLevel="0" collapsed="false">
      <c r="A758" s="3" t="n">
        <v>45518</v>
      </c>
      <c r="B758" s="10" t="n">
        <v>0.00227492</v>
      </c>
      <c r="C758" s="5" t="n">
        <f aca="false">C757*(1+B758)</f>
        <v>8259.24521083618</v>
      </c>
      <c r="D758" s="10" t="n">
        <v>-0.00162971</v>
      </c>
      <c r="E758" s="5" t="n">
        <f aca="false">E757*(1+D758)</f>
        <v>11864.1848332295</v>
      </c>
      <c r="F758" s="4" t="n">
        <f aca="false">D758*Varsayımlar!$B$3</f>
        <v>-0.0020371375</v>
      </c>
      <c r="G758" s="5" t="n">
        <f aca="false">G757*(1+F758)</f>
        <v>17851.4569054765</v>
      </c>
    </row>
    <row r="759" customFormat="false" ht="15" hidden="false" customHeight="false" outlineLevel="0" collapsed="false">
      <c r="A759" s="3" t="n">
        <v>45519</v>
      </c>
      <c r="B759" s="10" t="n">
        <v>-0.0028844</v>
      </c>
      <c r="C759" s="5" t="n">
        <f aca="false">C758*(1+B759)</f>
        <v>8235.42224395004</v>
      </c>
      <c r="D759" s="10" t="n">
        <v>-0.00082952</v>
      </c>
      <c r="E759" s="5" t="n">
        <f aca="false">E758*(1+D759)</f>
        <v>11854.3432546266</v>
      </c>
      <c r="F759" s="4" t="n">
        <f aca="false">D759*Varsayımlar!$B$3</f>
        <v>-0.0010369</v>
      </c>
      <c r="G759" s="5" t="n">
        <f aca="false">G758*(1+F759)</f>
        <v>17832.9467298112</v>
      </c>
    </row>
    <row r="760" customFormat="false" ht="15" hidden="false" customHeight="false" outlineLevel="0" collapsed="false">
      <c r="A760" s="3" t="n">
        <v>45520</v>
      </c>
      <c r="B760" s="10" t="n">
        <v>-0.00262917</v>
      </c>
      <c r="C760" s="5" t="n">
        <f aca="false">C759*(1+B760)</f>
        <v>8213.76991884891</v>
      </c>
      <c r="D760" s="10" t="n">
        <v>-0.00346618</v>
      </c>
      <c r="E760" s="5" t="n">
        <f aca="false">E759*(1+D760)</f>
        <v>11813.2539671243</v>
      </c>
      <c r="F760" s="4" t="n">
        <f aca="false">D760*Varsayımlar!$B$3</f>
        <v>-0.004332725</v>
      </c>
      <c r="G760" s="5" t="n">
        <f aca="false">G759*(1+F760)</f>
        <v>17755.6814756913</v>
      </c>
    </row>
    <row r="761" customFormat="false" ht="15" hidden="false" customHeight="false" outlineLevel="0" collapsed="false">
      <c r="A761" s="3" t="n">
        <v>45521</v>
      </c>
      <c r="B761" s="10" t="n">
        <v>-0.00904543</v>
      </c>
      <c r="C761" s="5" t="n">
        <f aca="false">C760*(1+B761)</f>
        <v>8139.47283801186</v>
      </c>
      <c r="D761" s="10" t="n">
        <v>-0.01401561</v>
      </c>
      <c r="E761" s="5" t="n">
        <f aca="false">E760*(1+D761)</f>
        <v>11647.6840066901</v>
      </c>
      <c r="F761" s="4" t="n">
        <f aca="false">D761*Varsayımlar!$B$3</f>
        <v>-0.0175195125</v>
      </c>
      <c r="G761" s="5" t="n">
        <f aca="false">G760*(1+F761)</f>
        <v>17444.6105921319</v>
      </c>
    </row>
    <row r="762" customFormat="false" ht="15" hidden="false" customHeight="false" outlineLevel="0" collapsed="false">
      <c r="A762" s="3" t="n">
        <v>45522</v>
      </c>
      <c r="B762" s="10" t="n">
        <v>0.00301909</v>
      </c>
      <c r="C762" s="5" t="n">
        <f aca="false">C761*(1+B762)</f>
        <v>8164.04663906237</v>
      </c>
      <c r="D762" s="10" t="n">
        <v>0.00043384</v>
      </c>
      <c r="E762" s="5" t="n">
        <f aca="false">E761*(1+D762)</f>
        <v>11652.7372379196</v>
      </c>
      <c r="F762" s="4" t="n">
        <f aca="false">D762*Varsayımlar!$B$3</f>
        <v>0.0005423</v>
      </c>
      <c r="G762" s="5" t="n">
        <f aca="false">G761*(1+F762)</f>
        <v>17454.070804456</v>
      </c>
    </row>
    <row r="763" customFormat="false" ht="15" hidden="false" customHeight="false" outlineLevel="0" collapsed="false">
      <c r="A763" s="3" t="n">
        <v>45523</v>
      </c>
      <c r="B763" s="10" t="n">
        <v>-0.00134713</v>
      </c>
      <c r="C763" s="5" t="n">
        <f aca="false">C762*(1+B763)</f>
        <v>8153.04860691349</v>
      </c>
      <c r="D763" s="10" t="n">
        <v>-0.00422451</v>
      </c>
      <c r="E763" s="5" t="n">
        <f aca="false">E762*(1+D763)</f>
        <v>11603.5101329306</v>
      </c>
      <c r="F763" s="4" t="n">
        <f aca="false">D763*Varsayımlar!$B$3</f>
        <v>-0.0052806375</v>
      </c>
      <c r="G763" s="5" t="n">
        <f aca="false">G762*(1+F763)</f>
        <v>17361.9021836384</v>
      </c>
    </row>
    <row r="764" customFormat="false" ht="15" hidden="false" customHeight="false" outlineLevel="0" collapsed="false">
      <c r="A764" s="3" t="n">
        <v>45524</v>
      </c>
      <c r="B764" s="10" t="n">
        <v>-0.00251901</v>
      </c>
      <c r="C764" s="5" t="n">
        <f aca="false">C763*(1+B764)</f>
        <v>8132.51099594219</v>
      </c>
      <c r="D764" s="10" t="n">
        <v>0.00089794</v>
      </c>
      <c r="E764" s="5" t="n">
        <f aca="false">E763*(1+D764)</f>
        <v>11613.9293888194</v>
      </c>
      <c r="F764" s="4" t="n">
        <f aca="false">D764*Varsayımlar!$B$3</f>
        <v>0.001122425</v>
      </c>
      <c r="G764" s="5" t="n">
        <f aca="false">G763*(1+F764)</f>
        <v>17381.3896166968</v>
      </c>
    </row>
    <row r="765" customFormat="false" ht="15" hidden="false" customHeight="false" outlineLevel="0" collapsed="false">
      <c r="A765" s="3" t="n">
        <v>45525</v>
      </c>
      <c r="B765" s="10" t="n">
        <v>0.00279699</v>
      </c>
      <c r="C765" s="5" t="n">
        <f aca="false">C764*(1+B765)</f>
        <v>8155.25754787273</v>
      </c>
      <c r="D765" s="10" t="n">
        <v>-0.00255417</v>
      </c>
      <c r="E765" s="5" t="n">
        <f aca="false">E764*(1+D765)</f>
        <v>11584.2654387923</v>
      </c>
      <c r="F765" s="4" t="n">
        <f aca="false">D765*Varsayımlar!$B$3</f>
        <v>-0.0031927125</v>
      </c>
      <c r="G765" s="5" t="n">
        <f aca="false">G764*(1+F765)</f>
        <v>17325.8958368002</v>
      </c>
    </row>
    <row r="766" customFormat="false" ht="15" hidden="false" customHeight="false" outlineLevel="0" collapsed="false">
      <c r="A766" s="3" t="n">
        <v>45526</v>
      </c>
      <c r="B766" s="10" t="n">
        <v>-0.00250583</v>
      </c>
      <c r="C766" s="5" t="n">
        <f aca="false">C765*(1+B766)</f>
        <v>8134.82185885155</v>
      </c>
      <c r="D766" s="10" t="n">
        <v>-0.00520821</v>
      </c>
      <c r="E766" s="5" t="n">
        <f aca="false">E765*(1+D766)</f>
        <v>11523.9321516914</v>
      </c>
      <c r="F766" s="4" t="n">
        <f aca="false">D766*Varsayımlar!$B$3</f>
        <v>-0.0065102625</v>
      </c>
      <c r="G766" s="5" t="n">
        <f aca="false">G765*(1+F766)</f>
        <v>17213.099706855</v>
      </c>
    </row>
    <row r="767" customFormat="false" ht="15" hidden="false" customHeight="false" outlineLevel="0" collapsed="false">
      <c r="A767" s="3" t="n">
        <v>45527</v>
      </c>
      <c r="B767" s="10" t="n">
        <v>-0.00923745</v>
      </c>
      <c r="C767" s="5" t="n">
        <f aca="false">C766*(1+B767)</f>
        <v>8059.6768486715</v>
      </c>
      <c r="D767" s="10" t="n">
        <v>-0.01524829</v>
      </c>
      <c r="E767" s="5" t="n">
        <f aca="false">E766*(1+D767)</f>
        <v>11348.211892302</v>
      </c>
      <c r="F767" s="4" t="n">
        <f aca="false">D767*Varsayımlar!$B$3</f>
        <v>-0.0190603625</v>
      </c>
      <c r="G767" s="5" t="n">
        <f aca="false">G766*(1+F767)</f>
        <v>16885.0117866937</v>
      </c>
    </row>
    <row r="768" customFormat="false" ht="15" hidden="false" customHeight="false" outlineLevel="0" collapsed="false">
      <c r="A768" s="3" t="n">
        <v>45528</v>
      </c>
      <c r="B768" s="10" t="n">
        <v>-0.0051902</v>
      </c>
      <c r="C768" s="5" t="n">
        <f aca="false">C767*(1+B768)</f>
        <v>8017.84551389152</v>
      </c>
      <c r="D768" s="10" t="n">
        <v>-0.0075787</v>
      </c>
      <c r="E768" s="5" t="n">
        <f aca="false">E767*(1+D768)</f>
        <v>11262.2071988339</v>
      </c>
      <c r="F768" s="4" t="n">
        <f aca="false">D768*Varsayımlar!$B$3</f>
        <v>-0.009473375</v>
      </c>
      <c r="G768" s="5" t="n">
        <f aca="false">G767*(1+F768)</f>
        <v>16725.0537381589</v>
      </c>
    </row>
    <row r="769" customFormat="false" ht="15" hidden="false" customHeight="false" outlineLevel="0" collapsed="false">
      <c r="A769" s="3" t="n">
        <v>45529</v>
      </c>
      <c r="B769" s="10" t="n">
        <v>0.01185368</v>
      </c>
      <c r="C769" s="5" t="n">
        <f aca="false">C768*(1+B769)</f>
        <v>8112.88648890263</v>
      </c>
      <c r="D769" s="10" t="n">
        <v>0.0123726</v>
      </c>
      <c r="E769" s="5" t="n">
        <f aca="false">E768*(1+D769)</f>
        <v>11401.5499836221</v>
      </c>
      <c r="F769" s="4" t="n">
        <f aca="false">D769*Varsayımlar!$B$3</f>
        <v>0.01546575</v>
      </c>
      <c r="G769" s="5" t="n">
        <f aca="false">G768*(1+F769)</f>
        <v>16983.7192380099</v>
      </c>
    </row>
    <row r="770" customFormat="false" ht="15" hidden="false" customHeight="false" outlineLevel="0" collapsed="false">
      <c r="A770" s="3" t="n">
        <v>45530</v>
      </c>
      <c r="B770" s="10" t="n">
        <v>0.00190001</v>
      </c>
      <c r="C770" s="5" t="n">
        <f aca="false">C769*(1+B770)</f>
        <v>8128.30105436041</v>
      </c>
      <c r="D770" s="10" t="n">
        <v>0.00597064</v>
      </c>
      <c r="E770" s="5" t="n">
        <f aca="false">E769*(1+D770)</f>
        <v>11469.6245340164</v>
      </c>
      <c r="F770" s="4" t="n">
        <f aca="false">D770*Varsayımlar!$B$3</f>
        <v>0.0074633</v>
      </c>
      <c r="G770" s="5" t="n">
        <f aca="false">G769*(1+F770)</f>
        <v>17110.4738297989</v>
      </c>
    </row>
    <row r="771" customFormat="false" ht="15" hidden="false" customHeight="false" outlineLevel="0" collapsed="false">
      <c r="A771" s="3" t="n">
        <v>45531</v>
      </c>
      <c r="B771" s="10" t="n">
        <v>0.00341012</v>
      </c>
      <c r="C771" s="5" t="n">
        <f aca="false">C770*(1+B771)</f>
        <v>8156.0195363519</v>
      </c>
      <c r="D771" s="10" t="n">
        <v>0.00363859</v>
      </c>
      <c r="E771" s="5" t="n">
        <f aca="false">E770*(1+D771)</f>
        <v>11511.3577951496</v>
      </c>
      <c r="F771" s="4" t="n">
        <f aca="false">D771*Varsayımlar!$B$3</f>
        <v>0.0045482375</v>
      </c>
      <c r="G771" s="5" t="n">
        <f aca="false">G770*(1+F771)</f>
        <v>17188.2963285144</v>
      </c>
    </row>
    <row r="772" customFormat="false" ht="15" hidden="false" customHeight="false" outlineLevel="0" collapsed="false">
      <c r="A772" s="3" t="n">
        <v>45532</v>
      </c>
      <c r="B772" s="10" t="n">
        <v>-0.00800424</v>
      </c>
      <c r="C772" s="5" t="n">
        <f aca="false">C771*(1+B772)</f>
        <v>8090.73679853826</v>
      </c>
      <c r="D772" s="10" t="n">
        <v>-0.0073544</v>
      </c>
      <c r="E772" s="5" t="n">
        <f aca="false">E771*(1+D772)</f>
        <v>11426.6986653809</v>
      </c>
      <c r="F772" s="4" t="n">
        <f aca="false">D772*Varsayımlar!$B$3</f>
        <v>-0.009193</v>
      </c>
      <c r="G772" s="5" t="n">
        <f aca="false">G771*(1+F772)</f>
        <v>17030.2843203663</v>
      </c>
    </row>
    <row r="773" customFormat="false" ht="15" hidden="false" customHeight="false" outlineLevel="0" collapsed="false">
      <c r="A773" s="3" t="n">
        <v>45533</v>
      </c>
      <c r="B773" s="10" t="n">
        <v>-0.00355586</v>
      </c>
      <c r="C773" s="5" t="n">
        <f aca="false">C772*(1+B773)</f>
        <v>8061.96727118581</v>
      </c>
      <c r="D773" s="10" t="n">
        <v>-0.004213</v>
      </c>
      <c r="E773" s="5" t="n">
        <f aca="false">E772*(1+D773)</f>
        <v>11378.5579839037</v>
      </c>
      <c r="F773" s="4" t="n">
        <f aca="false">D773*Varsayımlar!$B$3</f>
        <v>-0.00526625</v>
      </c>
      <c r="G773" s="5" t="n">
        <f aca="false">G772*(1+F773)</f>
        <v>16940.5985855642</v>
      </c>
    </row>
    <row r="774" customFormat="false" ht="15" hidden="false" customHeight="false" outlineLevel="0" collapsed="false">
      <c r="A774" s="3" t="n">
        <v>45534</v>
      </c>
      <c r="B774" s="10" t="n">
        <v>0.00505992</v>
      </c>
      <c r="C774" s="5" t="n">
        <f aca="false">C773*(1+B774)</f>
        <v>8102.76018062063</v>
      </c>
      <c r="D774" s="10" t="n">
        <v>0.00208795</v>
      </c>
      <c r="E774" s="5" t="n">
        <f aca="false">E773*(1+D774)</f>
        <v>11402.3158440462</v>
      </c>
      <c r="F774" s="4" t="n">
        <f aca="false">D774*Varsayımlar!$B$3</f>
        <v>0.0026099375</v>
      </c>
      <c r="G774" s="5" t="n">
        <f aca="false">G773*(1+F774)</f>
        <v>16984.8124890851</v>
      </c>
    </row>
    <row r="775" customFormat="false" ht="15" hidden="false" customHeight="false" outlineLevel="0" collapsed="false">
      <c r="A775" s="3" t="n">
        <v>45535</v>
      </c>
      <c r="B775" s="10" t="n">
        <v>-0.00487276</v>
      </c>
      <c r="C775" s="5" t="n">
        <f aca="false">C774*(1+B775)</f>
        <v>8063.2773749229</v>
      </c>
      <c r="D775" s="10" t="n">
        <v>-0.00575733</v>
      </c>
      <c r="E775" s="5" t="n">
        <f aca="false">E774*(1+D775)</f>
        <v>11336.6689489678</v>
      </c>
      <c r="F775" s="4" t="n">
        <f aca="false">D775*Varsayımlar!$B$3</f>
        <v>-0.0071966625</v>
      </c>
      <c r="G775" s="5" t="n">
        <f aca="false">G774*(1+F775)</f>
        <v>16862.5785259754</v>
      </c>
    </row>
    <row r="776" customFormat="false" ht="15" hidden="false" customHeight="false" outlineLevel="0" collapsed="false">
      <c r="A776" s="3" t="n">
        <v>45536</v>
      </c>
      <c r="B776" s="10" t="n">
        <v>-0.00658792</v>
      </c>
      <c r="C776" s="5" t="n">
        <f aca="false">C775*(1+B776)</f>
        <v>8010.1571486391</v>
      </c>
      <c r="D776" s="10" t="n">
        <v>-0.00350983</v>
      </c>
      <c r="E776" s="5" t="n">
        <f aca="false">E775*(1+D776)</f>
        <v>11296.8791681906</v>
      </c>
      <c r="F776" s="4" t="n">
        <f aca="false">D776*Varsayımlar!$B$3</f>
        <v>-0.0043872875</v>
      </c>
      <c r="G776" s="5" t="n">
        <f aca="false">G775*(1+F776)</f>
        <v>16788.5975459906</v>
      </c>
    </row>
    <row r="777" customFormat="false" ht="15" hidden="false" customHeight="false" outlineLevel="0" collapsed="false">
      <c r="A777" s="3" t="n">
        <v>45537</v>
      </c>
      <c r="B777" s="10" t="n">
        <v>0.01822821</v>
      </c>
      <c r="C777" s="5" t="n">
        <f aca="false">C776*(1+B777)</f>
        <v>8156.1679752775</v>
      </c>
      <c r="D777" s="10" t="n">
        <v>0.01244317</v>
      </c>
      <c r="E777" s="5" t="n">
        <f aca="false">E776*(1+D777)</f>
        <v>11437.4481561499</v>
      </c>
      <c r="F777" s="4" t="n">
        <f aca="false">D777*Varsayımlar!$B$3</f>
        <v>0.0155539625</v>
      </c>
      <c r="G777" s="5" t="n">
        <f aca="false">G776*(1+F777)</f>
        <v>17049.7267626485</v>
      </c>
    </row>
    <row r="778" customFormat="false" ht="15" hidden="false" customHeight="false" outlineLevel="0" collapsed="false">
      <c r="A778" s="3" t="n">
        <v>45538</v>
      </c>
      <c r="B778" s="10" t="n">
        <v>0.00402009</v>
      </c>
      <c r="C778" s="5" t="n">
        <f aca="false">C777*(1+B778)</f>
        <v>8188.95650459323</v>
      </c>
      <c r="D778" s="10" t="n">
        <v>0.00301545</v>
      </c>
      <c r="E778" s="5" t="n">
        <f aca="false">E777*(1+D778)</f>
        <v>11471.9372091923</v>
      </c>
      <c r="F778" s="4" t="n">
        <f aca="false">D778*Varsayımlar!$B$3</f>
        <v>0.0037693125</v>
      </c>
      <c r="G778" s="5" t="n">
        <f aca="false">G777*(1+F778)</f>
        <v>17113.9925108566</v>
      </c>
    </row>
    <row r="779" customFormat="false" ht="15" hidden="false" customHeight="false" outlineLevel="0" collapsed="false">
      <c r="A779" s="3" t="n">
        <v>45539</v>
      </c>
      <c r="B779" s="10" t="n">
        <v>0.01091586</v>
      </c>
      <c r="C779" s="5" t="n">
        <f aca="false">C778*(1+B779)</f>
        <v>8278.34600734346</v>
      </c>
      <c r="D779" s="10" t="n">
        <v>0.01062768</v>
      </c>
      <c r="E779" s="5" t="n">
        <f aca="false">E778*(1+D779)</f>
        <v>11593.8572868317</v>
      </c>
      <c r="F779" s="4" t="n">
        <f aca="false">D779*Varsayımlar!$B$3</f>
        <v>0.0132846</v>
      </c>
      <c r="G779" s="5" t="n">
        <f aca="false">G778*(1+F779)</f>
        <v>17341.3450557663</v>
      </c>
    </row>
    <row r="780" customFormat="false" ht="15" hidden="false" customHeight="false" outlineLevel="0" collapsed="false">
      <c r="A780" s="3" t="n">
        <v>45540</v>
      </c>
      <c r="B780" s="10" t="n">
        <v>-0.0123566</v>
      </c>
      <c r="C780" s="5" t="n">
        <f aca="false">C779*(1+B780)</f>
        <v>8176.05379706912</v>
      </c>
      <c r="D780" s="10" t="n">
        <v>-0.01044601</v>
      </c>
      <c r="E780" s="5" t="n">
        <f aca="false">E779*(1+D780)</f>
        <v>11472.7477376749</v>
      </c>
      <c r="F780" s="4" t="n">
        <f aca="false">D780*Varsayımlar!$B$3</f>
        <v>-0.0130575125</v>
      </c>
      <c r="G780" s="5" t="n">
        <f aca="false">G779*(1+F780)</f>
        <v>17114.9102259338</v>
      </c>
    </row>
    <row r="781" customFormat="false" ht="15" hidden="false" customHeight="false" outlineLevel="0" collapsed="false">
      <c r="A781" s="3" t="n">
        <v>45541</v>
      </c>
      <c r="B781" s="10" t="n">
        <v>0.005456</v>
      </c>
      <c r="C781" s="5" t="n">
        <f aca="false">C780*(1+B781)</f>
        <v>8220.66234658593</v>
      </c>
      <c r="D781" s="10" t="n">
        <v>0.00687369</v>
      </c>
      <c r="E781" s="5" t="n">
        <f aca="false">E780*(1+D781)</f>
        <v>11551.6078490719</v>
      </c>
      <c r="F781" s="4" t="n">
        <f aca="false">D781*Varsayımlar!$B$3</f>
        <v>0.0085921125</v>
      </c>
      <c r="G781" s="5" t="n">
        <f aca="false">G780*(1+F781)</f>
        <v>17261.9634600224</v>
      </c>
    </row>
    <row r="782" customFormat="false" ht="15" hidden="false" customHeight="false" outlineLevel="0" collapsed="false">
      <c r="A782" s="3" t="n">
        <v>45542</v>
      </c>
      <c r="B782" s="10" t="n">
        <v>0.00196374</v>
      </c>
      <c r="C782" s="5" t="n">
        <f aca="false">C781*(1+B782)</f>
        <v>8236.80559006241</v>
      </c>
      <c r="D782" s="10" t="n">
        <v>0.00197118</v>
      </c>
      <c r="E782" s="5" t="n">
        <f aca="false">E781*(1+D782)</f>
        <v>11574.3781474318</v>
      </c>
      <c r="F782" s="4" t="n">
        <f aca="false">D782*Varsayımlar!$B$3</f>
        <v>0.002463975</v>
      </c>
      <c r="G782" s="5" t="n">
        <f aca="false">G781*(1+F782)</f>
        <v>17304.4965064389</v>
      </c>
    </row>
    <row r="783" customFormat="false" ht="15" hidden="false" customHeight="false" outlineLevel="0" collapsed="false">
      <c r="A783" s="3" t="n">
        <v>45543</v>
      </c>
      <c r="B783" s="10" t="n">
        <v>-0.00033254</v>
      </c>
      <c r="C783" s="5" t="n">
        <f aca="false">C782*(1+B783)</f>
        <v>8234.06652273149</v>
      </c>
      <c r="D783" s="10" t="n">
        <v>-0.00115584</v>
      </c>
      <c r="E783" s="5" t="n">
        <f aca="false">E782*(1+D783)</f>
        <v>11561.0000181939</v>
      </c>
      <c r="F783" s="4" t="n">
        <f aca="false">D783*Varsayımlar!$B$3</f>
        <v>-0.0014448</v>
      </c>
      <c r="G783" s="5" t="n">
        <f aca="false">G782*(1+F783)</f>
        <v>17279.4949698863</v>
      </c>
    </row>
    <row r="784" customFormat="false" ht="15" hidden="false" customHeight="false" outlineLevel="0" collapsed="false">
      <c r="A784" s="3" t="n">
        <v>45544</v>
      </c>
      <c r="B784" s="10" t="n">
        <v>-0.00019861</v>
      </c>
      <c r="C784" s="5" t="n">
        <f aca="false">C783*(1+B784)</f>
        <v>8232.43115477941</v>
      </c>
      <c r="D784" s="10" t="n">
        <v>-0.00158142</v>
      </c>
      <c r="E784" s="5" t="n">
        <f aca="false">E783*(1+D784)</f>
        <v>11542.7172215451</v>
      </c>
      <c r="F784" s="4" t="n">
        <f aca="false">D784*Varsayımlar!$B$3</f>
        <v>-0.001976775</v>
      </c>
      <c r="G784" s="5" t="n">
        <f aca="false">G783*(1+F784)</f>
        <v>17245.3372962172</v>
      </c>
    </row>
    <row r="785" customFormat="false" ht="15" hidden="false" customHeight="false" outlineLevel="0" collapsed="false">
      <c r="A785" s="3" t="n">
        <v>45545</v>
      </c>
      <c r="B785" s="10" t="n">
        <v>-0.01543535</v>
      </c>
      <c r="C785" s="5" t="n">
        <f aca="false">C784*(1+B785)</f>
        <v>8105.36069855449</v>
      </c>
      <c r="D785" s="10" t="n">
        <v>-0.01625031</v>
      </c>
      <c r="E785" s="5" t="n">
        <f aca="false">E784*(1+D785)</f>
        <v>11355.1444884527</v>
      </c>
      <c r="F785" s="4" t="n">
        <f aca="false">D785*Varsayımlar!$B$3</f>
        <v>-0.0203128875</v>
      </c>
      <c r="G785" s="5" t="n">
        <f aca="false">G784*(1+F785)</f>
        <v>16895.0346998196</v>
      </c>
    </row>
    <row r="786" customFormat="false" ht="15" hidden="false" customHeight="false" outlineLevel="0" collapsed="false">
      <c r="A786" s="3" t="n">
        <v>45546</v>
      </c>
      <c r="B786" s="10" t="n">
        <v>-0.0035497</v>
      </c>
      <c r="C786" s="5" t="n">
        <f aca="false">C785*(1+B786)</f>
        <v>8076.58909968283</v>
      </c>
      <c r="D786" s="10" t="n">
        <v>-0.00222828</v>
      </c>
      <c r="E786" s="5" t="n">
        <f aca="false">E785*(1+D786)</f>
        <v>11329.8420470919</v>
      </c>
      <c r="F786" s="4" t="n">
        <f aca="false">D786*Varsayımlar!$B$3</f>
        <v>-0.00278535</v>
      </c>
      <c r="G786" s="5" t="n">
        <f aca="false">G785*(1+F786)</f>
        <v>16847.9761149185</v>
      </c>
    </row>
    <row r="787" customFormat="false" ht="15" hidden="false" customHeight="false" outlineLevel="0" collapsed="false">
      <c r="A787" s="3" t="n">
        <v>45547</v>
      </c>
      <c r="B787" s="10" t="n">
        <v>-0.00036565</v>
      </c>
      <c r="C787" s="5" t="n">
        <f aca="false">C786*(1+B787)</f>
        <v>8073.63589487853</v>
      </c>
      <c r="D787" s="10" t="n">
        <v>0.00142804</v>
      </c>
      <c r="E787" s="5" t="n">
        <f aca="false">E786*(1+D787)</f>
        <v>11346.0215147289</v>
      </c>
      <c r="F787" s="4" t="n">
        <f aca="false">D787*Varsayımlar!$B$3</f>
        <v>0.00178505</v>
      </c>
      <c r="G787" s="5" t="n">
        <f aca="false">G786*(1+F787)</f>
        <v>16878.0505946824</v>
      </c>
    </row>
    <row r="788" customFormat="false" ht="15" hidden="false" customHeight="false" outlineLevel="0" collapsed="false">
      <c r="A788" s="3" t="n">
        <v>45548</v>
      </c>
      <c r="B788" s="10" t="n">
        <v>-0.00732304</v>
      </c>
      <c r="C788" s="5" t="n">
        <f aca="false">C787*(1+B788)</f>
        <v>8014.5123362749</v>
      </c>
      <c r="D788" s="10" t="n">
        <v>-0.01121848</v>
      </c>
      <c r="E788" s="5" t="n">
        <f aca="false">E787*(1+D788)</f>
        <v>11218.7363992863</v>
      </c>
      <c r="F788" s="4" t="n">
        <f aca="false">D788*Varsayımlar!$B$3</f>
        <v>-0.0140231</v>
      </c>
      <c r="G788" s="5" t="n">
        <f aca="false">G787*(1+F788)</f>
        <v>16641.3680033881</v>
      </c>
    </row>
    <row r="789" customFormat="false" ht="15" hidden="false" customHeight="false" outlineLevel="0" collapsed="false">
      <c r="A789" s="3" t="n">
        <v>45549</v>
      </c>
      <c r="B789" s="10" t="n">
        <v>0.00542054</v>
      </c>
      <c r="C789" s="5" t="n">
        <f aca="false">C788*(1+B789)</f>
        <v>8057.95532097417</v>
      </c>
      <c r="D789" s="10" t="n">
        <v>0.00982825</v>
      </c>
      <c r="E789" s="5" t="n">
        <f aca="false">E788*(1+D789)</f>
        <v>11328.9969453026</v>
      </c>
      <c r="F789" s="4" t="n">
        <f aca="false">D789*Varsayımlar!$B$3</f>
        <v>0.0122853125</v>
      </c>
      <c r="G789" s="5" t="n">
        <f aca="false">G788*(1+F789)</f>
        <v>16845.8124097373</v>
      </c>
    </row>
    <row r="790" customFormat="false" ht="15" hidden="false" customHeight="false" outlineLevel="0" collapsed="false">
      <c r="A790" s="3" t="n">
        <v>45550</v>
      </c>
      <c r="B790" s="10" t="n">
        <v>0.044279</v>
      </c>
      <c r="C790" s="5" t="n">
        <f aca="false">C789*(1+B790)</f>
        <v>8414.75352463159</v>
      </c>
      <c r="D790" s="10" t="n">
        <v>0.04821052</v>
      </c>
      <c r="E790" s="5" t="n">
        <f aca="false">E789*(1+D790)</f>
        <v>11875.173779114</v>
      </c>
      <c r="F790" s="4" t="n">
        <f aca="false">D790*Varsayımlar!$B$3</f>
        <v>0.06026315</v>
      </c>
      <c r="G790" s="5" t="n">
        <f aca="false">G789*(1+F790)</f>
        <v>17860.9941298571</v>
      </c>
    </row>
    <row r="791" customFormat="false" ht="15" hidden="false" customHeight="false" outlineLevel="0" collapsed="false">
      <c r="A791" s="3" t="n">
        <v>45551</v>
      </c>
      <c r="B791" s="10" t="n">
        <v>0.00853125</v>
      </c>
      <c r="C791" s="5" t="n">
        <f aca="false">C790*(1+B791)</f>
        <v>8486.5418906386</v>
      </c>
      <c r="D791" s="10" t="n">
        <v>0.00883514</v>
      </c>
      <c r="E791" s="5" t="n">
        <f aca="false">E790*(1+D791)</f>
        <v>11980.0926019768</v>
      </c>
      <c r="F791" s="4" t="n">
        <f aca="false">D791*Varsayımlar!$B$3</f>
        <v>0.011043925</v>
      </c>
      <c r="G791" s="5" t="n">
        <f aca="false">G790*(1+F791)</f>
        <v>18058.2496094527</v>
      </c>
    </row>
    <row r="792" customFormat="false" ht="15" hidden="false" customHeight="false" outlineLevel="0" collapsed="false">
      <c r="A792" s="3" t="n">
        <v>45552</v>
      </c>
      <c r="B792" s="10" t="n">
        <v>0.01077975</v>
      </c>
      <c r="C792" s="5" t="n">
        <f aca="false">C791*(1+B792)</f>
        <v>8578.02469058421</v>
      </c>
      <c r="D792" s="10" t="n">
        <v>0.01182953</v>
      </c>
      <c r="E792" s="5" t="n">
        <f aca="false">E791*(1+D792)</f>
        <v>12121.8114668147</v>
      </c>
      <c r="F792" s="4" t="n">
        <f aca="false">D792*Varsayımlar!$B$3</f>
        <v>0.0147869125</v>
      </c>
      <c r="G792" s="5" t="n">
        <f aca="false">G791*(1+F792)</f>
        <v>18325.2753663308</v>
      </c>
    </row>
    <row r="793" customFormat="false" ht="15" hidden="false" customHeight="false" outlineLevel="0" collapsed="false">
      <c r="A793" s="3" t="n">
        <v>45553</v>
      </c>
      <c r="B793" s="10" t="n">
        <v>0.04136674</v>
      </c>
      <c r="C793" s="5" t="n">
        <f aca="false">C792*(1+B793)</f>
        <v>8932.86960767319</v>
      </c>
      <c r="D793" s="10" t="n">
        <v>0.0390537</v>
      </c>
      <c r="E793" s="5" t="n">
        <f aca="false">E792*(1+D793)</f>
        <v>12595.2130552963</v>
      </c>
      <c r="F793" s="4" t="n">
        <f aca="false">D793*Varsayımlar!$B$3</f>
        <v>0.048817125</v>
      </c>
      <c r="G793" s="5" t="n">
        <f aca="false">G792*(1+F793)</f>
        <v>19219.8626245484</v>
      </c>
    </row>
    <row r="794" customFormat="false" ht="15" hidden="false" customHeight="false" outlineLevel="0" collapsed="false">
      <c r="A794" s="3" t="n">
        <v>45554</v>
      </c>
      <c r="B794" s="10" t="n">
        <v>-0.00068827</v>
      </c>
      <c r="C794" s="5" t="n">
        <f aca="false">C793*(1+B794)</f>
        <v>8926.72138150832</v>
      </c>
      <c r="D794" s="10" t="n">
        <v>0.00334104</v>
      </c>
      <c r="E794" s="5" t="n">
        <f aca="false">E793*(1+D794)</f>
        <v>12637.2941659225</v>
      </c>
      <c r="F794" s="4" t="n">
        <f aca="false">D794*Varsayımlar!$B$3</f>
        <v>0.0041763</v>
      </c>
      <c r="G794" s="5" t="n">
        <f aca="false">G793*(1+F794)</f>
        <v>19300.1305368273</v>
      </c>
    </row>
    <row r="795" customFormat="false" ht="15" hidden="false" customHeight="false" outlineLevel="0" collapsed="false">
      <c r="A795" s="3" t="n">
        <v>45555</v>
      </c>
      <c r="B795" s="10" t="n">
        <v>0.00173289</v>
      </c>
      <c r="C795" s="5" t="n">
        <f aca="false">C794*(1+B795)</f>
        <v>8942.19040772312</v>
      </c>
      <c r="D795" s="10" t="n">
        <v>0.00156928</v>
      </c>
      <c r="E795" s="5" t="n">
        <f aca="false">E794*(1+D795)</f>
        <v>12657.1256189112</v>
      </c>
      <c r="F795" s="4" t="n">
        <f aca="false">D795*Varsayımlar!$B$3</f>
        <v>0.0019616</v>
      </c>
      <c r="G795" s="5" t="n">
        <f aca="false">G794*(1+F795)</f>
        <v>19337.9896728884</v>
      </c>
    </row>
    <row r="796" customFormat="false" ht="15" hidden="false" customHeight="false" outlineLevel="0" collapsed="false">
      <c r="A796" s="3" t="n">
        <v>45556</v>
      </c>
      <c r="B796" s="10" t="n">
        <v>-0.01022495</v>
      </c>
      <c r="C796" s="5" t="n">
        <f aca="false">C795*(1+B796)</f>
        <v>8850.75695791367</v>
      </c>
      <c r="D796" s="10" t="n">
        <v>-0.00944848</v>
      </c>
      <c r="E796" s="5" t="n">
        <f aca="false">E795*(1+D796)</f>
        <v>12537.5350206434</v>
      </c>
      <c r="F796" s="4" t="n">
        <f aca="false">D796*Varsayımlar!$B$3</f>
        <v>-0.0118106</v>
      </c>
      <c r="G796" s="5" t="n">
        <f aca="false">G795*(1+F796)</f>
        <v>19109.5964120578</v>
      </c>
    </row>
    <row r="797" customFormat="false" ht="15" hidden="false" customHeight="false" outlineLevel="0" collapsed="false">
      <c r="A797" s="3" t="n">
        <v>45557</v>
      </c>
      <c r="B797" s="10" t="n">
        <v>0.01909475</v>
      </c>
      <c r="C797" s="5" t="n">
        <f aca="false">C796*(1+B797)</f>
        <v>9019.75994933579</v>
      </c>
      <c r="D797" s="10" t="n">
        <v>0.02049814</v>
      </c>
      <c r="E797" s="5" t="n">
        <f aca="false">E796*(1+D797)</f>
        <v>12794.5311687515</v>
      </c>
      <c r="F797" s="4" t="n">
        <f aca="false">D797*Varsayımlar!$B$3</f>
        <v>0.025622675</v>
      </c>
      <c r="G797" s="5" t="n">
        <f aca="false">G796*(1+F797)</f>
        <v>19599.2353903051</v>
      </c>
    </row>
    <row r="798" customFormat="false" ht="15" hidden="false" customHeight="false" outlineLevel="0" collapsed="false">
      <c r="A798" s="3" t="n">
        <v>45558</v>
      </c>
      <c r="B798" s="10" t="n">
        <v>-0.01300635</v>
      </c>
      <c r="C798" s="5" t="n">
        <f aca="false">C797*(1+B798)</f>
        <v>8902.44579451875</v>
      </c>
      <c r="D798" s="10" t="n">
        <v>-0.01153356</v>
      </c>
      <c r="E798" s="5" t="n">
        <f aca="false">E797*(1+D798)</f>
        <v>12646.9646758448</v>
      </c>
      <c r="F798" s="4" t="n">
        <f aca="false">D798*Varsayımlar!$B$3</f>
        <v>-0.01441695</v>
      </c>
      <c r="G798" s="5" t="n">
        <f aca="false">G797*(1+F798)</f>
        <v>19316.6741936448</v>
      </c>
    </row>
    <row r="799" customFormat="false" ht="15" hidden="false" customHeight="false" outlineLevel="0" collapsed="false">
      <c r="A799" s="3" t="n">
        <v>45559</v>
      </c>
      <c r="B799" s="10" t="n">
        <v>-0.00644129</v>
      </c>
      <c r="C799" s="5" t="n">
        <f aca="false">C798*(1+B799)</f>
        <v>8845.10255944697</v>
      </c>
      <c r="D799" s="10" t="n">
        <v>-0.01018818</v>
      </c>
      <c r="E799" s="5" t="n">
        <f aca="false">E798*(1+D799)</f>
        <v>12518.1151232737</v>
      </c>
      <c r="F799" s="4" t="n">
        <f aca="false">D799*Varsayımlar!$B$3</f>
        <v>-0.012735225</v>
      </c>
      <c r="G799" s="5" t="n">
        <f aca="false">G798*(1+F799)</f>
        <v>19070.6720015371</v>
      </c>
    </row>
    <row r="800" customFormat="false" ht="15" hidden="false" customHeight="false" outlineLevel="0" collapsed="false">
      <c r="A800" s="3" t="n">
        <v>45560</v>
      </c>
      <c r="B800" s="10" t="n">
        <v>-0.01433807</v>
      </c>
      <c r="C800" s="5" t="n">
        <f aca="false">C799*(1+B800)</f>
        <v>8718.28085979245</v>
      </c>
      <c r="D800" s="10" t="n">
        <v>-0.01150486</v>
      </c>
      <c r="E800" s="5" t="n">
        <f aca="false">E799*(1+D800)</f>
        <v>12374.0959613165</v>
      </c>
      <c r="F800" s="4" t="n">
        <f aca="false">D800*Varsayımlar!$B$3</f>
        <v>-0.014381075</v>
      </c>
      <c r="G800" s="5" t="n">
        <f aca="false">G799*(1+F800)</f>
        <v>18796.4152371826</v>
      </c>
    </row>
    <row r="801" customFormat="false" ht="15" hidden="false" customHeight="false" outlineLevel="0" collapsed="false">
      <c r="A801" s="3" t="n">
        <v>45561</v>
      </c>
      <c r="B801" s="10" t="n">
        <v>-0.02939861</v>
      </c>
      <c r="C801" s="5" t="n">
        <f aca="false">C800*(1+B801)</f>
        <v>8461.97552092494</v>
      </c>
      <c r="D801" s="10" t="n">
        <v>-0.03339318</v>
      </c>
      <c r="E801" s="5" t="n">
        <f aca="false">E800*(1+D801)</f>
        <v>11960.885547543</v>
      </c>
      <c r="F801" s="4" t="n">
        <f aca="false">D801*Varsayımlar!$B$3</f>
        <v>-0.041741475</v>
      </c>
      <c r="G801" s="5" t="n">
        <f aca="false">G800*(1+F801)</f>
        <v>18011.8251404701</v>
      </c>
    </row>
    <row r="802" customFormat="false" ht="15" hidden="false" customHeight="false" outlineLevel="0" collapsed="false">
      <c r="A802" s="3" t="n">
        <v>45562</v>
      </c>
      <c r="B802" s="10" t="n">
        <v>-0.02015538</v>
      </c>
      <c r="C802" s="5" t="n">
        <f aca="false">C801*(1+B802)</f>
        <v>8291.42118875</v>
      </c>
      <c r="D802" s="10" t="n">
        <v>-0.01243625</v>
      </c>
      <c r="E802" s="5" t="n">
        <f aca="false">E801*(1+D802)</f>
        <v>11812.1369846524</v>
      </c>
      <c r="F802" s="4" t="n">
        <f aca="false">D802*Varsayımlar!$B$3</f>
        <v>-0.0155453125</v>
      </c>
      <c r="G802" s="5" t="n">
        <f aca="false">G801*(1+F802)</f>
        <v>17731.8256899661</v>
      </c>
    </row>
    <row r="803" customFormat="false" ht="15" hidden="false" customHeight="false" outlineLevel="0" collapsed="false">
      <c r="A803" s="3" t="n">
        <v>45563</v>
      </c>
      <c r="B803" s="10" t="n">
        <v>0.00898236</v>
      </c>
      <c r="C803" s="5" t="n">
        <f aca="false">C802*(1+B803)</f>
        <v>8365.89771877898</v>
      </c>
      <c r="D803" s="10" t="n">
        <v>0.01379507</v>
      </c>
      <c r="E803" s="5" t="n">
        <f aca="false">E802*(1+D803)</f>
        <v>11975.0862412053</v>
      </c>
      <c r="F803" s="4" t="n">
        <f aca="false">D803*Varsayımlar!$B$3</f>
        <v>0.0172438375</v>
      </c>
      <c r="G803" s="5" t="n">
        <f aca="false">G802*(1+F803)</f>
        <v>18037.5904107422</v>
      </c>
    </row>
    <row r="804" customFormat="false" ht="15" hidden="false" customHeight="false" outlineLevel="0" collapsed="false">
      <c r="A804" s="3" t="n">
        <v>45564</v>
      </c>
      <c r="B804" s="10" t="n">
        <v>0.00890979</v>
      </c>
      <c r="C804" s="5" t="n">
        <f aca="false">C803*(1+B804)</f>
        <v>8440.43611061478</v>
      </c>
      <c r="D804" s="10" t="n">
        <v>0.00729143</v>
      </c>
      <c r="E804" s="5" t="n">
        <f aca="false">E803*(1+D804)</f>
        <v>12062.401744277</v>
      </c>
      <c r="F804" s="4" t="n">
        <f aca="false">D804*Varsayımlar!$B$3</f>
        <v>0.0091142875</v>
      </c>
      <c r="G804" s="5" t="n">
        <f aca="false">G803*(1+F804)</f>
        <v>18201.990195553</v>
      </c>
    </row>
    <row r="805" customFormat="false" ht="15" hidden="false" customHeight="false" outlineLevel="0" collapsed="false">
      <c r="A805" s="3" t="n">
        <v>45565</v>
      </c>
      <c r="B805" s="10" t="n">
        <v>0.02444178</v>
      </c>
      <c r="C805" s="5" t="n">
        <f aca="false">C804*(1+B805)</f>
        <v>8646.73539313448</v>
      </c>
      <c r="D805" s="10" t="n">
        <v>0.02373505</v>
      </c>
      <c r="E805" s="5" t="n">
        <f aca="false">E804*(1+D805)</f>
        <v>12348.7034527975</v>
      </c>
      <c r="F805" s="4" t="n">
        <f aca="false">D805*Varsayımlar!$B$3</f>
        <v>0.0296688125</v>
      </c>
      <c r="G805" s="5" t="n">
        <f aca="false">G804*(1+F805)</f>
        <v>18742.0216297917</v>
      </c>
    </row>
    <row r="806" customFormat="false" ht="15" hidden="false" customHeight="false" outlineLevel="0" collapsed="false">
      <c r="A806" s="3" t="n">
        <v>45566</v>
      </c>
      <c r="B806" s="10" t="n">
        <v>0.02304599</v>
      </c>
      <c r="C806" s="5" t="n">
        <f aca="false">C805*(1+B806)</f>
        <v>8846.00797053731</v>
      </c>
      <c r="D806" s="10" t="n">
        <v>0.02149191</v>
      </c>
      <c r="E806" s="5" t="n">
        <f aca="false">E805*(1+D806)</f>
        <v>12614.1006760217</v>
      </c>
      <c r="F806" s="4" t="n">
        <f aca="false">D806*Varsayımlar!$B$3</f>
        <v>0.0268648875</v>
      </c>
      <c r="G806" s="5" t="n">
        <f aca="false">G805*(1+F806)</f>
        <v>19245.5239323986</v>
      </c>
    </row>
    <row r="807" customFormat="false" ht="15" hidden="false" customHeight="false" outlineLevel="0" collapsed="false">
      <c r="A807" s="3" t="n">
        <v>45567</v>
      </c>
      <c r="B807" s="10" t="n">
        <v>0.00475599</v>
      </c>
      <c r="C807" s="5" t="n">
        <f aca="false">C806*(1+B807)</f>
        <v>8888.0794959851</v>
      </c>
      <c r="D807" s="10" t="n">
        <v>0.00522271</v>
      </c>
      <c r="E807" s="5" t="n">
        <f aca="false">E806*(1+D807)</f>
        <v>12679.9804657633</v>
      </c>
      <c r="F807" s="4" t="n">
        <f aca="false">D807*Varsayımlar!$B$3</f>
        <v>0.0065283875</v>
      </c>
      <c r="G807" s="5" t="n">
        <f aca="false">G806*(1+F807)</f>
        <v>19371.1661702698</v>
      </c>
    </row>
    <row r="808" customFormat="false" ht="15" hidden="false" customHeight="false" outlineLevel="0" collapsed="false">
      <c r="A808" s="3" t="n">
        <v>45568</v>
      </c>
      <c r="B808" s="10" t="n">
        <v>-0.011211</v>
      </c>
      <c r="C808" s="5" t="n">
        <f aca="false">C807*(1+B808)</f>
        <v>8788.43523675562</v>
      </c>
      <c r="D808" s="10" t="n">
        <v>-0.01073169</v>
      </c>
      <c r="E808" s="5" t="n">
        <f aca="false">E807*(1+D808)</f>
        <v>12543.9028461987</v>
      </c>
      <c r="F808" s="4" t="n">
        <f aca="false">D808*Varsayımlar!$B$3</f>
        <v>-0.0134146125</v>
      </c>
      <c r="G808" s="5" t="n">
        <f aca="false">G807*(1+F808)</f>
        <v>19111.3094824225</v>
      </c>
    </row>
    <row r="809" customFormat="false" ht="15" hidden="false" customHeight="false" outlineLevel="0" collapsed="false">
      <c r="A809" s="3" t="n">
        <v>45569</v>
      </c>
      <c r="B809" s="10" t="n">
        <v>0.02190776</v>
      </c>
      <c r="C809" s="5" t="n">
        <f aca="false">C808*(1+B809)</f>
        <v>8980.970166698</v>
      </c>
      <c r="D809" s="10" t="n">
        <v>0.01558161</v>
      </c>
      <c r="E809" s="5" t="n">
        <f aca="false">E808*(1+D809)</f>
        <v>12739.3570482261</v>
      </c>
      <c r="F809" s="4" t="n">
        <f aca="false">D809*Varsayımlar!$B$3</f>
        <v>0.0194770125</v>
      </c>
      <c r="G809" s="5" t="n">
        <f aca="false">G808*(1+F809)</f>
        <v>19483.540696103</v>
      </c>
    </row>
    <row r="810" customFormat="false" ht="15" hidden="false" customHeight="false" outlineLevel="0" collapsed="false">
      <c r="A810" s="3" t="n">
        <v>45570</v>
      </c>
      <c r="B810" s="10" t="n">
        <v>-0.00556471</v>
      </c>
      <c r="C810" s="5" t="n">
        <f aca="false">C809*(1+B810)</f>
        <v>8930.99367220167</v>
      </c>
      <c r="D810" s="10" t="n">
        <v>-0.00635793</v>
      </c>
      <c r="E810" s="5" t="n">
        <f aca="false">E809*(1+D810)</f>
        <v>12658.3611078685</v>
      </c>
      <c r="F810" s="4" t="n">
        <f aca="false">D810*Varsayımlar!$B$3</f>
        <v>-0.0079474125</v>
      </c>
      <c r="G810" s="5" t="n">
        <f aca="false">G809*(1+F810)</f>
        <v>19328.6969612306</v>
      </c>
    </row>
    <row r="811" customFormat="false" ht="15" hidden="false" customHeight="false" outlineLevel="0" collapsed="false">
      <c r="A811" s="3" t="n">
        <v>45571</v>
      </c>
      <c r="B811" s="10" t="n">
        <v>0.00080306</v>
      </c>
      <c r="C811" s="5" t="n">
        <f aca="false">C810*(1+B811)</f>
        <v>8938.16579598007</v>
      </c>
      <c r="D811" s="10" t="n">
        <v>0.00020389</v>
      </c>
      <c r="E811" s="5" t="n">
        <f aca="false">E810*(1+D811)</f>
        <v>12660.9420211147</v>
      </c>
      <c r="F811" s="4" t="n">
        <f aca="false">D811*Varsayımlar!$B$3</f>
        <v>0.0002548625</v>
      </c>
      <c r="G811" s="5" t="n">
        <f aca="false">G810*(1+F811)</f>
        <v>19333.6231212598</v>
      </c>
    </row>
    <row r="812" customFormat="false" ht="15" hidden="false" customHeight="false" outlineLevel="0" collapsed="false">
      <c r="A812" s="3" t="n">
        <v>45572</v>
      </c>
      <c r="B812" s="10" t="n">
        <v>0.00850365</v>
      </c>
      <c r="C812" s="5" t="n">
        <f aca="false">C811*(1+B812)</f>
        <v>9014.17282955106</v>
      </c>
      <c r="D812" s="10" t="n">
        <v>0.00971888</v>
      </c>
      <c r="E812" s="5" t="n">
        <f aca="false">E811*(1+D812)</f>
        <v>12783.9921973049</v>
      </c>
      <c r="F812" s="4" t="n">
        <f aca="false">D812*Varsayımlar!$B$3</f>
        <v>0.0121486</v>
      </c>
      <c r="G812" s="5" t="n">
        <f aca="false">G811*(1+F812)</f>
        <v>19568.4995751108</v>
      </c>
    </row>
    <row r="813" customFormat="false" ht="15" hidden="false" customHeight="false" outlineLevel="0" collapsed="false">
      <c r="A813" s="3" t="n">
        <v>45573</v>
      </c>
      <c r="B813" s="10" t="n">
        <v>-0.00126709</v>
      </c>
      <c r="C813" s="5" t="n">
        <f aca="false">C812*(1+B813)</f>
        <v>9002.75106130046</v>
      </c>
      <c r="D813" s="10" t="n">
        <v>0.00043866</v>
      </c>
      <c r="E813" s="5" t="n">
        <f aca="false">E812*(1+D813)</f>
        <v>12789.6000233222</v>
      </c>
      <c r="F813" s="4" t="n">
        <f aca="false">D813*Varsayımlar!$B$3</f>
        <v>0.000548325</v>
      </c>
      <c r="G813" s="5" t="n">
        <f aca="false">G812*(1+F813)</f>
        <v>19579.2294726403</v>
      </c>
    </row>
    <row r="814" customFormat="false" ht="15" hidden="false" customHeight="false" outlineLevel="0" collapsed="false">
      <c r="A814" s="3" t="n">
        <v>45574</v>
      </c>
      <c r="B814" s="10" t="n">
        <v>0.00557462</v>
      </c>
      <c r="C814" s="5" t="n">
        <f aca="false">C813*(1+B814)</f>
        <v>9052.93797742181</v>
      </c>
      <c r="D814" s="10" t="n">
        <v>0.00747303</v>
      </c>
      <c r="E814" s="5" t="n">
        <f aca="false">E813*(1+D814)</f>
        <v>12885.1770879845</v>
      </c>
      <c r="F814" s="4" t="n">
        <f aca="false">D814*Varsayımlar!$B$3</f>
        <v>0.0093412875</v>
      </c>
      <c r="G814" s="5" t="n">
        <f aca="false">G813*(1+F814)</f>
        <v>19762.1246841727</v>
      </c>
    </row>
    <row r="815" customFormat="false" ht="15" hidden="false" customHeight="false" outlineLevel="0" collapsed="false">
      <c r="A815" s="3" t="n">
        <v>45575</v>
      </c>
      <c r="B815" s="10" t="n">
        <v>0.00353352</v>
      </c>
      <c r="C815" s="5" t="n">
        <f aca="false">C814*(1+B815)</f>
        <v>9084.92671482379</v>
      </c>
      <c r="D815" s="10" t="n">
        <v>0.00424182</v>
      </c>
      <c r="E815" s="5" t="n">
        <f aca="false">E814*(1+D815)</f>
        <v>12939.8336898598</v>
      </c>
      <c r="F815" s="4" t="n">
        <f aca="false">D815*Varsayımlar!$B$3</f>
        <v>0.005302275</v>
      </c>
      <c r="G815" s="5" t="n">
        <f aca="false">G814*(1+F815)</f>
        <v>19866.9089038325</v>
      </c>
    </row>
    <row r="816" customFormat="false" ht="15" hidden="false" customHeight="false" outlineLevel="0" collapsed="false">
      <c r="A816" s="3" t="n">
        <v>45576</v>
      </c>
      <c r="B816" s="10" t="n">
        <v>0.00780911</v>
      </c>
      <c r="C816" s="5" t="n">
        <f aca="false">C815*(1+B816)</f>
        <v>9155.87190688179</v>
      </c>
      <c r="D816" s="10" t="n">
        <v>0.00875539</v>
      </c>
      <c r="E816" s="5" t="n">
        <f aca="false">E815*(1+D816)</f>
        <v>13053.1269803497</v>
      </c>
      <c r="F816" s="4" t="n">
        <f aca="false">D816*Varsayımlar!$B$3</f>
        <v>0.0109442375</v>
      </c>
      <c r="G816" s="5" t="n">
        <f aca="false">G815*(1+F816)</f>
        <v>20084.3370732669</v>
      </c>
    </row>
    <row r="817" customFormat="false" ht="15" hidden="false" customHeight="false" outlineLevel="0" collapsed="false">
      <c r="A817" s="3" t="n">
        <v>45577</v>
      </c>
      <c r="B817" s="10" t="n">
        <v>0.00279928</v>
      </c>
      <c r="C817" s="5" t="n">
        <f aca="false">C816*(1+B817)</f>
        <v>9181.50175599328</v>
      </c>
      <c r="D817" s="10" t="n">
        <v>-0.00058787</v>
      </c>
      <c r="E817" s="5" t="n">
        <f aca="false">E816*(1+D817)</f>
        <v>13045.4534385917</v>
      </c>
      <c r="F817" s="4" t="n">
        <f aca="false">D817*Varsayımlar!$B$3</f>
        <v>-0.0007348375</v>
      </c>
      <c r="G817" s="5" t="n">
        <f aca="false">G816*(1+F817)</f>
        <v>20069.5783492228</v>
      </c>
    </row>
    <row r="818" customFormat="false" ht="15" hidden="false" customHeight="false" outlineLevel="0" collapsed="false">
      <c r="A818" s="3" t="n">
        <v>45578</v>
      </c>
      <c r="B818" s="10" t="n">
        <v>0.0093931</v>
      </c>
      <c r="C818" s="5" t="n">
        <f aca="false">C817*(1+B818)</f>
        <v>9267.7445201375</v>
      </c>
      <c r="D818" s="10" t="n">
        <v>0.00740775</v>
      </c>
      <c r="E818" s="5" t="n">
        <f aca="false">E817*(1+D818)</f>
        <v>13142.0908963015</v>
      </c>
      <c r="F818" s="4" t="n">
        <f aca="false">D818*Varsayımlar!$B$3</f>
        <v>0.0092596875</v>
      </c>
      <c r="G818" s="5" t="n">
        <f aca="false">G817*(1+F818)</f>
        <v>20255.4163729934</v>
      </c>
    </row>
    <row r="819" customFormat="false" ht="15" hidden="false" customHeight="false" outlineLevel="0" collapsed="false">
      <c r="A819" s="3" t="n">
        <v>45579</v>
      </c>
      <c r="B819" s="10" t="n">
        <v>0.0041884</v>
      </c>
      <c r="C819" s="5" t="n">
        <f aca="false">C818*(1+B819)</f>
        <v>9306.56154128565</v>
      </c>
      <c r="D819" s="10" t="n">
        <v>0.00830631</v>
      </c>
      <c r="E819" s="5" t="n">
        <f aca="false">E818*(1+D819)</f>
        <v>13251.2531773343</v>
      </c>
      <c r="F819" s="4" t="n">
        <f aca="false">D819*Varsayımlar!$B$3</f>
        <v>0.0103828875</v>
      </c>
      <c r="G819" s="5" t="n">
        <f aca="false">G818*(1+F819)</f>
        <v>20465.7260824598</v>
      </c>
    </row>
    <row r="820" customFormat="false" ht="15" hidden="false" customHeight="false" outlineLevel="0" collapsed="false">
      <c r="A820" s="3" t="n">
        <v>45580</v>
      </c>
      <c r="B820" s="10" t="n">
        <v>-0.01993803</v>
      </c>
      <c r="C820" s="5" t="n">
        <f aca="false">C819*(1+B820)</f>
        <v>9121.00703807865</v>
      </c>
      <c r="D820" s="10" t="n">
        <v>-0.06768454</v>
      </c>
      <c r="E820" s="5" t="n">
        <f aca="false">E819*(1+D820)</f>
        <v>12354.3482016029</v>
      </c>
      <c r="F820" s="4" t="n">
        <f aca="false">D820*Varsayımlar!$B$3</f>
        <v>-0.084605675</v>
      </c>
      <c r="G820" s="5" t="n">
        <f aca="false">G819*(1+F820)</f>
        <v>18734.2095128882</v>
      </c>
    </row>
    <row r="821" customFormat="false" ht="15" hidden="false" customHeight="false" outlineLevel="0" collapsed="false">
      <c r="A821" s="3" t="n">
        <v>45581</v>
      </c>
      <c r="B821" s="10" t="n">
        <v>-0.000824</v>
      </c>
      <c r="C821" s="5" t="n">
        <f aca="false">C820*(1+B821)</f>
        <v>9113.49132827927</v>
      </c>
      <c r="D821" s="10" t="n">
        <v>-0.0100037</v>
      </c>
      <c r="E821" s="5" t="n">
        <f aca="false">E820*(1+D821)</f>
        <v>12230.7590084985</v>
      </c>
      <c r="F821" s="4" t="n">
        <f aca="false">D821*Varsayımlar!$B$3</f>
        <v>-0.012504625</v>
      </c>
      <c r="G821" s="5" t="n">
        <f aca="false">G820*(1+F821)</f>
        <v>18499.9452482581</v>
      </c>
    </row>
    <row r="822" customFormat="false" ht="15" hidden="false" customHeight="false" outlineLevel="0" collapsed="false">
      <c r="A822" s="3" t="n">
        <v>45582</v>
      </c>
      <c r="B822" s="10" t="n">
        <v>0.00597944</v>
      </c>
      <c r="C822" s="5" t="n">
        <f aca="false">C821*(1+B822)</f>
        <v>9167.98490286724</v>
      </c>
      <c r="D822" s="10" t="n">
        <v>0.00843352</v>
      </c>
      <c r="E822" s="5" t="n">
        <f aca="false">E821*(1+D822)</f>
        <v>12333.9073592119</v>
      </c>
      <c r="F822" s="4" t="n">
        <f aca="false">D822*Varsayımlar!$B$3</f>
        <v>0.0105419</v>
      </c>
      <c r="G822" s="5" t="n">
        <f aca="false">G821*(1+F822)</f>
        <v>18694.9698210707</v>
      </c>
    </row>
    <row r="823" customFormat="false" ht="15" hidden="false" customHeight="false" outlineLevel="0" collapsed="false">
      <c r="A823" s="3" t="n">
        <v>45583</v>
      </c>
      <c r="B823" s="10" t="n">
        <v>-0.00145303</v>
      </c>
      <c r="C823" s="5" t="n">
        <f aca="false">C822*(1+B823)</f>
        <v>9154.66354576382</v>
      </c>
      <c r="D823" s="10" t="n">
        <v>-0.00711366</v>
      </c>
      <c r="E823" s="5" t="n">
        <f aca="false">E822*(1+D823)</f>
        <v>12246.168135787</v>
      </c>
      <c r="F823" s="4" t="n">
        <f aca="false">D823*Varsayımlar!$B$3</f>
        <v>-0.008892075</v>
      </c>
      <c r="G823" s="5" t="n">
        <f aca="false">G822*(1+F823)</f>
        <v>18528.732747299</v>
      </c>
    </row>
    <row r="824" customFormat="false" ht="15" hidden="false" customHeight="false" outlineLevel="0" collapsed="false">
      <c r="A824" s="3" t="n">
        <v>45584</v>
      </c>
      <c r="B824" s="10" t="n">
        <v>-0.0090912</v>
      </c>
      <c r="C824" s="5" t="n">
        <f aca="false">C823*(1+B824)</f>
        <v>9071.43666853658</v>
      </c>
      <c r="D824" s="10" t="n">
        <v>-0.01141931</v>
      </c>
      <c r="E824" s="5" t="n">
        <f aca="false">E823*(1+D824)</f>
        <v>12106.3253455323</v>
      </c>
      <c r="F824" s="4" t="n">
        <f aca="false">D824*Varsayımlar!$B$3</f>
        <v>-0.0142741375</v>
      </c>
      <c r="G824" s="5" t="n">
        <f aca="false">G823*(1+F824)</f>
        <v>18264.2510683633</v>
      </c>
    </row>
    <row r="825" customFormat="false" ht="15" hidden="false" customHeight="false" outlineLevel="0" collapsed="false">
      <c r="A825" s="3" t="n">
        <v>45585</v>
      </c>
      <c r="B825" s="10" t="n">
        <v>-0.00939133</v>
      </c>
      <c r="C825" s="5" t="n">
        <f aca="false">C824*(1+B825)</f>
        <v>8986.24381320825</v>
      </c>
      <c r="D825" s="10" t="n">
        <v>-0.01170765</v>
      </c>
      <c r="E825" s="5" t="n">
        <f aca="false">E824*(1+D825)</f>
        <v>11964.5887256007</v>
      </c>
      <c r="F825" s="4" t="n">
        <f aca="false">D825*Varsayımlar!$B$3</f>
        <v>-0.0146345625</v>
      </c>
      <c r="G825" s="5" t="n">
        <f aca="false">G824*(1+F825)</f>
        <v>17996.9617445877</v>
      </c>
    </row>
    <row r="826" customFormat="false" ht="15" hidden="false" customHeight="false" outlineLevel="0" collapsed="false">
      <c r="A826" s="3" t="n">
        <v>45586</v>
      </c>
      <c r="B826" s="10" t="n">
        <v>0.00242061</v>
      </c>
      <c r="C826" s="5" t="n">
        <f aca="false">C825*(1+B826)</f>
        <v>9007.99600484494</v>
      </c>
      <c r="D826" s="10" t="n">
        <v>0.00560711</v>
      </c>
      <c r="E826" s="5" t="n">
        <f aca="false">E825*(1+D826)</f>
        <v>12031.6754906899</v>
      </c>
      <c r="F826" s="4" t="n">
        <f aca="false">D826*Varsayımlar!$B$3</f>
        <v>0.0070088875</v>
      </c>
      <c r="G826" s="5" t="n">
        <f aca="false">G825*(1+F826)</f>
        <v>18123.1004247973</v>
      </c>
    </row>
    <row r="827" customFormat="false" ht="15" hidden="false" customHeight="false" outlineLevel="0" collapsed="false">
      <c r="A827" s="3" t="n">
        <v>45587</v>
      </c>
      <c r="B827" s="10" t="n">
        <v>0.00090132</v>
      </c>
      <c r="C827" s="5" t="n">
        <f aca="false">C826*(1+B827)</f>
        <v>9016.11509180403</v>
      </c>
      <c r="D827" s="10" t="n">
        <v>-0.00497571</v>
      </c>
      <c r="E827" s="5" t="n">
        <f aca="false">E826*(1+D827)</f>
        <v>11971.8093626341</v>
      </c>
      <c r="F827" s="4" t="n">
        <f aca="false">D827*Varsayımlar!$B$3</f>
        <v>-0.0062196375</v>
      </c>
      <c r="G827" s="5" t="n">
        <f aca="false">G826*(1+F827)</f>
        <v>18010.381309779</v>
      </c>
    </row>
    <row r="828" customFormat="false" ht="15" hidden="false" customHeight="false" outlineLevel="0" collapsed="false">
      <c r="A828" s="3" t="n">
        <v>45588</v>
      </c>
      <c r="B828" s="10" t="n">
        <v>0.00503151</v>
      </c>
      <c r="C828" s="5" t="n">
        <f aca="false">C827*(1+B828)</f>
        <v>9061.47976504959</v>
      </c>
      <c r="D828" s="10" t="n">
        <v>0.01099857</v>
      </c>
      <c r="E828" s="5" t="n">
        <f aca="false">E827*(1+D828)</f>
        <v>12103.4821459357</v>
      </c>
      <c r="F828" s="4" t="n">
        <f aca="false">D828*Varsayımlar!$B$3</f>
        <v>0.0137482125</v>
      </c>
      <c r="G828" s="5" t="n">
        <f aca="false">G827*(1+F828)</f>
        <v>18257.9918592318</v>
      </c>
    </row>
    <row r="829" customFormat="false" ht="15" hidden="false" customHeight="false" outlineLevel="0" collapsed="false">
      <c r="A829" s="3" t="n">
        <v>45589</v>
      </c>
      <c r="B829" s="10" t="n">
        <v>-0.00230778</v>
      </c>
      <c r="C829" s="5" t="n">
        <f aca="false">C828*(1+B829)</f>
        <v>9040.5678632774</v>
      </c>
      <c r="D829" s="10" t="n">
        <v>-0.00189847</v>
      </c>
      <c r="E829" s="5" t="n">
        <f aca="false">E828*(1+D829)</f>
        <v>12080.5040481861</v>
      </c>
      <c r="F829" s="4" t="n">
        <f aca="false">D829*Varsayımlar!$B$3</f>
        <v>-0.0023730875</v>
      </c>
      <c r="G829" s="5" t="n">
        <f aca="false">G828*(1+F829)</f>
        <v>18214.6640469756</v>
      </c>
    </row>
    <row r="830" customFormat="false" ht="15" hidden="false" customHeight="false" outlineLevel="0" collapsed="false">
      <c r="A830" s="3" t="n">
        <v>45590</v>
      </c>
      <c r="B830" s="10" t="n">
        <v>0.01633686</v>
      </c>
      <c r="C830" s="5" t="n">
        <f aca="false">C829*(1+B830)</f>
        <v>9188.26235478027</v>
      </c>
      <c r="D830" s="10" t="n">
        <v>0.0135549</v>
      </c>
      <c r="E830" s="5" t="n">
        <f aca="false">E829*(1+D830)</f>
        <v>12244.2540725088</v>
      </c>
      <c r="F830" s="4" t="n">
        <f aca="false">D830*Varsayımlar!$B$3</f>
        <v>0.016943625</v>
      </c>
      <c r="G830" s="5" t="n">
        <f aca="false">G829*(1+F830)</f>
        <v>18523.2864840885</v>
      </c>
    </row>
    <row r="831" customFormat="false" ht="15" hidden="false" customHeight="false" outlineLevel="0" collapsed="false">
      <c r="A831" s="3" t="n">
        <v>45591</v>
      </c>
      <c r="B831" s="10" t="n">
        <v>-0.00247649</v>
      </c>
      <c r="C831" s="5" t="n">
        <f aca="false">C830*(1+B831)</f>
        <v>9165.50771494128</v>
      </c>
      <c r="D831" s="10" t="n">
        <v>-0.00385588</v>
      </c>
      <c r="E831" s="5" t="n">
        <f aca="false">E830*(1+D831)</f>
        <v>12197.0416981157</v>
      </c>
      <c r="F831" s="4" t="n">
        <f aca="false">D831*Varsayımlar!$B$3</f>
        <v>-0.00481985</v>
      </c>
      <c r="G831" s="5" t="n">
        <f aca="false">G830*(1+F831)</f>
        <v>18434.0070217282</v>
      </c>
    </row>
    <row r="832" customFormat="false" ht="15" hidden="false" customHeight="false" outlineLevel="0" collapsed="false">
      <c r="A832" s="3" t="n">
        <v>45592</v>
      </c>
      <c r="B832" s="10" t="n">
        <v>-0.00453076</v>
      </c>
      <c r="C832" s="5" t="n">
        <f aca="false">C831*(1+B832)</f>
        <v>9123.98099920673</v>
      </c>
      <c r="D832" s="10" t="n">
        <v>-0.00552018</v>
      </c>
      <c r="E832" s="5" t="n">
        <f aca="false">E831*(1+D832)</f>
        <v>12129.7118324746</v>
      </c>
      <c r="F832" s="4" t="n">
        <f aca="false">D832*Varsayımlar!$B$3</f>
        <v>-0.006900225</v>
      </c>
      <c r="G832" s="5" t="n">
        <f aca="false">G831*(1+F832)</f>
        <v>18306.8082256267</v>
      </c>
    </row>
    <row r="833" customFormat="false" ht="15" hidden="false" customHeight="false" outlineLevel="0" collapsed="false">
      <c r="A833" s="3" t="n">
        <v>45593</v>
      </c>
      <c r="B833" s="10" t="n">
        <v>-0.00358945</v>
      </c>
      <c r="C833" s="5" t="n">
        <f aca="false">C832*(1+B833)</f>
        <v>9091.23092560913</v>
      </c>
      <c r="D833" s="10" t="n">
        <v>-0.0033757</v>
      </c>
      <c r="E833" s="5" t="n">
        <f aca="false">E832*(1+D833)</f>
        <v>12088.7655642417</v>
      </c>
      <c r="F833" s="4" t="n">
        <f aca="false">D833*Varsayımlar!$B$3</f>
        <v>-0.004219625</v>
      </c>
      <c r="G833" s="5" t="n">
        <f aca="false">G832*(1+F833)</f>
        <v>18229.5603599676</v>
      </c>
    </row>
    <row r="834" customFormat="false" ht="15" hidden="false" customHeight="false" outlineLevel="0" collapsed="false">
      <c r="A834" s="3" t="n">
        <v>45594</v>
      </c>
      <c r="B834" s="10" t="n">
        <v>0.00102914</v>
      </c>
      <c r="C834" s="5" t="n">
        <f aca="false">C833*(1+B834)</f>
        <v>9100.58707500391</v>
      </c>
      <c r="D834" s="10" t="n">
        <v>0.00373192</v>
      </c>
      <c r="E834" s="5" t="n">
        <f aca="false">E833*(1+D834)</f>
        <v>12133.8798702263</v>
      </c>
      <c r="F834" s="4" t="n">
        <f aca="false">D834*Varsayımlar!$B$3</f>
        <v>0.0046649</v>
      </c>
      <c r="G834" s="5" t="n">
        <f aca="false">G833*(1+F834)</f>
        <v>18314.5994360908</v>
      </c>
    </row>
    <row r="835" customFormat="false" ht="15" hidden="false" customHeight="false" outlineLevel="0" collapsed="false">
      <c r="A835" s="3" t="n">
        <v>45595</v>
      </c>
      <c r="B835" s="10" t="n">
        <v>-0.00427933</v>
      </c>
      <c r="C835" s="5" t="n">
        <f aca="false">C834*(1+B835)</f>
        <v>9061.64265971623</v>
      </c>
      <c r="D835" s="10" t="n">
        <v>-0.0032219</v>
      </c>
      <c r="E835" s="5" t="n">
        <f aca="false">E834*(1+D835)</f>
        <v>12094.7857226724</v>
      </c>
      <c r="F835" s="4" t="n">
        <f aca="false">D835*Varsayımlar!$B$3</f>
        <v>-0.004027375</v>
      </c>
      <c r="G835" s="5" t="n">
        <f aca="false">G834*(1+F835)</f>
        <v>18240.8396761869</v>
      </c>
    </row>
    <row r="836" customFormat="false" ht="15" hidden="false" customHeight="false" outlineLevel="0" collapsed="false">
      <c r="A836" s="3" t="n">
        <v>45596</v>
      </c>
      <c r="B836" s="10" t="n">
        <v>-0.00066563</v>
      </c>
      <c r="C836" s="5" t="n">
        <f aca="false">C835*(1+B836)</f>
        <v>9055.61095851264</v>
      </c>
      <c r="D836" s="10" t="n">
        <v>0.00162787</v>
      </c>
      <c r="E836" s="5" t="n">
        <f aca="false">E835*(1+D836)</f>
        <v>12114.4744615067</v>
      </c>
      <c r="F836" s="4" t="n">
        <f aca="false">D836*Varsayımlar!$B$3</f>
        <v>0.0020348375</v>
      </c>
      <c r="G836" s="5" t="n">
        <f aca="false">G835*(1+F836)</f>
        <v>18277.9568207915</v>
      </c>
    </row>
    <row r="837" customFormat="false" ht="15" hidden="false" customHeight="false" outlineLevel="0" collapsed="false">
      <c r="A837" s="3" t="n">
        <v>45597</v>
      </c>
      <c r="B837" s="10" t="n">
        <v>0.00564935</v>
      </c>
      <c r="C837" s="5" t="n">
        <f aca="false">C836*(1+B837)</f>
        <v>9106.76927428112</v>
      </c>
      <c r="D837" s="10" t="n">
        <v>0.0062754</v>
      </c>
      <c r="E837" s="5" t="n">
        <f aca="false">E836*(1+D837)</f>
        <v>12190.4976345425</v>
      </c>
      <c r="F837" s="4" t="n">
        <f aca="false">D837*Varsayımlar!$B$3</f>
        <v>0.00784425</v>
      </c>
      <c r="G837" s="5" t="n">
        <f aca="false">G836*(1+F837)</f>
        <v>18421.333683583</v>
      </c>
    </row>
    <row r="838" customFormat="false" ht="15" hidden="false" customHeight="false" outlineLevel="0" collapsed="false">
      <c r="A838" s="3" t="n">
        <v>45598</v>
      </c>
      <c r="B838" s="10" t="n">
        <v>0.00014894</v>
      </c>
      <c r="C838" s="5" t="n">
        <f aca="false">C837*(1+B838)</f>
        <v>9108.12563649683</v>
      </c>
      <c r="D838" s="10" t="n">
        <v>-0.0019676</v>
      </c>
      <c r="E838" s="5" t="n">
        <f aca="false">E837*(1+D838)</f>
        <v>12166.5116113967</v>
      </c>
      <c r="F838" s="4" t="n">
        <f aca="false">D838*Varsayımlar!$B$3</f>
        <v>-0.0024595</v>
      </c>
      <c r="G838" s="5" t="n">
        <f aca="false">G837*(1+F838)</f>
        <v>18376.0264133882</v>
      </c>
    </row>
    <row r="839" customFormat="false" ht="15" hidden="false" customHeight="false" outlineLevel="0" collapsed="false">
      <c r="A839" s="3" t="n">
        <v>45599</v>
      </c>
      <c r="B839" s="10" t="n">
        <v>0.00686733</v>
      </c>
      <c r="C839" s="5" t="n">
        <f aca="false">C838*(1+B839)</f>
        <v>9170.67414092411</v>
      </c>
      <c r="D839" s="10" t="n">
        <v>0.01404768</v>
      </c>
      <c r="E839" s="5" t="n">
        <f aca="false">E838*(1+D839)</f>
        <v>12337.4228732299</v>
      </c>
      <c r="F839" s="4" t="n">
        <f aca="false">D839*Varsayımlar!$B$3</f>
        <v>0.0175596</v>
      </c>
      <c r="G839" s="5" t="n">
        <f aca="false">G838*(1+F839)</f>
        <v>18698.7020867968</v>
      </c>
    </row>
    <row r="840" customFormat="false" ht="15" hidden="false" customHeight="false" outlineLevel="0" collapsed="false">
      <c r="A840" s="3" t="n">
        <v>45600</v>
      </c>
      <c r="B840" s="10" t="n">
        <v>-0.00320476</v>
      </c>
      <c r="C840" s="5" t="n">
        <f aca="false">C839*(1+B840)</f>
        <v>9141.28433126425</v>
      </c>
      <c r="D840" s="10" t="n">
        <v>-0.00941987</v>
      </c>
      <c r="E840" s="5" t="n">
        <f aca="false">E839*(1+D840)</f>
        <v>12221.2059536291</v>
      </c>
      <c r="F840" s="4" t="n">
        <f aca="false">D840*Varsayımlar!$B$3</f>
        <v>-0.0117748375</v>
      </c>
      <c r="G840" s="5" t="n">
        <f aca="false">G839*(1+F840)</f>
        <v>18478.5279082638</v>
      </c>
    </row>
    <row r="841" customFormat="false" ht="15" hidden="false" customHeight="false" outlineLevel="0" collapsed="false">
      <c r="A841" s="3" t="n">
        <v>45601</v>
      </c>
      <c r="B841" s="10" t="n">
        <v>0.00642742</v>
      </c>
      <c r="C841" s="5" t="n">
        <f aca="false">C840*(1+B841)</f>
        <v>9200.0392050007</v>
      </c>
      <c r="D841" s="10" t="n">
        <v>0.0090711</v>
      </c>
      <c r="E841" s="5" t="n">
        <f aca="false">E840*(1+D841)</f>
        <v>12332.065734955</v>
      </c>
      <c r="F841" s="4" t="n">
        <f aca="false">D841*Varsayımlar!$B$3</f>
        <v>0.011338875</v>
      </c>
      <c r="G841" s="5" t="n">
        <f aca="false">G840*(1+F841)</f>
        <v>18688.0536263996</v>
      </c>
    </row>
    <row r="842" customFormat="false" ht="15" hidden="false" customHeight="false" outlineLevel="0" collapsed="false">
      <c r="A842" s="3" t="n">
        <v>45602</v>
      </c>
      <c r="B842" s="10" t="n">
        <v>0.01198554</v>
      </c>
      <c r="C842" s="5" t="n">
        <f aca="false">C841*(1+B842)</f>
        <v>9310.30664289381</v>
      </c>
      <c r="D842" s="10" t="n">
        <v>0.01658037</v>
      </c>
      <c r="E842" s="5" t="n">
        <f aca="false">E841*(1+D842)</f>
        <v>12536.5359477049</v>
      </c>
      <c r="F842" s="4" t="n">
        <f aca="false">D842*Varsayımlar!$B$3</f>
        <v>0.0207254625</v>
      </c>
      <c r="G842" s="5" t="n">
        <f aca="false">G841*(1+F842)</f>
        <v>19075.3721810316</v>
      </c>
    </row>
    <row r="843" customFormat="false" ht="15" hidden="false" customHeight="false" outlineLevel="0" collapsed="false">
      <c r="A843" s="3" t="n">
        <v>45603</v>
      </c>
      <c r="B843" s="10" t="n">
        <v>2.37E-006</v>
      </c>
      <c r="C843" s="5" t="n">
        <f aca="false">C842*(1+B843)</f>
        <v>9310.32870832055</v>
      </c>
      <c r="D843" s="10" t="n">
        <v>0.00211579</v>
      </c>
      <c r="E843" s="5" t="n">
        <f aca="false">E842*(1+D843)</f>
        <v>12563.0606250977</v>
      </c>
      <c r="F843" s="4" t="n">
        <f aca="false">D843*Varsayımlar!$B$3</f>
        <v>0.0026447375</v>
      </c>
      <c r="G843" s="5" t="n">
        <f aca="false">G842*(1+F843)</f>
        <v>19125.8215331652</v>
      </c>
    </row>
    <row r="844" customFormat="false" ht="15" hidden="false" customHeight="false" outlineLevel="0" collapsed="false">
      <c r="A844" s="3" t="n">
        <v>45604</v>
      </c>
      <c r="B844" s="10" t="n">
        <v>-0.00556574</v>
      </c>
      <c r="C844" s="5" t="n">
        <f aca="false">C843*(1+B844)</f>
        <v>9258.5098394155</v>
      </c>
      <c r="D844" s="10" t="n">
        <v>-0.00528319</v>
      </c>
      <c r="E844" s="5" t="n">
        <f aca="false">E843*(1+D844)</f>
        <v>12496.6875888338</v>
      </c>
      <c r="F844" s="4" t="n">
        <f aca="false">D844*Varsayımlar!$B$3</f>
        <v>-0.0066039875</v>
      </c>
      <c r="G844" s="5" t="n">
        <f aca="false">G843*(1+F844)</f>
        <v>18999.5148468329</v>
      </c>
    </row>
    <row r="845" customFormat="false" ht="15" hidden="false" customHeight="false" outlineLevel="0" collapsed="false">
      <c r="A845" s="3" t="n">
        <v>45605</v>
      </c>
      <c r="B845" s="10" t="n">
        <v>0.00534913</v>
      </c>
      <c r="C845" s="5" t="n">
        <f aca="false">C844*(1+B845)</f>
        <v>9308.03481215281</v>
      </c>
      <c r="D845" s="10" t="n">
        <v>-0.03328895</v>
      </c>
      <c r="E845" s="5" t="n">
        <f aca="false">E844*(1+D845)</f>
        <v>12080.6859805235</v>
      </c>
      <c r="F845" s="4" t="n">
        <f aca="false">D845*Varsayımlar!$B$3</f>
        <v>-0.0416111875</v>
      </c>
      <c r="G845" s="5" t="n">
        <f aca="false">G844*(1+F845)</f>
        <v>18208.9224721323</v>
      </c>
    </row>
    <row r="846" customFormat="false" ht="15" hidden="false" customHeight="false" outlineLevel="0" collapsed="false">
      <c r="A846" s="3" t="n">
        <v>45606</v>
      </c>
      <c r="B846" s="10" t="n">
        <v>0.0061813</v>
      </c>
      <c r="C846" s="5" t="n">
        <f aca="false">C845*(1+B846)</f>
        <v>9365.57056773717</v>
      </c>
      <c r="D846" s="10" t="n">
        <v>0.02625534</v>
      </c>
      <c r="E846" s="5" t="n">
        <f aca="false">E845*(1+D846)</f>
        <v>12397.8684983754</v>
      </c>
      <c r="F846" s="4" t="n">
        <f aca="false">D846*Varsayımlar!$B$3</f>
        <v>0.032819175</v>
      </c>
      <c r="G846" s="5" t="n">
        <f aca="false">G845*(1+F846)</f>
        <v>18806.5242853067</v>
      </c>
    </row>
    <row r="847" customFormat="false" ht="15" hidden="false" customHeight="false" outlineLevel="0" collapsed="false">
      <c r="A847" s="3" t="n">
        <v>45607</v>
      </c>
      <c r="B847" s="10" t="n">
        <v>-0.00247223</v>
      </c>
      <c r="C847" s="5" t="n">
        <f aca="false">C846*(1+B847)</f>
        <v>9342.4167232125</v>
      </c>
      <c r="D847" s="10" t="n">
        <v>0.00327361</v>
      </c>
      <c r="E847" s="5" t="n">
        <f aca="false">E846*(1+D847)</f>
        <v>12438.4542846703</v>
      </c>
      <c r="F847" s="4" t="n">
        <f aca="false">D847*Varsayımlar!$B$3</f>
        <v>0.0040920125</v>
      </c>
      <c r="G847" s="5" t="n">
        <f aca="false">G846*(1+F847)</f>
        <v>18883.4808177637</v>
      </c>
    </row>
    <row r="848" customFormat="false" ht="15" hidden="false" customHeight="false" outlineLevel="0" collapsed="false">
      <c r="A848" s="3" t="n">
        <v>45608</v>
      </c>
      <c r="B848" s="10" t="n">
        <v>0.0142164</v>
      </c>
      <c r="C848" s="5" t="n">
        <f aca="false">C847*(1+B848)</f>
        <v>9475.23225631637</v>
      </c>
      <c r="D848" s="10" t="n">
        <v>0.0251386</v>
      </c>
      <c r="E848" s="5" t="n">
        <f aca="false">E847*(1+D848)</f>
        <v>12751.139611551</v>
      </c>
      <c r="F848" s="4" t="n">
        <f aca="false">D848*Varsayımlar!$B$3</f>
        <v>0.03142325</v>
      </c>
      <c r="G848" s="5" t="n">
        <f aca="false">G847*(1+F848)</f>
        <v>19476.8611563705</v>
      </c>
    </row>
    <row r="849" customFormat="false" ht="15" hidden="false" customHeight="false" outlineLevel="0" collapsed="false">
      <c r="A849" s="3" t="n">
        <v>45609</v>
      </c>
      <c r="B849" s="10" t="n">
        <v>0.00376518</v>
      </c>
      <c r="C849" s="5" t="n">
        <f aca="false">C848*(1+B849)</f>
        <v>9510.90821130321</v>
      </c>
      <c r="D849" s="10" t="n">
        <v>-0.00148209</v>
      </c>
      <c r="E849" s="5" t="n">
        <f aca="false">E848*(1+D849)</f>
        <v>12732.2412750441</v>
      </c>
      <c r="F849" s="4" t="n">
        <f aca="false">D849*Varsayımlar!$B$3</f>
        <v>-0.0018526125</v>
      </c>
      <c r="G849" s="5" t="n">
        <f aca="false">G848*(1+F849)</f>
        <v>19440.7780799315</v>
      </c>
    </row>
    <row r="850" customFormat="false" ht="15" hidden="false" customHeight="false" outlineLevel="0" collapsed="false">
      <c r="A850" s="3" t="n">
        <v>45610</v>
      </c>
      <c r="B850" s="10" t="n">
        <v>0.00225487</v>
      </c>
      <c r="C850" s="5" t="n">
        <f aca="false">C849*(1+B850)</f>
        <v>9532.35407290164</v>
      </c>
      <c r="D850" s="10" t="n">
        <v>0.00056803</v>
      </c>
      <c r="E850" s="5" t="n">
        <f aca="false">E849*(1+D850)</f>
        <v>12739.4735700555</v>
      </c>
      <c r="F850" s="4" t="n">
        <f aca="false">D850*Varsayımlar!$B$3</f>
        <v>0.0007100375</v>
      </c>
      <c r="G850" s="5" t="n">
        <f aca="false">G849*(1+F850)</f>
        <v>19454.5817613974</v>
      </c>
    </row>
    <row r="851" customFormat="false" ht="15" hidden="false" customHeight="false" outlineLevel="0" collapsed="false">
      <c r="A851" s="3" t="n">
        <v>45611</v>
      </c>
      <c r="B851" s="10" t="n">
        <v>0.01206046</v>
      </c>
      <c r="C851" s="5" t="n">
        <f aca="false">C850*(1+B851)</f>
        <v>9647.3186479037</v>
      </c>
      <c r="D851" s="10" t="n">
        <v>0.02619264</v>
      </c>
      <c r="E851" s="5" t="n">
        <f aca="false">E850*(1+D851)</f>
        <v>13073.1540150655</v>
      </c>
      <c r="F851" s="4" t="n">
        <f aca="false">D851*Varsayımlar!$B$3</f>
        <v>0.0327408</v>
      </c>
      <c r="G851" s="5" t="n">
        <f aca="false">G850*(1+F851)</f>
        <v>20091.5403319309</v>
      </c>
    </row>
    <row r="852" customFormat="false" ht="15" hidden="false" customHeight="false" outlineLevel="0" collapsed="false">
      <c r="A852" s="3" t="n">
        <v>45612</v>
      </c>
      <c r="B852" s="10" t="n">
        <v>0.00703359</v>
      </c>
      <c r="C852" s="5" t="n">
        <f aca="false">C851*(1+B852)</f>
        <v>9715.17393187241</v>
      </c>
      <c r="D852" s="10" t="n">
        <v>0.00964016</v>
      </c>
      <c r="E852" s="5" t="n">
        <f aca="false">E851*(1+D852)</f>
        <v>13199.1813114754</v>
      </c>
      <c r="F852" s="4" t="n">
        <f aca="false">D852*Varsayımlar!$B$3</f>
        <v>0.0120502</v>
      </c>
      <c r="G852" s="5" t="n">
        <f aca="false">G851*(1+F852)</f>
        <v>20333.6474112388</v>
      </c>
    </row>
    <row r="853" customFormat="false" ht="15" hidden="false" customHeight="false" outlineLevel="0" collapsed="false">
      <c r="A853" s="3" t="n">
        <v>45613</v>
      </c>
      <c r="B853" s="10" t="n">
        <v>0.00631254</v>
      </c>
      <c r="C853" s="5" t="n">
        <f aca="false">C852*(1+B853)</f>
        <v>9776.50135592431</v>
      </c>
      <c r="D853" s="10" t="n">
        <v>0.00747442</v>
      </c>
      <c r="E853" s="5" t="n">
        <f aca="false">E852*(1+D853)</f>
        <v>13297.8375362535</v>
      </c>
      <c r="F853" s="4" t="n">
        <f aca="false">D853*Varsayımlar!$B$3</f>
        <v>0.009343025</v>
      </c>
      <c r="G853" s="5" t="n">
        <f aca="false">G852*(1+F853)</f>
        <v>20523.6251873432</v>
      </c>
    </row>
    <row r="854" customFormat="false" ht="15" hidden="false" customHeight="false" outlineLevel="0" collapsed="false">
      <c r="A854" s="3" t="n">
        <v>45614</v>
      </c>
      <c r="B854" s="10" t="n">
        <v>0.00755364</v>
      </c>
      <c r="C854" s="5" t="n">
        <f aca="false">C853*(1+B854)</f>
        <v>9850.34952762648</v>
      </c>
      <c r="D854" s="10" t="n">
        <v>0.01451734</v>
      </c>
      <c r="E854" s="5" t="n">
        <f aca="false">E853*(1+D854)</f>
        <v>13490.8867650321</v>
      </c>
      <c r="F854" s="4" t="n">
        <f aca="false">D854*Varsayımlar!$B$3</f>
        <v>0.018146675</v>
      </c>
      <c r="G854" s="5" t="n">
        <f aca="false">G853*(1+F854)</f>
        <v>20896.0607434397</v>
      </c>
    </row>
    <row r="855" customFormat="false" ht="15" hidden="false" customHeight="false" outlineLevel="0" collapsed="false">
      <c r="A855" s="3" t="n">
        <v>45615</v>
      </c>
      <c r="B855" s="10" t="n">
        <v>0.01251914</v>
      </c>
      <c r="C855" s="5" t="n">
        <f aca="false">C854*(1+B855)</f>
        <v>9973.66743241177</v>
      </c>
      <c r="D855" s="10" t="n">
        <v>0.01126891</v>
      </c>
      <c r="E855" s="5" t="n">
        <f aca="false">E854*(1+D855)</f>
        <v>13642.9143538074</v>
      </c>
      <c r="F855" s="4" t="n">
        <f aca="false">D855*Varsayımlar!$B$3</f>
        <v>0.0140861375</v>
      </c>
      <c r="G855" s="5" t="n">
        <f aca="false">G854*(1+F855)</f>
        <v>21190.4055282801</v>
      </c>
    </row>
    <row r="856" customFormat="false" ht="15" hidden="false" customHeight="false" outlineLevel="0" collapsed="false">
      <c r="A856" s="3" t="n">
        <v>45616</v>
      </c>
      <c r="B856" s="10" t="n">
        <v>0.00215188</v>
      </c>
      <c r="C856" s="5" t="n">
        <f aca="false">C855*(1+B856)</f>
        <v>9995.12956788622</v>
      </c>
      <c r="D856" s="10" t="n">
        <v>0.00958706</v>
      </c>
      <c r="E856" s="5" t="n">
        <f aca="false">E855*(1+D856)</f>
        <v>13773.7097922922</v>
      </c>
      <c r="F856" s="4" t="n">
        <f aca="false">D856*Varsayımlar!$B$3</f>
        <v>0.011983825</v>
      </c>
      <c r="G856" s="5" t="n">
        <f aca="false">G855*(1+F856)</f>
        <v>21444.3476398101</v>
      </c>
    </row>
    <row r="857" customFormat="false" ht="15" hidden="false" customHeight="false" outlineLevel="0" collapsed="false">
      <c r="A857" s="3" t="n">
        <v>45617</v>
      </c>
      <c r="B857" s="10" t="n">
        <v>-0.00252614</v>
      </c>
      <c r="C857" s="5" t="n">
        <f aca="false">C856*(1+B857)</f>
        <v>9969.88047127961</v>
      </c>
      <c r="D857" s="10" t="n">
        <v>0.0058775</v>
      </c>
      <c r="E857" s="5" t="n">
        <f aca="false">E856*(1+D857)</f>
        <v>13854.6647715964</v>
      </c>
      <c r="F857" s="4" t="n">
        <f aca="false">D857*Varsayımlar!$B$3</f>
        <v>0.007346875</v>
      </c>
      <c r="G857" s="5" t="n">
        <f aca="false">G856*(1+F857)</f>
        <v>21601.8965813763</v>
      </c>
    </row>
    <row r="858" customFormat="false" ht="15" hidden="false" customHeight="false" outlineLevel="0" collapsed="false">
      <c r="A858" s="3" t="n">
        <v>45618</v>
      </c>
      <c r="B858" s="10" t="n">
        <v>0.04286731</v>
      </c>
      <c r="C858" s="5" t="n">
        <f aca="false">C857*(1+B858)</f>
        <v>10397.2624281049</v>
      </c>
      <c r="D858" s="10" t="n">
        <v>0.05569481</v>
      </c>
      <c r="E858" s="5" t="n">
        <f aca="false">E857*(1+D858)</f>
        <v>14626.2976936642</v>
      </c>
      <c r="F858" s="4" t="n">
        <f aca="false">D858*Varsayımlar!$B$3</f>
        <v>0.0696185125</v>
      </c>
      <c r="G858" s="5" t="n">
        <f aca="false">G857*(1+F858)</f>
        <v>23105.7884885506</v>
      </c>
    </row>
    <row r="859" customFormat="false" ht="15" hidden="false" customHeight="false" outlineLevel="0" collapsed="false">
      <c r="A859" s="3" t="n">
        <v>45619</v>
      </c>
      <c r="B859" s="10" t="n">
        <v>-0.00547596</v>
      </c>
      <c r="C859" s="5" t="n">
        <f aca="false">C858*(1+B859)</f>
        <v>10340.3274349391</v>
      </c>
      <c r="D859" s="10" t="n">
        <v>0.00549951</v>
      </c>
      <c r="E859" s="5" t="n">
        <f aca="false">E858*(1+D859)</f>
        <v>14706.7351640935</v>
      </c>
      <c r="F859" s="4" t="n">
        <f aca="false">D859*Varsayımlar!$B$3</f>
        <v>0.0068743875</v>
      </c>
      <c r="G859" s="5" t="n">
        <f aca="false">G858*(1+F859)</f>
        <v>23264.6266321139</v>
      </c>
    </row>
    <row r="860" customFormat="false" ht="15" hidden="false" customHeight="false" outlineLevel="0" collapsed="false">
      <c r="A860" s="3" t="n">
        <v>45620</v>
      </c>
      <c r="B860" s="10" t="n">
        <v>-0.00159964</v>
      </c>
      <c r="C860" s="5" t="n">
        <f aca="false">C859*(1+B860)</f>
        <v>10323.7866335611</v>
      </c>
      <c r="D860" s="10" t="n">
        <v>0.000534</v>
      </c>
      <c r="E860" s="5" t="n">
        <f aca="false">E859*(1+D860)</f>
        <v>14714.5885606711</v>
      </c>
      <c r="F860" s="4" t="n">
        <f aca="false">D860*Varsayımlar!$B$3</f>
        <v>0.0006675</v>
      </c>
      <c r="G860" s="5" t="n">
        <f aca="false">G859*(1+F860)</f>
        <v>23280.1557703908</v>
      </c>
    </row>
    <row r="861" customFormat="false" ht="15" hidden="false" customHeight="false" outlineLevel="0" collapsed="false">
      <c r="A861" s="3" t="n">
        <v>45621</v>
      </c>
      <c r="B861" s="10" t="n">
        <v>-0.00252338</v>
      </c>
      <c r="C861" s="5" t="n">
        <f aca="false">C860*(1+B861)</f>
        <v>10297.7357968457</v>
      </c>
      <c r="D861" s="10" t="n">
        <v>-0.00782203</v>
      </c>
      <c r="E861" s="5" t="n">
        <f aca="false">E860*(1+D861)</f>
        <v>14599.4906075119</v>
      </c>
      <c r="F861" s="4" t="n">
        <f aca="false">D861*Varsayımlar!$B$3</f>
        <v>-0.0097775375</v>
      </c>
      <c r="G861" s="5" t="n">
        <f aca="false">G860*(1+F861)</f>
        <v>23052.53317434</v>
      </c>
    </row>
    <row r="862" customFormat="false" ht="15" hidden="false" customHeight="false" outlineLevel="0" collapsed="false">
      <c r="A862" s="3" t="n">
        <v>45622</v>
      </c>
      <c r="B862" s="10" t="n">
        <v>0.00783251</v>
      </c>
      <c r="C862" s="5" t="n">
        <f aca="false">C861*(1+B862)</f>
        <v>10378.3929154518</v>
      </c>
      <c r="D862" s="10" t="n">
        <v>0.01877115</v>
      </c>
      <c r="E862" s="5" t="n">
        <f aca="false">E861*(1+D862)</f>
        <v>14873.5398356291</v>
      </c>
      <c r="F862" s="4" t="n">
        <f aca="false">D862*Varsayımlar!$B$3</f>
        <v>0.0234639375</v>
      </c>
      <c r="G862" s="5" t="n">
        <f aca="false">G861*(1+F862)</f>
        <v>23593.4363719594</v>
      </c>
    </row>
    <row r="863" customFormat="false" ht="15" hidden="false" customHeight="false" outlineLevel="0" collapsed="false">
      <c r="A863" s="3" t="n">
        <v>45623</v>
      </c>
      <c r="B863" s="10" t="n">
        <v>-0.01327928</v>
      </c>
      <c r="C863" s="5" t="n">
        <f aca="false">C862*(1+B863)</f>
        <v>10240.5753299775</v>
      </c>
      <c r="D863" s="10" t="n">
        <v>-0.00853702</v>
      </c>
      <c r="E863" s="5" t="n">
        <f aca="false">E862*(1+D863)</f>
        <v>14746.5641285815</v>
      </c>
      <c r="F863" s="4" t="n">
        <f aca="false">D863*Varsayımlar!$B$3</f>
        <v>-0.010671275</v>
      </c>
      <c r="G863" s="5" t="n">
        <f aca="false">G862*(1+F863)</f>
        <v>23341.6643242392</v>
      </c>
    </row>
    <row r="864" customFormat="false" ht="15" hidden="false" customHeight="false" outlineLevel="0" collapsed="false">
      <c r="A864" s="3" t="n">
        <v>45624</v>
      </c>
      <c r="B864" s="10" t="n">
        <v>-0.01596357</v>
      </c>
      <c r="C864" s="5" t="n">
        <f aca="false">C863*(1+B864)</f>
        <v>10077.0991888572</v>
      </c>
      <c r="D864" s="10" t="n">
        <v>-0.01740871</v>
      </c>
      <c r="E864" s="5" t="n">
        <f aca="false">E863*(1+D864)</f>
        <v>14489.8454701706</v>
      </c>
      <c r="F864" s="4" t="n">
        <f aca="false">D864*Varsayımlar!$B$3</f>
        <v>-0.0217608875</v>
      </c>
      <c r="G864" s="5" t="n">
        <f aca="false">G863*(1+F864)</f>
        <v>22833.7289928167</v>
      </c>
    </row>
    <row r="865" customFormat="false" ht="15" hidden="false" customHeight="false" outlineLevel="0" collapsed="false">
      <c r="A865" s="3" t="n">
        <v>45625</v>
      </c>
      <c r="B865" s="10" t="n">
        <v>0.02653435</v>
      </c>
      <c r="C865" s="5" t="n">
        <f aca="false">C864*(1+B865)</f>
        <v>10344.488465719</v>
      </c>
      <c r="D865" s="10" t="n">
        <v>0.03011253</v>
      </c>
      <c r="E865" s="5" t="n">
        <f aca="false">E864*(1+D865)</f>
        <v>14926.1713765865</v>
      </c>
      <c r="F865" s="4" t="n">
        <f aca="false">D865*Varsayımlar!$B$3</f>
        <v>0.0376406625</v>
      </c>
      <c r="G865" s="5" t="n">
        <f aca="false">G864*(1+F865)</f>
        <v>23693.2056794518</v>
      </c>
    </row>
    <row r="866" customFormat="false" ht="15" hidden="false" customHeight="false" outlineLevel="0" collapsed="false">
      <c r="A866" s="3" t="n">
        <v>45626</v>
      </c>
      <c r="B866" s="10" t="n">
        <v>-0.01241767</v>
      </c>
      <c r="C866" s="5" t="n">
        <f aca="false">C865*(1+B866)</f>
        <v>10216.0340216329</v>
      </c>
      <c r="D866" s="10" t="n">
        <v>-0.00720231</v>
      </c>
      <c r="E866" s="5" t="n">
        <f aca="false">E865*(1+D866)</f>
        <v>14818.6684632192</v>
      </c>
      <c r="F866" s="4" t="n">
        <f aca="false">D866*Varsayımlar!$B$3</f>
        <v>-0.0090028875</v>
      </c>
      <c r="G866" s="5" t="n">
        <f aca="false">G865*(1+F866)</f>
        <v>23479.8984142053</v>
      </c>
    </row>
    <row r="867" customFormat="false" ht="15" hidden="false" customHeight="false" outlineLevel="0" collapsed="false">
      <c r="A867" s="3" t="n">
        <v>45627</v>
      </c>
      <c r="B867" s="10" t="n">
        <v>0.00861827</v>
      </c>
      <c r="C867" s="5" t="n">
        <f aca="false">C866*(1+B867)</f>
        <v>10304.0785611605</v>
      </c>
      <c r="D867" s="10" t="n">
        <v>0.0049392</v>
      </c>
      <c r="E867" s="5" t="n">
        <f aca="false">E866*(1+D867)</f>
        <v>14891.8608304927</v>
      </c>
      <c r="F867" s="4" t="n">
        <f aca="false">D867*Varsayımlar!$B$3</f>
        <v>0.006174</v>
      </c>
      <c r="G867" s="5" t="n">
        <f aca="false">G866*(1+F867)</f>
        <v>23624.8633070146</v>
      </c>
    </row>
    <row r="868" customFormat="false" ht="15" hidden="false" customHeight="false" outlineLevel="0" collapsed="false">
      <c r="A868" s="3" t="n">
        <v>45628</v>
      </c>
      <c r="B868" s="10" t="n">
        <v>0.00818347</v>
      </c>
      <c r="C868" s="5" t="n">
        <f aca="false">C867*(1+B868)</f>
        <v>10388.4016789434</v>
      </c>
      <c r="D868" s="10" t="n">
        <v>0.01105704</v>
      </c>
      <c r="E868" s="5" t="n">
        <f aca="false">E867*(1+D868)</f>
        <v>15056.5207313699</v>
      </c>
      <c r="F868" s="4" t="n">
        <f aca="false">D868*Varsayımlar!$B$3</f>
        <v>0.0138213</v>
      </c>
      <c r="G868" s="5" t="n">
        <f aca="false">G867*(1+F868)</f>
        <v>23951.3896302398</v>
      </c>
    </row>
    <row r="869" customFormat="false" ht="15" hidden="false" customHeight="false" outlineLevel="0" collapsed="false">
      <c r="A869" s="3" t="n">
        <v>45629</v>
      </c>
      <c r="B869" s="10" t="n">
        <v>-0.01003083</v>
      </c>
      <c r="C869" s="5" t="n">
        <f aca="false">C868*(1+B869)</f>
        <v>10284.1973877302</v>
      </c>
      <c r="D869" s="10" t="n">
        <v>4.65E-005</v>
      </c>
      <c r="E869" s="5" t="n">
        <f aca="false">E868*(1+D869)</f>
        <v>15057.2208595839</v>
      </c>
      <c r="F869" s="4" t="n">
        <f aca="false">D869*Varsayımlar!$B$3</f>
        <v>5.8125E-005</v>
      </c>
      <c r="G869" s="5" t="n">
        <f aca="false">G868*(1+F869)</f>
        <v>23952.7818047621</v>
      </c>
    </row>
    <row r="870" customFormat="false" ht="15" hidden="false" customHeight="false" outlineLevel="0" collapsed="false">
      <c r="A870" s="3" t="n">
        <v>45630</v>
      </c>
      <c r="B870" s="10" t="n">
        <v>-0.00061353</v>
      </c>
      <c r="C870" s="5" t="n">
        <f aca="false">C869*(1+B870)</f>
        <v>10277.8877241069</v>
      </c>
      <c r="D870" s="10" t="n">
        <v>-0.00747312</v>
      </c>
      <c r="E870" s="5" t="n">
        <f aca="false">E869*(1+D870)</f>
        <v>14944.6964412337</v>
      </c>
      <c r="F870" s="4" t="n">
        <f aca="false">D870*Varsayımlar!$B$3</f>
        <v>-0.0093414</v>
      </c>
      <c r="G870" s="5" t="n">
        <f aca="false">G869*(1+F870)</f>
        <v>23729.0292888111</v>
      </c>
    </row>
    <row r="871" customFormat="false" ht="15" hidden="false" customHeight="false" outlineLevel="0" collapsed="false">
      <c r="A871" s="3" t="n">
        <v>45631</v>
      </c>
      <c r="B871" s="10" t="n">
        <v>-0.0088608</v>
      </c>
      <c r="C871" s="5" t="n">
        <f aca="false">C870*(1+B871)</f>
        <v>10186.8174165612</v>
      </c>
      <c r="D871" s="10" t="n">
        <v>-0.00719652</v>
      </c>
      <c r="E871" s="5" t="n">
        <f aca="false">E870*(1+D871)</f>
        <v>14837.1466344005</v>
      </c>
      <c r="F871" s="4" t="n">
        <f aca="false">D871*Varsayımlar!$B$3</f>
        <v>-0.00899565</v>
      </c>
      <c r="G871" s="5" t="n">
        <f aca="false">G870*(1+F871)</f>
        <v>23515.5712464892</v>
      </c>
    </row>
    <row r="872" customFormat="false" ht="15" hidden="false" customHeight="false" outlineLevel="0" collapsed="false">
      <c r="A872" s="3" t="n">
        <v>45632</v>
      </c>
      <c r="B872" s="10" t="n">
        <v>-0.0054135</v>
      </c>
      <c r="C872" s="5" t="n">
        <f aca="false">C871*(1+B872)</f>
        <v>10131.6710804766</v>
      </c>
      <c r="D872" s="10" t="n">
        <v>-0.00665274</v>
      </c>
      <c r="E872" s="5" t="n">
        <f aca="false">E871*(1+D872)</f>
        <v>14738.4389554999</v>
      </c>
      <c r="F872" s="4" t="n">
        <f aca="false">D872*Varsayımlar!$B$3</f>
        <v>-0.008315925</v>
      </c>
      <c r="G872" s="5" t="n">
        <f aca="false">G871*(1+F872)</f>
        <v>23320.0175196712</v>
      </c>
    </row>
    <row r="873" customFormat="false" ht="15" hidden="false" customHeight="false" outlineLevel="0" collapsed="false">
      <c r="A873" s="3" t="n">
        <v>45633</v>
      </c>
      <c r="B873" s="10" t="n">
        <v>-0.01032822</v>
      </c>
      <c r="C873" s="5" t="n">
        <f aca="false">C872*(1+B873)</f>
        <v>10027.0289525898</v>
      </c>
      <c r="D873" s="10" t="n">
        <v>-0.01579157</v>
      </c>
      <c r="E873" s="5" t="n">
        <f aca="false">E872*(1+D873)</f>
        <v>14505.6958650434</v>
      </c>
      <c r="F873" s="4" t="n">
        <f aca="false">D873*Varsayımlar!$B$3</f>
        <v>-0.0197394625</v>
      </c>
      <c r="G873" s="5" t="n">
        <f aca="false">G872*(1+F873)</f>
        <v>22859.6929083423</v>
      </c>
    </row>
    <row r="874" customFormat="false" ht="15" hidden="false" customHeight="false" outlineLevel="0" collapsed="false">
      <c r="A874" s="3" t="n">
        <v>45634</v>
      </c>
      <c r="B874" s="10" t="n">
        <v>0.00492799</v>
      </c>
      <c r="C874" s="5" t="n">
        <f aca="false">C873*(1+B874)</f>
        <v>10076.4420509979</v>
      </c>
      <c r="D874" s="10" t="n">
        <v>0.00602535</v>
      </c>
      <c r="E874" s="5" t="n">
        <f aca="false">E873*(1+D874)</f>
        <v>14593.0977596239</v>
      </c>
      <c r="F874" s="4" t="n">
        <f aca="false">D874*Varsayımlar!$B$3</f>
        <v>0.0075316875</v>
      </c>
      <c r="G874" s="5" t="n">
        <f aca="false">G873*(1+F874)</f>
        <v>23031.8649716739</v>
      </c>
    </row>
    <row r="875" customFormat="false" ht="15" hidden="false" customHeight="false" outlineLevel="0" collapsed="false">
      <c r="A875" s="3" t="n">
        <v>45635</v>
      </c>
      <c r="B875" s="10" t="n">
        <v>0.02963892</v>
      </c>
      <c r="C875" s="5" t="n">
        <f aca="false">C874*(1+B875)</f>
        <v>10375.096910832</v>
      </c>
      <c r="D875" s="10" t="n">
        <v>0.03010757</v>
      </c>
      <c r="E875" s="5" t="n">
        <f aca="false">E874*(1+D875)</f>
        <v>15032.4604719386</v>
      </c>
      <c r="F875" s="4" t="n">
        <f aca="false">D875*Varsayımlar!$B$3</f>
        <v>0.0376344625</v>
      </c>
      <c r="G875" s="5" t="n">
        <f aca="false">G874*(1+F875)</f>
        <v>23898.6568302555</v>
      </c>
    </row>
    <row r="876" customFormat="false" ht="15" hidden="false" customHeight="false" outlineLevel="0" collapsed="false">
      <c r="A876" s="3" t="n">
        <v>45636</v>
      </c>
      <c r="B876" s="10" t="n">
        <v>0.00378049</v>
      </c>
      <c r="C876" s="5" t="n">
        <f aca="false">C875*(1+B876)</f>
        <v>10414.3198609525</v>
      </c>
      <c r="D876" s="10" t="n">
        <v>0.00593356</v>
      </c>
      <c r="E876" s="5" t="n">
        <f aca="false">E875*(1+D876)</f>
        <v>15121.6564780965</v>
      </c>
      <c r="F876" s="4" t="n">
        <f aca="false">D876*Varsayımlar!$B$3</f>
        <v>0.00741695</v>
      </c>
      <c r="G876" s="5" t="n">
        <f aca="false">G875*(1+F876)</f>
        <v>24075.9119730326</v>
      </c>
    </row>
    <row r="877" customFormat="false" ht="15" hidden="false" customHeight="false" outlineLevel="0" collapsed="false">
      <c r="A877" s="3" t="n">
        <v>45637</v>
      </c>
      <c r="B877" s="10" t="n">
        <v>0.02336201</v>
      </c>
      <c r="C877" s="5" t="n">
        <f aca="false">C876*(1+B877)</f>
        <v>10657.6193056872</v>
      </c>
      <c r="D877" s="10" t="n">
        <v>0.02298922</v>
      </c>
      <c r="E877" s="5" t="n">
        <f aca="false">E876*(1+D877)</f>
        <v>15469.2915656358</v>
      </c>
      <c r="F877" s="4" t="n">
        <f aca="false">D877*Varsayımlar!$B$3</f>
        <v>0.028736525</v>
      </c>
      <c r="G877" s="5" t="n">
        <f aca="false">G876*(1+F877)</f>
        <v>24767.7700193435</v>
      </c>
    </row>
    <row r="878" customFormat="false" ht="15" hidden="false" customHeight="false" outlineLevel="0" collapsed="false">
      <c r="A878" s="3" t="n">
        <v>45638</v>
      </c>
      <c r="B878" s="10" t="n">
        <v>0.00349452</v>
      </c>
      <c r="C878" s="5" t="n">
        <f aca="false">C877*(1+B878)</f>
        <v>10694.8625695034</v>
      </c>
      <c r="D878" s="10" t="n">
        <v>0.00074922</v>
      </c>
      <c r="E878" s="5" t="n">
        <f aca="false">E877*(1+D878)</f>
        <v>15480.8814682626</v>
      </c>
      <c r="F878" s="4" t="n">
        <f aca="false">D878*Varsayımlar!$B$3</f>
        <v>0.000936525</v>
      </c>
      <c r="G878" s="5" t="n">
        <f aca="false">G877*(1+F878)</f>
        <v>24790.9656551608</v>
      </c>
    </row>
    <row r="879" customFormat="false" ht="15" hidden="false" customHeight="false" outlineLevel="0" collapsed="false">
      <c r="A879" s="3" t="n">
        <v>45639</v>
      </c>
      <c r="B879" s="10" t="n">
        <v>-0.00241414</v>
      </c>
      <c r="C879" s="5" t="n">
        <f aca="false">C878*(1+B879)</f>
        <v>10669.0436739798</v>
      </c>
      <c r="D879" s="10" t="n">
        <v>-3.478E-005</v>
      </c>
      <c r="E879" s="5" t="n">
        <f aca="false">E878*(1+D879)</f>
        <v>15480.3430432052</v>
      </c>
      <c r="F879" s="4" t="n">
        <f aca="false">D879*Varsayımlar!$B$3</f>
        <v>-4.3475E-005</v>
      </c>
      <c r="G879" s="5" t="n">
        <f aca="false">G878*(1+F879)</f>
        <v>24789.887867929</v>
      </c>
    </row>
    <row r="880" customFormat="false" ht="15" hidden="false" customHeight="false" outlineLevel="0" collapsed="false">
      <c r="A880" s="3" t="n">
        <v>45640</v>
      </c>
      <c r="B880" s="10" t="n">
        <v>0.00658736</v>
      </c>
      <c r="C880" s="5" t="n">
        <f aca="false">C879*(1+B880)</f>
        <v>10739.324505516</v>
      </c>
      <c r="D880" s="10" t="n">
        <v>0.0127179</v>
      </c>
      <c r="E880" s="5" t="n">
        <f aca="false">E879*(1+D880)</f>
        <v>15677.2204979944</v>
      </c>
      <c r="F880" s="4" t="n">
        <f aca="false">D880*Varsayımlar!$B$3</f>
        <v>0.015897375</v>
      </c>
      <c r="G880" s="5" t="n">
        <f aca="false">G879*(1+F880)</f>
        <v>25183.9820115734</v>
      </c>
    </row>
    <row r="881" customFormat="false" ht="15" hidden="false" customHeight="false" outlineLevel="0" collapsed="false">
      <c r="A881" s="3" t="n">
        <v>45641</v>
      </c>
      <c r="B881" s="10" t="n">
        <v>0.00466464</v>
      </c>
      <c r="C881" s="5" t="n">
        <f aca="false">C880*(1+B881)</f>
        <v>10789.4195881775</v>
      </c>
      <c r="D881" s="10" t="n">
        <v>0.00411833</v>
      </c>
      <c r="E881" s="5" t="n">
        <f aca="false">E880*(1+D881)</f>
        <v>15741.7844654879</v>
      </c>
      <c r="F881" s="4" t="n">
        <f aca="false">D881*Varsayımlar!$B$3</f>
        <v>0.0051479125</v>
      </c>
      <c r="G881" s="5" t="n">
        <f aca="false">G880*(1+F881)</f>
        <v>25313.6269473706</v>
      </c>
    </row>
    <row r="882" customFormat="false" ht="15" hidden="false" customHeight="false" outlineLevel="0" collapsed="false">
      <c r="A882" s="3" t="n">
        <v>45642</v>
      </c>
      <c r="B882" s="10" t="n">
        <v>0.00388637</v>
      </c>
      <c r="C882" s="5" t="n">
        <f aca="false">C881*(1+B882)</f>
        <v>10831.3512647824</v>
      </c>
      <c r="D882" s="10" t="n">
        <v>0.00859288</v>
      </c>
      <c r="E882" s="5" t="n">
        <f aca="false">E881*(1+D882)</f>
        <v>15877.0517303857</v>
      </c>
      <c r="F882" s="4" t="n">
        <f aca="false">D882*Varsayımlar!$B$3</f>
        <v>0.0107411</v>
      </c>
      <c r="G882" s="5" t="n">
        <f aca="false">G881*(1+F882)</f>
        <v>25585.523145775</v>
      </c>
    </row>
    <row r="883" customFormat="false" ht="15" hidden="false" customHeight="false" outlineLevel="0" collapsed="false">
      <c r="A883" s="3" t="n">
        <v>45643</v>
      </c>
      <c r="B883" s="10" t="n">
        <v>0.00468933</v>
      </c>
      <c r="C883" s="5" t="n">
        <f aca="false">C882*(1+B883)</f>
        <v>10882.1430452088</v>
      </c>
      <c r="D883" s="10" t="n">
        <v>0.00895849</v>
      </c>
      <c r="E883" s="5" t="n">
        <f aca="false">E882*(1+D883)</f>
        <v>16019.2861395418</v>
      </c>
      <c r="F883" s="4" t="n">
        <f aca="false">D883*Varsayımlar!$B$3</f>
        <v>0.0111981125</v>
      </c>
      <c r="G883" s="5" t="n">
        <f aca="false">G882*(1+F883)</f>
        <v>25872.0327123327</v>
      </c>
    </row>
    <row r="884" customFormat="false" ht="15" hidden="false" customHeight="false" outlineLevel="0" collapsed="false">
      <c r="A884" s="3" t="n">
        <v>45644</v>
      </c>
      <c r="B884" s="10" t="n">
        <v>0.0288848</v>
      </c>
      <c r="C884" s="5" t="n">
        <f aca="false">C883*(1+B884)</f>
        <v>11196.4715706411</v>
      </c>
      <c r="D884" s="10" t="n">
        <v>0.03420307</v>
      </c>
      <c r="E884" s="5" t="n">
        <f aca="false">E883*(1+D884)</f>
        <v>16567.1949047226</v>
      </c>
      <c r="F884" s="4" t="n">
        <f aca="false">D884*Varsayımlar!$B$3</f>
        <v>0.0427538375</v>
      </c>
      <c r="G884" s="5" t="n">
        <f aca="false">G883*(1+F884)</f>
        <v>26978.1613947105</v>
      </c>
    </row>
    <row r="885" customFormat="false" ht="15" hidden="false" customHeight="false" outlineLevel="0" collapsed="false">
      <c r="A885" s="3" t="n">
        <v>45645</v>
      </c>
      <c r="B885" s="10" t="n">
        <v>0.0174088</v>
      </c>
      <c r="C885" s="5" t="n">
        <f aca="false">C884*(1+B885)</f>
        <v>11391.3887049201</v>
      </c>
      <c r="D885" s="10" t="n">
        <v>0.02855529</v>
      </c>
      <c r="E885" s="5" t="n">
        <f aca="false">E884*(1+D885)</f>
        <v>17040.2759597135</v>
      </c>
      <c r="F885" s="4" t="n">
        <f aca="false">D885*Varsayımlar!$B$3</f>
        <v>0.0356941125</v>
      </c>
      <c r="G885" s="5" t="n">
        <f aca="false">G884*(1+F885)</f>
        <v>27941.1229225764</v>
      </c>
    </row>
    <row r="886" customFormat="false" ht="15" hidden="false" customHeight="false" outlineLevel="0" collapsed="false">
      <c r="A886" s="3" t="n">
        <v>45646</v>
      </c>
      <c r="B886" s="10" t="n">
        <v>0.0240014</v>
      </c>
      <c r="C886" s="5" t="n">
        <f aca="false">C885*(1+B886)</f>
        <v>11664.7979817823</v>
      </c>
      <c r="D886" s="10" t="n">
        <v>0.0146029</v>
      </c>
      <c r="E886" s="5" t="n">
        <f aca="false">E885*(1+D886)</f>
        <v>17289.1134055256</v>
      </c>
      <c r="F886" s="4" t="n">
        <f aca="false">D886*Varsayımlar!$B$3</f>
        <v>0.018253625</v>
      </c>
      <c r="G886" s="5" t="n">
        <f aca="false">G885*(1+F886)</f>
        <v>28451.149702484</v>
      </c>
    </row>
    <row r="887" customFormat="false" ht="15" hidden="false" customHeight="false" outlineLevel="0" collapsed="false">
      <c r="A887" s="3" t="n">
        <v>45647</v>
      </c>
      <c r="B887" s="10" t="n">
        <v>0.02646326</v>
      </c>
      <c r="C887" s="5" t="n">
        <f aca="false">C886*(1+B887)</f>
        <v>11973.4865636217</v>
      </c>
      <c r="D887" s="10" t="n">
        <v>0.04145765</v>
      </c>
      <c r="E887" s="5" t="n">
        <f aca="false">E886*(1+D887)</f>
        <v>18005.8794179021</v>
      </c>
      <c r="F887" s="4" t="n">
        <f aca="false">D887*Varsayımlar!$B$3</f>
        <v>0.0518220625</v>
      </c>
      <c r="G887" s="5" t="n">
        <f aca="false">G886*(1+F887)</f>
        <v>29925.546960563</v>
      </c>
    </row>
    <row r="888" customFormat="false" ht="15" hidden="false" customHeight="false" outlineLevel="0" collapsed="false">
      <c r="A888" s="3" t="n">
        <v>45648</v>
      </c>
      <c r="B888" s="10" t="n">
        <v>-0.01482339</v>
      </c>
      <c r="C888" s="5" t="n">
        <f aca="false">C887*(1+B888)</f>
        <v>11795.9989026294</v>
      </c>
      <c r="D888" s="10" t="n">
        <v>-0.02176612</v>
      </c>
      <c r="E888" s="5" t="n">
        <f aca="false">E887*(1+D888)</f>
        <v>17613.9612857866</v>
      </c>
      <c r="F888" s="4" t="n">
        <f aca="false">D888*Varsayımlar!$B$3</f>
        <v>-0.02720765</v>
      </c>
      <c r="G888" s="5" t="n">
        <f aca="false">G887*(1+F888)</f>
        <v>29111.3431528015</v>
      </c>
    </row>
    <row r="889" customFormat="false" ht="15" hidden="false" customHeight="false" outlineLevel="0" collapsed="false">
      <c r="A889" s="3" t="n">
        <v>45649</v>
      </c>
      <c r="B889" s="10" t="n">
        <v>0.00328008</v>
      </c>
      <c r="C889" s="5" t="n">
        <f aca="false">C888*(1+B889)</f>
        <v>11834.6907227099</v>
      </c>
      <c r="D889" s="10" t="n">
        <v>0.00564412</v>
      </c>
      <c r="E889" s="5" t="n">
        <f aca="false">E888*(1+D889)</f>
        <v>17713.3765969589</v>
      </c>
      <c r="F889" s="4" t="n">
        <f aca="false">D889*Varsayımlar!$B$3</f>
        <v>0.00705515</v>
      </c>
      <c r="G889" s="5" t="n">
        <f aca="false">G888*(1+F889)</f>
        <v>29316.7280454459</v>
      </c>
    </row>
    <row r="890" customFormat="false" ht="15" hidden="false" customHeight="false" outlineLevel="0" collapsed="false">
      <c r="A890" s="3" t="n">
        <v>45650</v>
      </c>
      <c r="B890" s="10" t="n">
        <v>0.04188625</v>
      </c>
      <c r="C890" s="5" t="n">
        <f aca="false">C889*(1+B890)</f>
        <v>12330.401536994</v>
      </c>
      <c r="D890" s="10" t="n">
        <v>0.06609249</v>
      </c>
      <c r="E890" s="5" t="n">
        <f aca="false">E889*(1+D890)</f>
        <v>18884.0977625596</v>
      </c>
      <c r="F890" s="4" t="n">
        <f aca="false">D890*Varsayımlar!$B$3</f>
        <v>0.0826156125</v>
      </c>
      <c r="G890" s="5" t="n">
        <f aca="false">G889*(1+F890)</f>
        <v>31738.7474894164</v>
      </c>
    </row>
    <row r="891" customFormat="false" ht="15" hidden="false" customHeight="false" outlineLevel="0" collapsed="false">
      <c r="A891" s="3" t="n">
        <v>45651</v>
      </c>
      <c r="B891" s="10" t="n">
        <v>0.02823859</v>
      </c>
      <c r="C891" s="5" t="n">
        <f aca="false">C890*(1+B891)</f>
        <v>12678.5946905326</v>
      </c>
      <c r="D891" s="10" t="n">
        <v>0.04717227</v>
      </c>
      <c r="E891" s="5" t="n">
        <f aca="false">E890*(1+D891)</f>
        <v>19774.9035209215</v>
      </c>
      <c r="F891" s="4" t="n">
        <f aca="false">D891*Varsayımlar!$B$3</f>
        <v>0.0589653375</v>
      </c>
      <c r="G891" s="5" t="n">
        <f aca="false">G890*(1+F891)</f>
        <v>33610.2334469571</v>
      </c>
    </row>
    <row r="892" customFormat="false" ht="15" hidden="false" customHeight="false" outlineLevel="0" collapsed="false">
      <c r="A892" s="3" t="n">
        <v>45652</v>
      </c>
      <c r="B892" s="10" t="n">
        <v>0.01671037</v>
      </c>
      <c r="C892" s="5" t="n">
        <f aca="false">C891*(1+B892)</f>
        <v>12890.4586988914</v>
      </c>
      <c r="D892" s="10" t="n">
        <v>0.02282566</v>
      </c>
      <c r="E892" s="5" t="n">
        <f aca="false">E891*(1+D892)</f>
        <v>20226.2787452228</v>
      </c>
      <c r="F892" s="4" t="n">
        <f aca="false">D892*Varsayımlar!$B$3</f>
        <v>0.028532075</v>
      </c>
      <c r="G892" s="5" t="n">
        <f aca="false">G891*(1+F892)</f>
        <v>34569.2031484332</v>
      </c>
    </row>
    <row r="893" customFormat="false" ht="15" hidden="false" customHeight="false" outlineLevel="0" collapsed="false">
      <c r="A893" s="3" t="n">
        <v>45653</v>
      </c>
      <c r="B893" s="10" t="n">
        <v>-0.02264713</v>
      </c>
      <c r="C893" s="5" t="n">
        <f aca="false">C892*(1+B893)</f>
        <v>12598.526804978</v>
      </c>
      <c r="D893" s="10" t="n">
        <v>-0.03281926</v>
      </c>
      <c r="E893" s="5" t="n">
        <f aca="false">E892*(1+D893)</f>
        <v>19562.4672442509</v>
      </c>
      <c r="F893" s="4" t="n">
        <f aca="false">D893*Varsayımlar!$B$3</f>
        <v>-0.041024075</v>
      </c>
      <c r="G893" s="5" t="n">
        <f aca="false">G892*(1+F893)</f>
        <v>33151.0335657816</v>
      </c>
    </row>
    <row r="894" customFormat="false" ht="15" hidden="false" customHeight="false" outlineLevel="0" collapsed="false">
      <c r="A894" s="3" t="n">
        <v>45654</v>
      </c>
      <c r="B894" s="10" t="n">
        <v>-0.00174612</v>
      </c>
      <c r="C894" s="5" t="n">
        <f aca="false">C893*(1+B894)</f>
        <v>12576.5282653533</v>
      </c>
      <c r="D894" s="10" t="n">
        <v>-0.00613582</v>
      </c>
      <c r="E894" s="5" t="n">
        <f aca="false">E893*(1+D894)</f>
        <v>19442.4354664843</v>
      </c>
      <c r="F894" s="4" t="n">
        <f aca="false">D894*Varsayımlar!$B$3</f>
        <v>-0.007669775</v>
      </c>
      <c r="G894" s="5" t="n">
        <f aca="false">G893*(1+F894)</f>
        <v>32896.7725973146</v>
      </c>
    </row>
    <row r="895" customFormat="false" ht="15" hidden="false" customHeight="false" outlineLevel="0" collapsed="false">
      <c r="A895" s="3" t="n">
        <v>45655</v>
      </c>
      <c r="B895" s="10" t="n">
        <v>0.03772874</v>
      </c>
      <c r="C895" s="5" t="n">
        <f aca="false">C894*(1+B895)</f>
        <v>13051.0248303794</v>
      </c>
      <c r="D895" s="10" t="n">
        <v>0.04798605</v>
      </c>
      <c r="E895" s="5" t="n">
        <f aca="false">E894*(1+D895)</f>
        <v>20375.4011469008</v>
      </c>
      <c r="F895" s="4" t="n">
        <f aca="false">D895*Varsayımlar!$B$3</f>
        <v>0.0599825625</v>
      </c>
      <c r="G895" s="5" t="n">
        <f aca="false">G894*(1+F895)</f>
        <v>34870.0053156814</v>
      </c>
    </row>
    <row r="896" customFormat="false" ht="15" hidden="false" customHeight="false" outlineLevel="0" collapsed="false">
      <c r="A896" s="3" t="n">
        <v>45656</v>
      </c>
      <c r="B896" s="10" t="n">
        <v>-0.00701172</v>
      </c>
      <c r="C896" s="5" t="n">
        <f aca="false">C895*(1+B896)</f>
        <v>12959.5146985558</v>
      </c>
      <c r="D896" s="10" t="n">
        <v>-0.01934845</v>
      </c>
      <c r="E896" s="5" t="n">
        <f aca="false">E895*(1+D896)</f>
        <v>19981.16871658</v>
      </c>
      <c r="F896" s="4" t="n">
        <f aca="false">D896*Varsayımlar!$B$3</f>
        <v>-0.0241855625</v>
      </c>
      <c r="G896" s="5" t="n">
        <f aca="false">G895*(1+F896)</f>
        <v>34026.6546227436</v>
      </c>
    </row>
    <row r="897" customFormat="false" ht="15" hidden="false" customHeight="false" outlineLevel="0" collapsed="false">
      <c r="A897" s="3" t="n">
        <v>45657</v>
      </c>
      <c r="B897" s="10" t="n">
        <v>0.00766512</v>
      </c>
      <c r="C897" s="5" t="n">
        <f aca="false">C896*(1+B897)</f>
        <v>13058.850933862</v>
      </c>
      <c r="D897" s="10" t="n">
        <v>-0.00012203</v>
      </c>
      <c r="E897" s="5" t="n">
        <f aca="false">E896*(1+D897)</f>
        <v>19978.7304145615</v>
      </c>
      <c r="F897" s="4" t="n">
        <f aca="false">D897*Varsayımlar!$B$3</f>
        <v>-0.0001525375</v>
      </c>
      <c r="G897" s="5" t="n">
        <f aca="false">G896*(1+F897)</f>
        <v>34021.4642819141</v>
      </c>
    </row>
    <row r="898" customFormat="false" ht="15" hidden="false" customHeight="false" outlineLevel="0" collapsed="false">
      <c r="A898" s="3" t="n">
        <v>45658</v>
      </c>
      <c r="B898" s="10" t="n">
        <v>-0.01183012</v>
      </c>
      <c r="C898" s="5" t="n">
        <f aca="false">C897*(1+B898)</f>
        <v>12904.3631602523</v>
      </c>
      <c r="D898" s="10" t="n">
        <v>-0.02945623</v>
      </c>
      <c r="E898" s="5" t="n">
        <f aca="false">E897*(1+D898)</f>
        <v>19390.2323363622</v>
      </c>
      <c r="F898" s="4" t="n">
        <f aca="false">D898*Varsayımlar!$B$3</f>
        <v>-0.0368202875</v>
      </c>
      <c r="G898" s="5" t="n">
        <f aca="false">G897*(1+F898)</f>
        <v>32768.784185883</v>
      </c>
    </row>
    <row r="899" customFormat="false" ht="15" hidden="false" customHeight="false" outlineLevel="0" collapsed="false">
      <c r="A899" s="3" t="n">
        <v>45659</v>
      </c>
      <c r="B899" s="10" t="n">
        <v>-0.01020476</v>
      </c>
      <c r="C899" s="5" t="n">
        <f aca="false">C898*(1+B899)</f>
        <v>12772.6772312491</v>
      </c>
      <c r="D899" s="10" t="n">
        <v>0.01203757</v>
      </c>
      <c r="E899" s="5" t="n">
        <f aca="false">E898*(1+D899)</f>
        <v>19623.6436154274</v>
      </c>
      <c r="F899" s="4" t="n">
        <f aca="false">D899*Varsayımlar!$B$3</f>
        <v>0.0150469625</v>
      </c>
      <c r="G899" s="5" t="n">
        <f aca="false">G898*(1+F899)</f>
        <v>33261.8548526986</v>
      </c>
    </row>
    <row r="900" customFormat="false" ht="15" hidden="false" customHeight="false" outlineLevel="0" collapsed="false">
      <c r="A900" s="3" t="n">
        <v>45660</v>
      </c>
      <c r="B900" s="10" t="n">
        <v>-0.0201258</v>
      </c>
      <c r="C900" s="5" t="n">
        <f aca="false">C899*(1+B900)</f>
        <v>12515.6168838284</v>
      </c>
      <c r="D900" s="10" t="n">
        <v>-0.01765936</v>
      </c>
      <c r="E900" s="5" t="n">
        <f aca="false">E899*(1+D900)</f>
        <v>19277.1026283109</v>
      </c>
      <c r="F900" s="4" t="n">
        <f aca="false">D900*Varsayımlar!$B$3</f>
        <v>-0.0220742</v>
      </c>
      <c r="G900" s="5" t="n">
        <f aca="false">G899*(1+F900)</f>
        <v>32527.6260163092</v>
      </c>
    </row>
    <row r="901" customFormat="false" ht="15" hidden="false" customHeight="false" outlineLevel="0" collapsed="false">
      <c r="A901" s="3" t="n">
        <v>45661</v>
      </c>
      <c r="B901" s="10" t="n">
        <v>0.00670683</v>
      </c>
      <c r="C901" s="5" t="n">
        <f aca="false">C900*(1+B901)</f>
        <v>12599.5569986133</v>
      </c>
      <c r="D901" s="10" t="n">
        <v>0.01019874</v>
      </c>
      <c r="E901" s="5" t="n">
        <f aca="false">E900*(1+D901)</f>
        <v>19473.7047859704</v>
      </c>
      <c r="F901" s="4" t="n">
        <f aca="false">D901*Varsayımlar!$B$3</f>
        <v>0.012748425</v>
      </c>
      <c r="G901" s="5" t="n">
        <f aca="false">G900*(1+F901)</f>
        <v>32942.3020170061</v>
      </c>
    </row>
    <row r="902" customFormat="false" ht="15" hidden="false" customHeight="false" outlineLevel="0" collapsed="false">
      <c r="A902" s="3" t="n">
        <v>45662</v>
      </c>
      <c r="B902" s="10" t="n">
        <v>0.00687036</v>
      </c>
      <c r="C902" s="5" t="n">
        <f aca="false">C901*(1+B902)</f>
        <v>12686.1204910343</v>
      </c>
      <c r="D902" s="10" t="n">
        <v>0.01290977</v>
      </c>
      <c r="E902" s="5" t="n">
        <f aca="false">E901*(1+D902)</f>
        <v>19725.1058358051</v>
      </c>
      <c r="F902" s="4" t="n">
        <f aca="false">D902*Varsayımlar!$B$3</f>
        <v>0.0161372125</v>
      </c>
      <c r="G902" s="5" t="n">
        <f aca="false">G901*(1+F902)</f>
        <v>33473.8989448937</v>
      </c>
    </row>
    <row r="903" customFormat="false" ht="15" hidden="false" customHeight="false" outlineLevel="0" collapsed="false">
      <c r="A903" s="3" t="n">
        <v>45663</v>
      </c>
      <c r="B903" s="10" t="n">
        <v>-0.01262387</v>
      </c>
      <c r="C903" s="5" t="n">
        <f aca="false">C902*(1+B903)</f>
        <v>12525.9725551512</v>
      </c>
      <c r="D903" s="10" t="n">
        <v>-0.01081611</v>
      </c>
      <c r="E903" s="5" t="n">
        <f aca="false">E902*(1+D903)</f>
        <v>19511.7569213234</v>
      </c>
      <c r="F903" s="4" t="n">
        <f aca="false">D903*Varsayımlar!$B$3</f>
        <v>-0.0135201375</v>
      </c>
      <c r="G903" s="5" t="n">
        <f aca="false">G902*(1+F903)</f>
        <v>33021.3272284977</v>
      </c>
    </row>
    <row r="904" customFormat="false" ht="15" hidden="false" customHeight="false" outlineLevel="0" collapsed="false">
      <c r="A904" s="3" t="n">
        <v>45664</v>
      </c>
      <c r="B904" s="10" t="n">
        <v>0.01808651</v>
      </c>
      <c r="C904" s="5" t="n">
        <f aca="false">C903*(1+B904)</f>
        <v>12752.5236830297</v>
      </c>
      <c r="D904" s="10" t="n">
        <v>0.02363143</v>
      </c>
      <c r="E904" s="5" t="n">
        <f aca="false">E903*(1+D904)</f>
        <v>19972.8476391867</v>
      </c>
      <c r="F904" s="4" t="n">
        <f aca="false">D904*Varsayımlar!$B$3</f>
        <v>0.0295392875</v>
      </c>
      <c r="G904" s="5" t="n">
        <f aca="false">G903*(1+F904)</f>
        <v>33996.7537071318</v>
      </c>
    </row>
    <row r="905" customFormat="false" ht="15" hidden="false" customHeight="false" outlineLevel="0" collapsed="false">
      <c r="A905" s="3" t="n">
        <v>45665</v>
      </c>
      <c r="B905" s="10" t="n">
        <v>0.02116118</v>
      </c>
      <c r="C905" s="5" t="n">
        <f aca="false">C904*(1+B905)</f>
        <v>13022.3821321405</v>
      </c>
      <c r="D905" s="10" t="n">
        <v>0.02453713</v>
      </c>
      <c r="E905" s="5" t="n">
        <f aca="false">E904*(1+D905)</f>
        <v>20462.9239981796</v>
      </c>
      <c r="F905" s="4" t="n">
        <f aca="false">D905*Varsayımlar!$B$3</f>
        <v>0.0306714125</v>
      </c>
      <c r="G905" s="5" t="n">
        <f aca="false">G904*(1+F905)</f>
        <v>35039.4821637442</v>
      </c>
    </row>
    <row r="906" customFormat="false" ht="15" hidden="false" customHeight="false" outlineLevel="0" collapsed="false">
      <c r="A906" s="3" t="n">
        <v>45666</v>
      </c>
      <c r="B906" s="10" t="n">
        <v>-0.00703014</v>
      </c>
      <c r="C906" s="5" t="n">
        <f aca="false">C905*(1+B906)</f>
        <v>12930.8329626181</v>
      </c>
      <c r="D906" s="10" t="n">
        <v>-0.00552906</v>
      </c>
      <c r="E906" s="5" t="n">
        <f aca="false">E905*(1+D906)</f>
        <v>20349.7832636182</v>
      </c>
      <c r="F906" s="4" t="n">
        <f aca="false">D906*Varsayımlar!$B$3</f>
        <v>-0.006911325</v>
      </c>
      <c r="G906" s="5" t="n">
        <f aca="false">G905*(1+F906)</f>
        <v>34797.3129146789</v>
      </c>
    </row>
    <row r="907" customFormat="false" ht="15" hidden="false" customHeight="false" outlineLevel="0" collapsed="false">
      <c r="A907" s="3" t="n">
        <v>45667</v>
      </c>
      <c r="B907" s="10" t="n">
        <v>-0.00958286</v>
      </c>
      <c r="C907" s="5" t="n">
        <f aca="false">C906*(1+B907)</f>
        <v>12806.9186006539</v>
      </c>
      <c r="D907" s="10" t="n">
        <v>-0.01351973</v>
      </c>
      <c r="E907" s="5" t="n">
        <f aca="false">E906*(1+D907)</f>
        <v>20074.6596883356</v>
      </c>
      <c r="F907" s="4" t="n">
        <f aca="false">D907*Varsayımlar!$B$3</f>
        <v>-0.0168996625</v>
      </c>
      <c r="G907" s="5" t="n">
        <f aca="false">G906*(1+F907)</f>
        <v>34209.2500705139</v>
      </c>
    </row>
    <row r="908" customFormat="false" ht="15" hidden="false" customHeight="false" outlineLevel="0" collapsed="false">
      <c r="A908" s="3" t="n">
        <v>45668</v>
      </c>
      <c r="B908" s="10" t="n">
        <v>0.00614036</v>
      </c>
      <c r="C908" s="5" t="n">
        <f aca="false">C907*(1+B908)</f>
        <v>12885.5576913526</v>
      </c>
      <c r="D908" s="10" t="n">
        <v>0.01207142</v>
      </c>
      <c r="E908" s="5" t="n">
        <f aca="false">E907*(1+D908)</f>
        <v>20316.9893367906</v>
      </c>
      <c r="F908" s="4" t="n">
        <f aca="false">D908*Varsayımlar!$B$3</f>
        <v>0.015089275</v>
      </c>
      <c r="G908" s="5" t="n">
        <f aca="false">G907*(1+F908)</f>
        <v>34725.4428523716</v>
      </c>
    </row>
    <row r="909" customFormat="false" ht="15" hidden="false" customHeight="false" outlineLevel="0" collapsed="false">
      <c r="A909" s="3" t="n">
        <v>45669</v>
      </c>
      <c r="B909" s="10" t="n">
        <v>-0.01311527</v>
      </c>
      <c r="C909" s="5" t="n">
        <f aca="false">C908*(1+B909)</f>
        <v>12716.56012313</v>
      </c>
      <c r="D909" s="10" t="n">
        <v>-0.00734621</v>
      </c>
      <c r="E909" s="5" t="n">
        <f aca="false">E908*(1+D909)</f>
        <v>20167.7364665548</v>
      </c>
      <c r="F909" s="4" t="n">
        <f aca="false">D909*Varsayımlar!$B$3</f>
        <v>-0.0091827625</v>
      </c>
      <c r="G909" s="5" t="n">
        <f aca="false">G908*(1+F909)</f>
        <v>34406.567357951</v>
      </c>
    </row>
    <row r="910" customFormat="false" ht="15" hidden="false" customHeight="false" outlineLevel="0" collapsed="false">
      <c r="A910" s="3" t="n">
        <v>45670</v>
      </c>
      <c r="B910" s="10" t="n">
        <v>0.00438653</v>
      </c>
      <c r="C910" s="5" t="n">
        <f aca="false">C909*(1+B910)</f>
        <v>12772.3416956069</v>
      </c>
      <c r="D910" s="10" t="n">
        <v>-0.00286743</v>
      </c>
      <c r="E910" s="5" t="n">
        <f aca="false">E909*(1+D910)</f>
        <v>20109.9068939785</v>
      </c>
      <c r="F910" s="4" t="n">
        <f aca="false">D910*Varsayımlar!$B$3</f>
        <v>-0.0035842875</v>
      </c>
      <c r="G910" s="5" t="n">
        <f aca="false">G909*(1+F910)</f>
        <v>34283.244328652</v>
      </c>
    </row>
    <row r="911" customFormat="false" ht="15" hidden="false" customHeight="false" outlineLevel="0" collapsed="false">
      <c r="A911" s="3" t="n">
        <v>45671</v>
      </c>
      <c r="B911" s="10" t="n">
        <v>-0.00066148</v>
      </c>
      <c r="C911" s="5" t="n">
        <f aca="false">C910*(1+B911)</f>
        <v>12763.8930470221</v>
      </c>
      <c r="D911" s="10" t="n">
        <v>0.00238457</v>
      </c>
      <c r="E911" s="5" t="n">
        <f aca="false">E910*(1+D911)</f>
        <v>20157.8603746606</v>
      </c>
      <c r="F911" s="4" t="n">
        <f aca="false">D911*Varsayımlar!$B$3</f>
        <v>0.0029807125</v>
      </c>
      <c r="G911" s="5" t="n">
        <f aca="false">G910*(1+F911)</f>
        <v>34385.432823563</v>
      </c>
    </row>
    <row r="912" customFormat="false" ht="15" hidden="false" customHeight="false" outlineLevel="0" collapsed="false">
      <c r="A912" s="3" t="n">
        <v>45672</v>
      </c>
      <c r="B912" s="10" t="n">
        <v>-0.03209248</v>
      </c>
      <c r="C912" s="5" t="n">
        <f aca="false">C911*(1+B912)</f>
        <v>12354.2680646884</v>
      </c>
      <c r="D912" s="10" t="n">
        <v>-0.03372104</v>
      </c>
      <c r="E912" s="5" t="n">
        <f aca="false">E911*(1+D912)</f>
        <v>19478.1163586523</v>
      </c>
      <c r="F912" s="4" t="n">
        <f aca="false">D912*Varsayımlar!$B$3</f>
        <v>-0.0421513</v>
      </c>
      <c r="G912" s="5" t="n">
        <f aca="false">G911*(1+F912)</f>
        <v>32936.0421289871</v>
      </c>
    </row>
    <row r="913" customFormat="false" ht="15" hidden="false" customHeight="false" outlineLevel="0" collapsed="false">
      <c r="A913" s="3" t="n">
        <v>45673</v>
      </c>
      <c r="B913" s="10" t="n">
        <v>0.00181698</v>
      </c>
      <c r="C913" s="5" t="n">
        <f aca="false">C912*(1+B913)</f>
        <v>12376.7155226765</v>
      </c>
      <c r="D913" s="10" t="n">
        <v>0.00148316</v>
      </c>
      <c r="E913" s="5" t="n">
        <f aca="false">E912*(1+D913)</f>
        <v>19507.0055217108</v>
      </c>
      <c r="F913" s="4" t="n">
        <f aca="false">D913*Varsayımlar!$B$3</f>
        <v>0.00185395</v>
      </c>
      <c r="G913" s="5" t="n">
        <f aca="false">G912*(1+F913)</f>
        <v>32997.1039042921</v>
      </c>
    </row>
    <row r="914" customFormat="false" ht="15" hidden="false" customHeight="false" outlineLevel="0" collapsed="false">
      <c r="A914" s="3" t="n">
        <v>45674</v>
      </c>
      <c r="B914" s="10" t="n">
        <v>-0.0273581</v>
      </c>
      <c r="C914" s="5" t="n">
        <f aca="false">C913*(1+B914)</f>
        <v>12038.1121017356</v>
      </c>
      <c r="D914" s="10" t="n">
        <v>-0.03556087</v>
      </c>
      <c r="E914" s="5" t="n">
        <f aca="false">E913*(1+D914)</f>
        <v>18813.3194342639</v>
      </c>
      <c r="F914" s="4" t="n">
        <f aca="false">D914*Varsayımlar!$B$3</f>
        <v>-0.0444510875</v>
      </c>
      <c r="G914" s="5" t="n">
        <f aca="false">G913*(1+F914)</f>
        <v>31530.3467513959</v>
      </c>
    </row>
    <row r="915" customFormat="false" ht="15" hidden="false" customHeight="false" outlineLevel="0" collapsed="false">
      <c r="A915" s="3" t="n">
        <v>45675</v>
      </c>
      <c r="B915" s="10" t="n">
        <v>0.01747563</v>
      </c>
      <c r="C915" s="5" t="n">
        <f aca="false">C914*(1+B915)</f>
        <v>12248.4856947241</v>
      </c>
      <c r="D915" s="10" t="n">
        <v>0.03929863</v>
      </c>
      <c r="E915" s="5" t="n">
        <f aca="false">E914*(1+D915)</f>
        <v>19552.6571137829</v>
      </c>
      <c r="F915" s="4" t="n">
        <f aca="false">D915*Varsayımlar!$B$3</f>
        <v>0.0491232875</v>
      </c>
      <c r="G915" s="5" t="n">
        <f aca="false">G914*(1+F915)</f>
        <v>33079.2210398394</v>
      </c>
    </row>
    <row r="916" customFormat="false" ht="15" hidden="false" customHeight="false" outlineLevel="0" collapsed="false">
      <c r="A916" s="3" t="n">
        <v>45676</v>
      </c>
      <c r="B916" s="10" t="n">
        <v>0.00359492</v>
      </c>
      <c r="C916" s="5" t="n">
        <f aca="false">C915*(1+B916)</f>
        <v>12292.5180209177</v>
      </c>
      <c r="D916" s="10" t="n">
        <v>0.0059473</v>
      </c>
      <c r="E916" s="5" t="n">
        <f aca="false">E915*(1+D916)</f>
        <v>19668.9426314357</v>
      </c>
      <c r="F916" s="4" t="n">
        <f aca="false">D916*Varsayımlar!$B$3</f>
        <v>0.007434125</v>
      </c>
      <c r="G916" s="5" t="n">
        <f aca="false">G915*(1+F916)</f>
        <v>33325.1361039522</v>
      </c>
    </row>
    <row r="917" customFormat="false" ht="15" hidden="false" customHeight="false" outlineLevel="0" collapsed="false">
      <c r="A917" s="3" t="n">
        <v>45677</v>
      </c>
      <c r="B917" s="10" t="n">
        <v>0.00735455</v>
      </c>
      <c r="C917" s="5" t="n">
        <f aca="false">C916*(1+B917)</f>
        <v>12382.9239593285</v>
      </c>
      <c r="D917" s="10" t="n">
        <v>0.00690184</v>
      </c>
      <c r="E917" s="5" t="n">
        <f aca="false">E916*(1+D917)</f>
        <v>19804.694526447</v>
      </c>
      <c r="F917" s="4" t="n">
        <f aca="false">D917*Varsayımlar!$B$3</f>
        <v>0.0086273</v>
      </c>
      <c r="G917" s="5" t="n">
        <f aca="false">G916*(1+F917)</f>
        <v>33612.6420506618</v>
      </c>
    </row>
    <row r="918" customFormat="false" ht="15" hidden="false" customHeight="false" outlineLevel="0" collapsed="false">
      <c r="A918" s="3" t="n">
        <v>45678</v>
      </c>
      <c r="B918" s="10" t="n">
        <v>-0.01251494</v>
      </c>
      <c r="C918" s="5" t="n">
        <f aca="false">C917*(1+B918)</f>
        <v>12227.9524089529</v>
      </c>
      <c r="D918" s="10" t="n">
        <v>-0.00695841</v>
      </c>
      <c r="E918" s="5" t="n">
        <f aca="false">E917*(1+D918)</f>
        <v>19666.8853420073</v>
      </c>
      <c r="F918" s="4" t="n">
        <f aca="false">D918*Varsayımlar!$B$3</f>
        <v>-0.0086980125</v>
      </c>
      <c r="G918" s="5" t="n">
        <f aca="false">G917*(1+F918)</f>
        <v>33320.2788699471</v>
      </c>
    </row>
    <row r="919" customFormat="false" ht="15" hidden="false" customHeight="false" outlineLevel="0" collapsed="false">
      <c r="A919" s="3" t="n">
        <v>45679</v>
      </c>
      <c r="B919" s="10" t="n">
        <v>-0.00485716</v>
      </c>
      <c r="C919" s="5" t="n">
        <f aca="false">C918*(1+B919)</f>
        <v>12168.5592876303</v>
      </c>
      <c r="D919" s="10" t="n">
        <v>-0.00918592</v>
      </c>
      <c r="E919" s="5" t="n">
        <f aca="false">E918*(1+D919)</f>
        <v>19486.2269066064</v>
      </c>
      <c r="F919" s="4" t="n">
        <f aca="false">D919*Varsayımlar!$B$3</f>
        <v>-0.0114824</v>
      </c>
      <c r="G919" s="5" t="n">
        <f aca="false">G918*(1+F919)</f>
        <v>32937.6820998508</v>
      </c>
    </row>
    <row r="920" customFormat="false" ht="15" hidden="false" customHeight="false" outlineLevel="0" collapsed="false">
      <c r="A920" s="3" t="n">
        <v>45680</v>
      </c>
      <c r="B920" s="10" t="n">
        <v>0.00765852</v>
      </c>
      <c r="C920" s="5" t="n">
        <f aca="false">C919*(1+B920)</f>
        <v>12261.7524423058</v>
      </c>
      <c r="D920" s="10" t="n">
        <v>0.01128987</v>
      </c>
      <c r="E920" s="5" t="n">
        <f aca="false">E919*(1+D920)</f>
        <v>19706.2238751725</v>
      </c>
      <c r="F920" s="4" t="n">
        <f aca="false">D920*Varsayımlar!$B$3</f>
        <v>0.0141123375</v>
      </c>
      <c r="G920" s="5" t="n">
        <f aca="false">G919*(1+F920)</f>
        <v>33402.5097861116</v>
      </c>
    </row>
    <row r="921" customFormat="false" ht="15" hidden="false" customHeight="false" outlineLevel="0" collapsed="false">
      <c r="A921" s="3" t="n">
        <v>45681</v>
      </c>
      <c r="B921" s="10" t="n">
        <v>0.01910821</v>
      </c>
      <c r="C921" s="5" t="n">
        <f aca="false">C920*(1+B921)</f>
        <v>12496.0525829413</v>
      </c>
      <c r="D921" s="10" t="n">
        <v>0.03218993</v>
      </c>
      <c r="E921" s="5" t="n">
        <f aca="false">E920*(1+D921)</f>
        <v>20340.5658422786</v>
      </c>
      <c r="F921" s="4" t="n">
        <f aca="false">D921*Varsayımlar!$B$3</f>
        <v>0.0402374125</v>
      </c>
      <c r="G921" s="5" t="n">
        <f aca="false">G920*(1+F921)</f>
        <v>34746.5403509107</v>
      </c>
    </row>
    <row r="922" customFormat="false" ht="15" hidden="false" customHeight="false" outlineLevel="0" collapsed="false">
      <c r="A922" s="3" t="n">
        <v>45682</v>
      </c>
      <c r="B922" s="10" t="n">
        <v>-0.00176621</v>
      </c>
      <c r="C922" s="5" t="n">
        <f aca="false">C921*(1+B922)</f>
        <v>12473.9819299088</v>
      </c>
      <c r="D922" s="10" t="n">
        <v>-0.00064553</v>
      </c>
      <c r="E922" s="5" t="n">
        <f aca="false">E921*(1+D922)</f>
        <v>20327.4353968105</v>
      </c>
      <c r="F922" s="4" t="n">
        <f aca="false">D922*Varsayımlar!$B$3</f>
        <v>-0.0008069125</v>
      </c>
      <c r="G922" s="5" t="n">
        <f aca="false">G921*(1+F922)</f>
        <v>34718.5029331698</v>
      </c>
    </row>
    <row r="923" customFormat="false" ht="15" hidden="false" customHeight="false" outlineLevel="0" collapsed="false">
      <c r="A923" s="3" t="n">
        <v>45683</v>
      </c>
      <c r="B923" s="10" t="n">
        <v>0.03031272</v>
      </c>
      <c r="C923" s="5" t="n">
        <f aca="false">C922*(1+B923)</f>
        <v>12852.1022514352</v>
      </c>
      <c r="D923" s="10" t="n">
        <v>0.04029968</v>
      </c>
      <c r="E923" s="5" t="n">
        <f aca="false">E922*(1+D923)</f>
        <v>21146.6245385226</v>
      </c>
      <c r="F923" s="4" t="n">
        <f aca="false">D923*Varsayımlar!$B$3</f>
        <v>0.0503746</v>
      </c>
      <c r="G923" s="5" t="n">
        <f aca="false">G922*(1+F923)</f>
        <v>36467.433631027</v>
      </c>
    </row>
    <row r="924" customFormat="false" ht="15" hidden="false" customHeight="false" outlineLevel="0" collapsed="false">
      <c r="A924" s="3" t="n">
        <v>45684</v>
      </c>
      <c r="B924" s="10" t="n">
        <v>0.0181457</v>
      </c>
      <c r="C924" s="5" t="n">
        <f aca="false">C923*(1+B924)</f>
        <v>13085.3126432591</v>
      </c>
      <c r="D924" s="10" t="n">
        <v>0.00831447</v>
      </c>
      <c r="E924" s="5" t="n">
        <f aca="false">E923*(1+D924)</f>
        <v>21322.4475138494</v>
      </c>
      <c r="F924" s="4" t="n">
        <f aca="false">D924*Varsayımlar!$B$3</f>
        <v>0.0103930875</v>
      </c>
      <c r="G924" s="5" t="n">
        <f aca="false">G923*(1+F924)</f>
        <v>36846.4428596548</v>
      </c>
    </row>
    <row r="925" customFormat="false" ht="15" hidden="false" customHeight="false" outlineLevel="0" collapsed="false">
      <c r="A925" s="3" t="n">
        <v>45685</v>
      </c>
      <c r="B925" s="10" t="n">
        <v>0.03175514</v>
      </c>
      <c r="C925" s="5" t="n">
        <f aca="false">C924*(1+B925)</f>
        <v>13500.8385781895</v>
      </c>
      <c r="D925" s="10" t="n">
        <v>0.03417571</v>
      </c>
      <c r="E925" s="5" t="n">
        <f aca="false">E924*(1+D925)</f>
        <v>22051.1572965729</v>
      </c>
      <c r="F925" s="4" t="n">
        <f aca="false">D925*Varsayımlar!$B$3</f>
        <v>0.0427196375</v>
      </c>
      <c r="G925" s="5" t="n">
        <f aca="false">G924*(1+F925)</f>
        <v>38420.5095417837</v>
      </c>
    </row>
    <row r="926" customFormat="false" ht="15" hidden="false" customHeight="false" outlineLevel="0" collapsed="false">
      <c r="A926" s="3" t="n">
        <v>45686</v>
      </c>
      <c r="B926" s="10" t="n">
        <v>0.00557021</v>
      </c>
      <c r="C926" s="5" t="n">
        <f aca="false">C925*(1+B926)</f>
        <v>13576.0410842462</v>
      </c>
      <c r="D926" s="10" t="n">
        <v>0.0083611</v>
      </c>
      <c r="E926" s="5" t="n">
        <f aca="false">E925*(1+D926)</f>
        <v>22235.5292278453</v>
      </c>
      <c r="F926" s="4" t="n">
        <f aca="false">D926*Varsayımlar!$B$3</f>
        <v>0.010451375</v>
      </c>
      <c r="G926" s="5" t="n">
        <f aca="false">G925*(1+F926)</f>
        <v>38822.0566946959</v>
      </c>
    </row>
    <row r="927" customFormat="false" ht="15" hidden="false" customHeight="false" outlineLevel="0" collapsed="false">
      <c r="A927" s="3" t="n">
        <v>45687</v>
      </c>
      <c r="B927" s="10" t="n">
        <v>0.01534197</v>
      </c>
      <c r="C927" s="5" t="n">
        <f aca="false">C926*(1+B927)</f>
        <v>13784.3242992794</v>
      </c>
      <c r="D927" s="10" t="n">
        <v>0.02203224</v>
      </c>
      <c r="E927" s="5" t="n">
        <f aca="false">E926*(1+D927)</f>
        <v>22725.4277443202</v>
      </c>
      <c r="F927" s="4" t="n">
        <f aca="false">D927*Varsayımlar!$B$3</f>
        <v>0.0275403</v>
      </c>
      <c r="G927" s="5" t="n">
        <f aca="false">G926*(1+F927)</f>
        <v>39891.2277826849</v>
      </c>
    </row>
    <row r="928" customFormat="false" ht="15" hidden="false" customHeight="false" outlineLevel="0" collapsed="false">
      <c r="A928" s="3" t="n">
        <v>45688</v>
      </c>
      <c r="B928" s="10" t="n">
        <v>-0.01394684</v>
      </c>
      <c r="C928" s="5" t="n">
        <f aca="false">C927*(1+B928)</f>
        <v>13592.0765337693</v>
      </c>
      <c r="D928" s="10" t="n">
        <v>-0.01801084</v>
      </c>
      <c r="E928" s="5" t="n">
        <f aca="false">E927*(1+D928)</f>
        <v>22316.1237012857</v>
      </c>
      <c r="F928" s="4" t="n">
        <f aca="false">D928*Varsayımlar!$B$3</f>
        <v>-0.02251355</v>
      </c>
      <c r="G928" s="5" t="n">
        <f aca="false">G927*(1+F928)</f>
        <v>38993.134631438</v>
      </c>
    </row>
    <row r="929" customFormat="false" ht="15" hidden="false" customHeight="false" outlineLevel="0" collapsed="false">
      <c r="A929" s="3" t="n">
        <v>45689</v>
      </c>
      <c r="B929" s="10" t="n">
        <v>0.02569224</v>
      </c>
      <c r="C929" s="5" t="n">
        <f aca="false">C928*(1+B929)</f>
        <v>13941.2874261732</v>
      </c>
      <c r="D929" s="10" t="n">
        <v>0.04199888</v>
      </c>
      <c r="E929" s="5" t="n">
        <f aca="false">E928*(1+D929)</f>
        <v>23253.3759026812</v>
      </c>
      <c r="F929" s="4" t="n">
        <f aca="false">D929*Varsayımlar!$B$3</f>
        <v>0.0524986</v>
      </c>
      <c r="G929" s="5" t="n">
        <f aca="false">G928*(1+F929)</f>
        <v>41040.2196092</v>
      </c>
    </row>
    <row r="930" customFormat="false" ht="15" hidden="false" customHeight="false" outlineLevel="0" collapsed="false">
      <c r="A930" s="3" t="n">
        <v>45690</v>
      </c>
      <c r="B930" s="10" t="n">
        <v>-0.0048942</v>
      </c>
      <c r="C930" s="5" t="n">
        <f aca="false">C929*(1+B930)</f>
        <v>13873.0559772521</v>
      </c>
      <c r="D930" s="10" t="n">
        <v>-0.02088595</v>
      </c>
      <c r="E930" s="5" t="n">
        <f aca="false">E929*(1+D930)</f>
        <v>22767.7070562466</v>
      </c>
      <c r="F930" s="4" t="n">
        <f aca="false">D930*Varsayımlar!$B$3</f>
        <v>-0.0261074375</v>
      </c>
      <c r="G930" s="5" t="n">
        <f aca="false">G929*(1+F930)</f>
        <v>39968.7646407666</v>
      </c>
    </row>
    <row r="931" customFormat="false" ht="15" hidden="false" customHeight="false" outlineLevel="0" collapsed="false">
      <c r="A931" s="3" t="n">
        <v>45691</v>
      </c>
      <c r="B931" s="10" t="n">
        <v>0.02303243</v>
      </c>
      <c r="C931" s="5" t="n">
        <f aca="false">C930*(1+B931)</f>
        <v>14192.5861679342</v>
      </c>
      <c r="D931" s="10" t="n">
        <v>0.02288948</v>
      </c>
      <c r="E931" s="5" t="n">
        <f aca="false">E930*(1+D931)</f>
        <v>23288.8480315564</v>
      </c>
      <c r="F931" s="4" t="n">
        <f aca="false">D931*Varsayımlar!$B$3</f>
        <v>0.02861185</v>
      </c>
      <c r="G931" s="5" t="n">
        <f aca="false">G930*(1+F931)</f>
        <v>41112.3449393535</v>
      </c>
    </row>
    <row r="932" customFormat="false" ht="15" hidden="false" customHeight="false" outlineLevel="0" collapsed="false">
      <c r="A932" s="3" t="n">
        <v>45692</v>
      </c>
      <c r="B932" s="10" t="n">
        <v>-0.01034468</v>
      </c>
      <c r="C932" s="5" t="n">
        <f aca="false">C931*(1+B932)</f>
        <v>14045.7684056545</v>
      </c>
      <c r="D932" s="10" t="n">
        <v>-0.01666998</v>
      </c>
      <c r="E932" s="5" t="n">
        <f aca="false">E931*(1+D932)</f>
        <v>22900.6234006473</v>
      </c>
      <c r="F932" s="4" t="n">
        <f aca="false">D932*Varsayımlar!$B$3</f>
        <v>-0.020837475</v>
      </c>
      <c r="G932" s="5" t="n">
        <f aca="false">G931*(1+F932)</f>
        <v>40255.6674794883</v>
      </c>
    </row>
    <row r="933" customFormat="false" ht="15" hidden="false" customHeight="false" outlineLevel="0" collapsed="false">
      <c r="A933" s="3" t="n">
        <v>45693</v>
      </c>
      <c r="B933" s="10" t="n">
        <v>-0.0009741</v>
      </c>
      <c r="C933" s="5" t="n">
        <f aca="false">C932*(1+B933)</f>
        <v>14032.0864226505</v>
      </c>
      <c r="D933" s="10" t="n">
        <v>0.00600647</v>
      </c>
      <c r="E933" s="5" t="n">
        <f aca="false">E932*(1+D933)</f>
        <v>23038.1753080846</v>
      </c>
      <c r="F933" s="4" t="n">
        <f aca="false">D933*Varsayımlar!$B$3</f>
        <v>0.0075080875</v>
      </c>
      <c r="G933" s="5" t="n">
        <f aca="false">G932*(1+F933)</f>
        <v>40557.9105532952</v>
      </c>
    </row>
    <row r="934" customFormat="false" ht="15" hidden="false" customHeight="false" outlineLevel="0" collapsed="false">
      <c r="A934" s="3" t="n">
        <v>45694</v>
      </c>
      <c r="B934" s="10" t="n">
        <v>0.00275848</v>
      </c>
      <c r="C934" s="5" t="n">
        <f aca="false">C933*(1+B934)</f>
        <v>14070.7936524057</v>
      </c>
      <c r="D934" s="10" t="n">
        <v>0.00772846</v>
      </c>
      <c r="E934" s="5" t="n">
        <f aca="false">E933*(1+D934)</f>
        <v>23216.2249244261</v>
      </c>
      <c r="F934" s="4" t="n">
        <f aca="false">D934*Varsayımlar!$B$3</f>
        <v>0.009660575</v>
      </c>
      <c r="G934" s="5" t="n">
        <f aca="false">G933*(1+F934)</f>
        <v>40949.7232900386</v>
      </c>
    </row>
    <row r="935" customFormat="false" ht="15" hidden="false" customHeight="false" outlineLevel="0" collapsed="false">
      <c r="A935" s="3" t="n">
        <v>45695</v>
      </c>
      <c r="B935" s="10" t="n">
        <v>0.00353143</v>
      </c>
      <c r="C935" s="5" t="n">
        <f aca="false">C934*(1+B935)</f>
        <v>14120.4836752336</v>
      </c>
      <c r="D935" s="10" t="n">
        <v>0.00662103</v>
      </c>
      <c r="E935" s="5" t="n">
        <f aca="false">E934*(1+D935)</f>
        <v>23369.9402461375</v>
      </c>
      <c r="F935" s="4" t="n">
        <f aca="false">D935*Varsayımlar!$B$3</f>
        <v>0.0082762875</v>
      </c>
      <c r="G935" s="5" t="n">
        <f aca="false">G934*(1+F935)</f>
        <v>41288.6349730324</v>
      </c>
    </row>
    <row r="936" customFormat="false" ht="15" hidden="false" customHeight="false" outlineLevel="0" collapsed="false">
      <c r="A936" s="3" t="n">
        <v>45696</v>
      </c>
      <c r="B936" s="10" t="n">
        <v>-0.03149324</v>
      </c>
      <c r="C936" s="5" t="n">
        <f aca="false">C935*(1+B936)</f>
        <v>13675.7838939334</v>
      </c>
      <c r="D936" s="10" t="n">
        <v>-0.03427738</v>
      </c>
      <c r="E936" s="5" t="n">
        <f aca="false">E935*(1+D936)</f>
        <v>22568.8799237433</v>
      </c>
      <c r="F936" s="4" t="n">
        <f aca="false">D936*Varsayımlar!$B$3</f>
        <v>-0.042846725</v>
      </c>
      <c r="G936" s="5" t="n">
        <f aca="false">G935*(1+F936)</f>
        <v>39519.5521847175</v>
      </c>
    </row>
    <row r="937" customFormat="false" ht="15" hidden="false" customHeight="false" outlineLevel="0" collapsed="false">
      <c r="A937" s="3" t="n">
        <v>45697</v>
      </c>
      <c r="B937" s="10" t="n">
        <v>-0.00707031</v>
      </c>
      <c r="C937" s="5" t="n">
        <f aca="false">C936*(1+B937)</f>
        <v>13579.0918623103</v>
      </c>
      <c r="D937" s="10" t="n">
        <v>0.00745366</v>
      </c>
      <c r="E937" s="5" t="n">
        <f aca="false">E936*(1+D937)</f>
        <v>22737.1006812757</v>
      </c>
      <c r="F937" s="4" t="n">
        <f aca="false">D937*Varsayımlar!$B$3</f>
        <v>0.009317075</v>
      </c>
      <c r="G937" s="5" t="n">
        <f aca="false">G936*(1+F937)</f>
        <v>39887.758816389</v>
      </c>
    </row>
    <row r="938" customFormat="false" ht="15" hidden="false" customHeight="false" outlineLevel="0" collapsed="false">
      <c r="A938" s="3" t="n">
        <v>45698</v>
      </c>
      <c r="B938" s="10" t="n">
        <v>0.01585464</v>
      </c>
      <c r="C938" s="5" t="n">
        <f aca="false">C937*(1+B938)</f>
        <v>13794.3834753141</v>
      </c>
      <c r="D938" s="10" t="n">
        <v>0.02248914</v>
      </c>
      <c r="E938" s="5" t="n">
        <f aca="false">E937*(1+D938)</f>
        <v>23248.438521691</v>
      </c>
      <c r="F938" s="4" t="n">
        <f aca="false">D938*Varsayımlar!$B$3</f>
        <v>0.028111425</v>
      </c>
      <c r="G938" s="5" t="n">
        <f aca="false">G937*(1+F938)</f>
        <v>41009.060556774</v>
      </c>
    </row>
    <row r="939" customFormat="false" ht="15" hidden="false" customHeight="false" outlineLevel="0" collapsed="false">
      <c r="A939" s="3" t="n">
        <v>45699</v>
      </c>
      <c r="B939" s="10" t="n">
        <v>0.0248329</v>
      </c>
      <c r="C939" s="5" t="n">
        <f aca="false">C938*(1+B939)</f>
        <v>14136.9380207183</v>
      </c>
      <c r="D939" s="10" t="n">
        <v>0.02801137</v>
      </c>
      <c r="E939" s="5" t="n">
        <f aca="false">E938*(1+D939)</f>
        <v>23899.6591350444</v>
      </c>
      <c r="F939" s="4" t="n">
        <f aca="false">D939*Varsayımlar!$B$3</f>
        <v>0.0350142125</v>
      </c>
      <c r="G939" s="5" t="n">
        <f aca="false">G938*(1+F939)</f>
        <v>42444.9605175342</v>
      </c>
    </row>
    <row r="940" customFormat="false" ht="15" hidden="false" customHeight="false" outlineLevel="0" collapsed="false">
      <c r="A940" s="3" t="n">
        <v>45700</v>
      </c>
      <c r="B940" s="10" t="n">
        <v>0.02158205</v>
      </c>
      <c r="C940" s="5" t="n">
        <f aca="false">C939*(1+B940)</f>
        <v>14442.0421239283</v>
      </c>
      <c r="D940" s="10" t="n">
        <v>0.02399753</v>
      </c>
      <c r="E940" s="5" t="n">
        <f aca="false">E939*(1+D940)</f>
        <v>24473.1919221274</v>
      </c>
      <c r="F940" s="4" t="n">
        <f aca="false">D940*Varsayımlar!$B$3</f>
        <v>0.0299969125</v>
      </c>
      <c r="G940" s="5" t="n">
        <f aca="false">G939*(1+F940)</f>
        <v>43718.1782842446</v>
      </c>
    </row>
    <row r="941" customFormat="false" ht="15" hidden="false" customHeight="false" outlineLevel="0" collapsed="false">
      <c r="A941" s="3" t="n">
        <v>45701</v>
      </c>
      <c r="B941" s="10" t="n">
        <v>-0.00442572</v>
      </c>
      <c r="C941" s="5" t="n">
        <f aca="false">C940*(1+B941)</f>
        <v>14378.1256892596</v>
      </c>
      <c r="D941" s="10" t="n">
        <v>-0.01957226</v>
      </c>
      <c r="E941" s="5" t="n">
        <f aca="false">E940*(1+D941)</f>
        <v>23994.1962467976</v>
      </c>
      <c r="F941" s="4" t="n">
        <f aca="false">D941*Varsayımlar!$B$3</f>
        <v>-0.024465325</v>
      </c>
      <c r="G941" s="5" t="n">
        <f aca="false">G940*(1+F941)</f>
        <v>42648.5988441127</v>
      </c>
    </row>
    <row r="942" customFormat="false" ht="15" hidden="false" customHeight="false" outlineLevel="0" collapsed="false">
      <c r="A942" s="3" t="n">
        <v>45702</v>
      </c>
      <c r="B942" s="10" t="n">
        <v>-0.01056429</v>
      </c>
      <c r="C942" s="5" t="n">
        <f aca="false">C941*(1+B942)</f>
        <v>14226.2309998218</v>
      </c>
      <c r="D942" s="10" t="n">
        <v>-0.02201235</v>
      </c>
      <c r="E942" s="5" t="n">
        <f aca="false">E941*(1+D942)</f>
        <v>23466.0276010444</v>
      </c>
      <c r="F942" s="4" t="n">
        <f aca="false">D942*Varsayımlar!$B$3</f>
        <v>-0.0275154375</v>
      </c>
      <c r="G942" s="5" t="n">
        <f aca="false">G941*(1+F942)</f>
        <v>41475.1039881549</v>
      </c>
    </row>
    <row r="943" customFormat="false" ht="15" hidden="false" customHeight="false" outlineLevel="0" collapsed="false">
      <c r="A943" s="3" t="n">
        <v>45703</v>
      </c>
      <c r="B943" s="10" t="n">
        <v>0.00867854</v>
      </c>
      <c r="C943" s="5" t="n">
        <f aca="false">C942*(1+B943)</f>
        <v>14349.693914603</v>
      </c>
      <c r="D943" s="10" t="n">
        <v>0.00869999</v>
      </c>
      <c r="E943" s="5" t="n">
        <f aca="false">E942*(1+D943)</f>
        <v>23670.1818065132</v>
      </c>
      <c r="F943" s="4" t="n">
        <f aca="false">D943*Varsayımlar!$B$3</f>
        <v>0.0108749875</v>
      </c>
      <c r="G943" s="5" t="n">
        <f aca="false">G942*(1+F943)</f>
        <v>41926.1452255873</v>
      </c>
    </row>
    <row r="944" customFormat="false" ht="15" hidden="false" customHeight="false" outlineLevel="0" collapsed="false">
      <c r="A944" s="3" t="n">
        <v>45704</v>
      </c>
      <c r="B944" s="10" t="n">
        <v>-9.273E-005</v>
      </c>
      <c r="C944" s="5" t="n">
        <f aca="false">C943*(1+B944)</f>
        <v>14348.3632674863</v>
      </c>
      <c r="D944" s="10" t="n">
        <v>-0.00296651</v>
      </c>
      <c r="E944" s="5" t="n">
        <f aca="false">E943*(1+D944)</f>
        <v>23599.9639754824</v>
      </c>
      <c r="F944" s="4" t="n">
        <f aca="false">D944*Varsayımlar!$B$3</f>
        <v>-0.0037081375</v>
      </c>
      <c r="G944" s="5" t="n">
        <f aca="false">G943*(1+F944)</f>
        <v>41770.6773142458</v>
      </c>
    </row>
    <row r="945" customFormat="false" ht="15" hidden="false" customHeight="false" outlineLevel="0" collapsed="false">
      <c r="A945" s="3" t="n">
        <v>45705</v>
      </c>
      <c r="B945" s="10" t="n">
        <v>-0.00864628</v>
      </c>
      <c r="C945" s="5" t="n">
        <f aca="false">C944*(1+B945)</f>
        <v>14224.3033011339</v>
      </c>
      <c r="D945" s="10" t="n">
        <v>-0.01586964</v>
      </c>
      <c r="E945" s="5" t="n">
        <f aca="false">E944*(1+D945)</f>
        <v>23225.4410431785</v>
      </c>
      <c r="F945" s="4" t="n">
        <f aca="false">D945*Varsayımlar!$B$3</f>
        <v>-0.01983705</v>
      </c>
      <c r="G945" s="5" t="n">
        <f aca="false">G944*(1+F945)</f>
        <v>40942.0702998293</v>
      </c>
    </row>
    <row r="946" customFormat="false" ht="15" hidden="false" customHeight="false" outlineLevel="0" collapsed="false">
      <c r="A946" s="3" t="n">
        <v>45706</v>
      </c>
      <c r="B946" s="10" t="n">
        <v>0.01336165</v>
      </c>
      <c r="C946" s="5" t="n">
        <f aca="false">C945*(1+B946)</f>
        <v>14414.3634633375</v>
      </c>
      <c r="D946" s="10" t="n">
        <v>0.01819421</v>
      </c>
      <c r="E946" s="5" t="n">
        <f aca="false">E945*(1+D946)</f>
        <v>23648.0095948607</v>
      </c>
      <c r="F946" s="4" t="n">
        <f aca="false">D946*Varsayımlar!$B$3</f>
        <v>0.0227427625</v>
      </c>
      <c r="G946" s="5" t="n">
        <f aca="false">G945*(1+F946)</f>
        <v>41873.2060809166</v>
      </c>
    </row>
    <row r="947" customFormat="false" ht="15" hidden="false" customHeight="false" outlineLevel="0" collapsed="false">
      <c r="A947" s="3" t="n">
        <v>45707</v>
      </c>
      <c r="B947" s="10" t="n">
        <v>0.01433643</v>
      </c>
      <c r="C947" s="5" t="n">
        <f aca="false">C946*(1+B947)</f>
        <v>14621.0139761242</v>
      </c>
      <c r="D947" s="10" t="n">
        <v>0.00178544</v>
      </c>
      <c r="E947" s="5" t="n">
        <f aca="false">E946*(1+D947)</f>
        <v>23690.2316971118</v>
      </c>
      <c r="F947" s="4" t="n">
        <f aca="false">D947*Varsayımlar!$B$3</f>
        <v>0.0022318</v>
      </c>
      <c r="G947" s="5" t="n">
        <f aca="false">G946*(1+F947)</f>
        <v>41966.658702248</v>
      </c>
    </row>
    <row r="948" customFormat="false" ht="15" hidden="false" customHeight="false" outlineLevel="0" collapsed="false">
      <c r="A948" s="3" t="n">
        <v>45708</v>
      </c>
      <c r="B948" s="10" t="n">
        <v>0.00897247</v>
      </c>
      <c r="C948" s="5" t="n">
        <f aca="false">C947*(1+B948)</f>
        <v>14752.2005853945</v>
      </c>
      <c r="D948" s="10" t="n">
        <v>0.00901334</v>
      </c>
      <c r="E948" s="5" t="n">
        <f aca="false">E947*(1+D948)</f>
        <v>23903.7598100766</v>
      </c>
      <c r="F948" s="4" t="n">
        <f aca="false">D948*Varsayımlar!$B$3</f>
        <v>0.011266675</v>
      </c>
      <c r="G948" s="5" t="n">
        <f aca="false">G947*(1+F948)</f>
        <v>42439.4834066821</v>
      </c>
    </row>
    <row r="949" customFormat="false" ht="15" hidden="false" customHeight="false" outlineLevel="0" collapsed="false">
      <c r="A949" s="3" t="n">
        <v>45709</v>
      </c>
      <c r="B949" s="10" t="n">
        <v>-0.00461949</v>
      </c>
      <c r="C949" s="5" t="n">
        <f aca="false">C948*(1+B949)</f>
        <v>14684.0529423123</v>
      </c>
      <c r="D949" s="10" t="n">
        <v>-0.0068036</v>
      </c>
      <c r="E949" s="5" t="n">
        <f aca="false">E948*(1+D949)</f>
        <v>23741.1281898328</v>
      </c>
      <c r="F949" s="4" t="n">
        <f aca="false">D949*Varsayımlar!$B$3</f>
        <v>-0.0085045</v>
      </c>
      <c r="G949" s="5" t="n">
        <f aca="false">G948*(1+F949)</f>
        <v>42078.55682005</v>
      </c>
    </row>
    <row r="950" customFormat="false" ht="15" hidden="false" customHeight="false" outlineLevel="0" collapsed="false">
      <c r="A950" s="3" t="n">
        <v>45710</v>
      </c>
      <c r="B950" s="10" t="n">
        <v>-0.0033222</v>
      </c>
      <c r="C950" s="5" t="n">
        <f aca="false">C949*(1+B950)</f>
        <v>14635.2695816274</v>
      </c>
      <c r="D950" s="10" t="n">
        <v>0.00394686</v>
      </c>
      <c r="E950" s="5" t="n">
        <f aca="false">E949*(1+D950)</f>
        <v>23834.8310990401</v>
      </c>
      <c r="F950" s="4" t="n">
        <f aca="false">D950*Varsayımlar!$B$3</f>
        <v>0.004933575</v>
      </c>
      <c r="G950" s="5" t="n">
        <f aca="false">G949*(1+F950)</f>
        <v>42286.1545360135</v>
      </c>
    </row>
    <row r="951" customFormat="false" ht="15" hidden="false" customHeight="false" outlineLevel="0" collapsed="false">
      <c r="A951" s="3" t="n">
        <v>45711</v>
      </c>
      <c r="B951" s="10" t="n">
        <v>0.02319415</v>
      </c>
      <c r="C951" s="5" t="n">
        <f aca="false">C950*(1+B951)</f>
        <v>14974.7222195941</v>
      </c>
      <c r="D951" s="10" t="n">
        <v>0.02565185</v>
      </c>
      <c r="E951" s="5" t="n">
        <f aca="false">E950*(1+D951)</f>
        <v>24446.238611168</v>
      </c>
      <c r="F951" s="4" t="n">
        <f aca="false">D951*Varsayımlar!$B$3</f>
        <v>0.0320648125</v>
      </c>
      <c r="G951" s="5" t="n">
        <f aca="false">G950*(1+F951)</f>
        <v>43642.0521525568</v>
      </c>
    </row>
    <row r="952" customFormat="false" ht="15" hidden="false" customHeight="false" outlineLevel="0" collapsed="false">
      <c r="A952" s="3" t="n">
        <v>45712</v>
      </c>
      <c r="B952" s="10" t="n">
        <v>0.02454215</v>
      </c>
      <c r="C952" s="5" t="n">
        <f aca="false">C951*(1+B952)</f>
        <v>15342.2340985157</v>
      </c>
      <c r="D952" s="10" t="n">
        <v>0.00504887</v>
      </c>
      <c r="E952" s="5" t="n">
        <f aca="false">E951*(1+D952)</f>
        <v>24569.6644919048</v>
      </c>
      <c r="F952" s="4" t="n">
        <f aca="false">D952*Varsayımlar!$B$3</f>
        <v>0.0063110875</v>
      </c>
      <c r="G952" s="5" t="n">
        <f aca="false">G951*(1+F952)</f>
        <v>43917.4809623711</v>
      </c>
    </row>
    <row r="953" customFormat="false" ht="15" hidden="false" customHeight="false" outlineLevel="0" collapsed="false">
      <c r="A953" s="3" t="n">
        <v>45713</v>
      </c>
      <c r="B953" s="10" t="n">
        <v>-0.00312416</v>
      </c>
      <c r="C953" s="5" t="n">
        <f aca="false">C952*(1+B953)</f>
        <v>15294.3025044345</v>
      </c>
      <c r="D953" s="10" t="n">
        <v>0.00382187</v>
      </c>
      <c r="E953" s="5" t="n">
        <f aca="false">E952*(1+D953)</f>
        <v>24663.5665555364</v>
      </c>
      <c r="F953" s="4" t="n">
        <f aca="false">D953*Varsayımlar!$B$3</f>
        <v>0.0047773375</v>
      </c>
      <c r="G953" s="5" t="n">
        <f aca="false">G952*(1+F953)</f>
        <v>44127.2895910782</v>
      </c>
    </row>
    <row r="954" customFormat="false" ht="15" hidden="false" customHeight="false" outlineLevel="0" collapsed="false">
      <c r="A954" s="3" t="n">
        <v>45714</v>
      </c>
      <c r="B954" s="10" t="n">
        <v>-0.01802915</v>
      </c>
      <c r="C954" s="5" t="n">
        <f aca="false">C953*(1+B954)</f>
        <v>15018.5592304366</v>
      </c>
      <c r="D954" s="10" t="n">
        <v>-0.02029994</v>
      </c>
      <c r="E954" s="5" t="n">
        <f aca="false">E953*(1+D954)</f>
        <v>24162.897634273</v>
      </c>
      <c r="F954" s="4" t="n">
        <f aca="false">D954*Varsayımlar!$B$3</f>
        <v>-0.025374925</v>
      </c>
      <c r="G954" s="5" t="n">
        <f aca="false">G953*(1+F954)</f>
        <v>43007.5629272513</v>
      </c>
    </row>
    <row r="955" customFormat="false" ht="15" hidden="false" customHeight="false" outlineLevel="0" collapsed="false">
      <c r="A955" s="3" t="n">
        <v>45715</v>
      </c>
      <c r="B955" s="10" t="n">
        <v>0.00450756</v>
      </c>
      <c r="C955" s="5" t="n">
        <f aca="false">C954*(1+B955)</f>
        <v>15086.2562872814</v>
      </c>
      <c r="D955" s="10" t="n">
        <v>-0.0010224</v>
      </c>
      <c r="E955" s="5" t="n">
        <f aca="false">E954*(1+D955)</f>
        <v>24138.1934877318</v>
      </c>
      <c r="F955" s="4" t="n">
        <f aca="false">D955*Varsayımlar!$B$3</f>
        <v>-0.001278</v>
      </c>
      <c r="G955" s="5" t="n">
        <f aca="false">G954*(1+F955)</f>
        <v>42952.5992618303</v>
      </c>
    </row>
    <row r="956" customFormat="false" ht="15" hidden="false" customHeight="false" outlineLevel="0" collapsed="false">
      <c r="A956" s="3" t="n">
        <v>45716</v>
      </c>
      <c r="B956" s="10" t="n">
        <v>-0.00794916</v>
      </c>
      <c r="C956" s="5" t="n">
        <f aca="false">C955*(1+B956)</f>
        <v>14966.3332222528</v>
      </c>
      <c r="D956" s="10" t="n">
        <v>-0.01609381</v>
      </c>
      <c r="E956" s="5" t="n">
        <f aca="false">E955*(1+D956)</f>
        <v>23749.717987997</v>
      </c>
      <c r="F956" s="4" t="n">
        <f aca="false">D956*Varsayımlar!$B$3</f>
        <v>-0.0201172625</v>
      </c>
      <c r="G956" s="5" t="n">
        <f aca="false">G955*(1+F956)</f>
        <v>42088.5105474227</v>
      </c>
    </row>
    <row r="957" customFormat="false" ht="15" hidden="false" customHeight="false" outlineLevel="0" collapsed="false">
      <c r="A957" s="3" t="n">
        <v>45717</v>
      </c>
      <c r="B957" s="10" t="n">
        <v>0.0109061</v>
      </c>
      <c r="C957" s="5" t="n">
        <f aca="false">C956*(1+B957)</f>
        <v>15129.557549008</v>
      </c>
      <c r="D957" s="10" t="n">
        <v>0.00758817</v>
      </c>
      <c r="E957" s="5" t="n">
        <f aca="false">E956*(1+D957)</f>
        <v>23929.934885542</v>
      </c>
      <c r="F957" s="4" t="n">
        <f aca="false">D957*Varsayımlar!$B$3</f>
        <v>0.0094852125</v>
      </c>
      <c r="G957" s="5" t="n">
        <f aca="false">G956*(1+F957)</f>
        <v>42487.7290137735</v>
      </c>
    </row>
    <row r="958" customFormat="false" ht="15" hidden="false" customHeight="false" outlineLevel="0" collapsed="false">
      <c r="A958" s="3" t="n">
        <v>45718</v>
      </c>
      <c r="B958" s="10" t="n">
        <v>-0.04758648</v>
      </c>
      <c r="C958" s="5" t="n">
        <f aca="false">C957*(1+B958)</f>
        <v>14409.5951612933</v>
      </c>
      <c r="D958" s="10" t="n">
        <v>-0.05314096</v>
      </c>
      <c r="E958" s="5" t="n">
        <f aca="false">E957*(1+D958)</f>
        <v>22658.2751729868</v>
      </c>
      <c r="F958" s="4" t="n">
        <f aca="false">D958*Varsayımlar!$B$3</f>
        <v>-0.0664262</v>
      </c>
      <c r="G958" s="5" t="n">
        <f aca="false">G957*(1+F958)</f>
        <v>39665.4306287588</v>
      </c>
    </row>
    <row r="959" customFormat="false" ht="15" hidden="false" customHeight="false" outlineLevel="0" collapsed="false">
      <c r="A959" s="3" t="n">
        <v>45719</v>
      </c>
      <c r="B959" s="10" t="n">
        <v>0.02128078</v>
      </c>
      <c r="C959" s="5" t="n">
        <f aca="false">C958*(1+B959)</f>
        <v>14716.2425858098</v>
      </c>
      <c r="D959" s="10" t="n">
        <v>0.01677628</v>
      </c>
      <c r="E959" s="5" t="n">
        <f aca="false">E958*(1+D959)</f>
        <v>23038.3967416058</v>
      </c>
      <c r="F959" s="4" t="n">
        <f aca="false">D959*Varsayımlar!$B$3</f>
        <v>0.02097035</v>
      </c>
      <c r="G959" s="5" t="n">
        <f aca="false">G958*(1+F959)</f>
        <v>40497.2285919446</v>
      </c>
    </row>
    <row r="960" customFormat="false" ht="15" hidden="false" customHeight="false" outlineLevel="0" collapsed="false">
      <c r="A960" s="3" t="n">
        <v>45720</v>
      </c>
      <c r="B960" s="10" t="n">
        <v>0.02076841</v>
      </c>
      <c r="C960" s="5" t="n">
        <f aca="false">C959*(1+B960)</f>
        <v>15021.8755454914</v>
      </c>
      <c r="D960" s="10" t="n">
        <v>0.020387</v>
      </c>
      <c r="E960" s="5" t="n">
        <f aca="false">E959*(1+D960)</f>
        <v>23508.080535977</v>
      </c>
      <c r="F960" s="4" t="n">
        <f aca="false">D960*Varsayımlar!$B$3</f>
        <v>0.02548375</v>
      </c>
      <c r="G960" s="5" t="n">
        <f aca="false">G959*(1+F960)</f>
        <v>41529.2498410746</v>
      </c>
    </row>
    <row r="961" customFormat="false" ht="15" hidden="false" customHeight="false" outlineLevel="0" collapsed="false">
      <c r="A961" s="3" t="n">
        <v>45721</v>
      </c>
      <c r="B961" s="10" t="n">
        <v>-0.01150543</v>
      </c>
      <c r="C961" s="5" t="n">
        <f aca="false">C960*(1+B961)</f>
        <v>14849.042407934</v>
      </c>
      <c r="D961" s="10" t="n">
        <v>-0.01059401</v>
      </c>
      <c r="E961" s="5" t="n">
        <f aca="false">E960*(1+D961)</f>
        <v>23259.035695698</v>
      </c>
      <c r="F961" s="4" t="n">
        <f aca="false">D961*Varsayımlar!$B$3</f>
        <v>-0.0132425125</v>
      </c>
      <c r="G961" s="5" t="n">
        <f aca="false">G960*(1+F961)</f>
        <v>40979.2982309385</v>
      </c>
    </row>
    <row r="962" customFormat="false" ht="15" hidden="false" customHeight="false" outlineLevel="0" collapsed="false">
      <c r="A962" s="3" t="n">
        <v>45722</v>
      </c>
      <c r="B962" s="10" t="n">
        <v>-0.00093591</v>
      </c>
      <c r="C962" s="5" t="n">
        <f aca="false">C961*(1+B962)</f>
        <v>14835.145040654</v>
      </c>
      <c r="D962" s="10" t="n">
        <v>0.00514742</v>
      </c>
      <c r="E962" s="5" t="n">
        <f aca="false">E961*(1+D962)</f>
        <v>23378.7597212188</v>
      </c>
      <c r="F962" s="4" t="n">
        <f aca="false">D962*Varsayımlar!$B$3</f>
        <v>0.006434275</v>
      </c>
      <c r="G962" s="5" t="n">
        <f aca="false">G961*(1+F962)</f>
        <v>41242.9703050634</v>
      </c>
    </row>
    <row r="963" customFormat="false" ht="15" hidden="false" customHeight="false" outlineLevel="0" collapsed="false">
      <c r="A963" s="3" t="n">
        <v>45723</v>
      </c>
      <c r="B963" s="10" t="n">
        <v>0.0114495</v>
      </c>
      <c r="C963" s="5" t="n">
        <f aca="false">C962*(1+B963)</f>
        <v>15005.000033797</v>
      </c>
      <c r="D963" s="10" t="n">
        <v>0.01559513</v>
      </c>
      <c r="E963" s="5" t="n">
        <f aca="false">E962*(1+D963)</f>
        <v>23743.3545183099</v>
      </c>
      <c r="F963" s="4" t="n">
        <f aca="false">D963*Varsayımlar!$B$3</f>
        <v>0.0194939125</v>
      </c>
      <c r="G963" s="5" t="n">
        <f aca="false">G962*(1+F963)</f>
        <v>42046.9571594304</v>
      </c>
    </row>
    <row r="964" customFormat="false" ht="15" hidden="false" customHeight="false" outlineLevel="0" collapsed="false">
      <c r="A964" s="3" t="n">
        <v>45724</v>
      </c>
      <c r="B964" s="10" t="n">
        <v>0.00177984</v>
      </c>
      <c r="C964" s="5" t="n">
        <f aca="false">C963*(1+B964)</f>
        <v>15031.7065330571</v>
      </c>
      <c r="D964" s="10" t="n">
        <v>0.00382966</v>
      </c>
      <c r="E964" s="5" t="n">
        <f aca="false">E963*(1+D964)</f>
        <v>23834.2834933745</v>
      </c>
      <c r="F964" s="4" t="n">
        <f aca="false">D964*Varsayımlar!$B$3</f>
        <v>0.004787075</v>
      </c>
      <c r="G964" s="5" t="n">
        <f aca="false">G963*(1+F964)</f>
        <v>42248.2390968744</v>
      </c>
    </row>
    <row r="965" customFormat="false" ht="15" hidden="false" customHeight="false" outlineLevel="0" collapsed="false">
      <c r="A965" s="3" t="n">
        <v>45725</v>
      </c>
      <c r="B965" s="10" t="n">
        <v>0.01271249</v>
      </c>
      <c r="C965" s="5" t="n">
        <f aca="false">C964*(1+B965)</f>
        <v>15222.7969520415</v>
      </c>
      <c r="D965" s="10" t="n">
        <v>0.01230918</v>
      </c>
      <c r="E965" s="5" t="n">
        <f aca="false">E964*(1+D965)</f>
        <v>24127.6639790655</v>
      </c>
      <c r="F965" s="4" t="n">
        <f aca="false">D965*Varsayımlar!$B$3</f>
        <v>0.015386475</v>
      </c>
      <c r="G965" s="5" t="n">
        <f aca="false">G964*(1+F965)</f>
        <v>42898.2905715324</v>
      </c>
    </row>
    <row r="966" customFormat="false" ht="15" hidden="false" customHeight="false" outlineLevel="0" collapsed="false">
      <c r="A966" s="3" t="n">
        <v>45726</v>
      </c>
      <c r="B966" s="10" t="n">
        <v>0.02135455</v>
      </c>
      <c r="C966" s="5" t="n">
        <f aca="false">C965*(1+B966)</f>
        <v>15547.8729306938</v>
      </c>
      <c r="D966" s="10" t="n">
        <v>0.04390542</v>
      </c>
      <c r="E966" s="5" t="n">
        <f aca="false">E965*(1+D966)</f>
        <v>25186.9991996852</v>
      </c>
      <c r="F966" s="4" t="n">
        <f aca="false">D966*Varsayımlar!$B$3</f>
        <v>0.054881775</v>
      </c>
      <c r="G966" s="5" t="n">
        <f aca="false">G965*(1+F966)</f>
        <v>45252.6249025639</v>
      </c>
    </row>
    <row r="967" customFormat="false" ht="15" hidden="false" customHeight="false" outlineLevel="0" collapsed="false">
      <c r="A967" s="3" t="n">
        <v>45727</v>
      </c>
      <c r="B967" s="10" t="n">
        <v>0.03230359</v>
      </c>
      <c r="C967" s="5" t="n">
        <f aca="false">C966*(1+B967)</f>
        <v>16050.125043219</v>
      </c>
      <c r="D967" s="10" t="n">
        <v>0.04302132</v>
      </c>
      <c r="E967" s="5" t="n">
        <f aca="false">E966*(1+D967)</f>
        <v>26270.5771520946</v>
      </c>
      <c r="F967" s="4" t="n">
        <f aca="false">D967*Varsayımlar!$B$3</f>
        <v>0.05377665</v>
      </c>
      <c r="G967" s="5" t="n">
        <f aca="false">G966*(1+F967)</f>
        <v>47686.1594735304</v>
      </c>
    </row>
    <row r="968" customFormat="false" ht="15" hidden="false" customHeight="false" outlineLevel="0" collapsed="false">
      <c r="A968" s="3" t="n">
        <v>45728</v>
      </c>
      <c r="B968" s="10" t="n">
        <v>-0.02770403</v>
      </c>
      <c r="C968" s="5" t="n">
        <f aca="false">C967*(1+B968)</f>
        <v>15605.4718975179</v>
      </c>
      <c r="D968" s="10" t="n">
        <v>-0.0303016</v>
      </c>
      <c r="E968" s="5" t="n">
        <f aca="false">E967*(1+D968)</f>
        <v>25474.5366314627</v>
      </c>
      <c r="F968" s="4" t="n">
        <f aca="false">D968*Varsayımlar!$B$3</f>
        <v>-0.037877</v>
      </c>
      <c r="G968" s="5" t="n">
        <f aca="false">G967*(1+F968)</f>
        <v>45879.9508111515</v>
      </c>
    </row>
    <row r="969" customFormat="false" ht="15" hidden="false" customHeight="false" outlineLevel="0" collapsed="false">
      <c r="A969" s="3" t="n">
        <v>45729</v>
      </c>
      <c r="B969" s="10" t="n">
        <v>-0.00461766</v>
      </c>
      <c r="C969" s="5" t="n">
        <f aca="false">C968*(1+B969)</f>
        <v>15533.4111341556</v>
      </c>
      <c r="D969" s="10" t="n">
        <v>-0.00272412</v>
      </c>
      <c r="E969" s="5" t="n">
        <f aca="false">E968*(1+D969)</f>
        <v>25405.1409367342</v>
      </c>
      <c r="F969" s="4" t="n">
        <f aca="false">D969*Varsayımlar!$B$3</f>
        <v>-0.00340515</v>
      </c>
      <c r="G969" s="5" t="n">
        <f aca="false">G968*(1+F969)</f>
        <v>45723.7226966469</v>
      </c>
    </row>
    <row r="970" customFormat="false" ht="15" hidden="false" customHeight="false" outlineLevel="0" collapsed="false">
      <c r="A970" s="3" t="n">
        <v>45730</v>
      </c>
      <c r="B970" s="10" t="n">
        <v>0.01505257</v>
      </c>
      <c r="C970" s="5" t="n">
        <f aca="false">C969*(1+B970)</f>
        <v>15767.2288925913</v>
      </c>
      <c r="D970" s="10" t="n">
        <v>0.0274539</v>
      </c>
      <c r="E970" s="5" t="n">
        <f aca="false">E969*(1+D970)</f>
        <v>26102.6111354972</v>
      </c>
      <c r="F970" s="4" t="n">
        <f aca="false">D970*Varsayımlar!$B$3</f>
        <v>0.034317375</v>
      </c>
      <c r="G970" s="5" t="n">
        <f aca="false">G969*(1+F970)</f>
        <v>47292.8408348237</v>
      </c>
    </row>
    <row r="971" customFormat="false" ht="15" hidden="false" customHeight="false" outlineLevel="0" collapsed="false">
      <c r="A971" s="3" t="n">
        <v>45731</v>
      </c>
      <c r="B971" s="10" t="n">
        <v>-0.01256919</v>
      </c>
      <c r="C971" s="5" t="n">
        <f aca="false">C970*(1+B971)</f>
        <v>15569.0475968668</v>
      </c>
      <c r="D971" s="10" t="n">
        <v>-0.02145988</v>
      </c>
      <c r="E971" s="5" t="n">
        <f aca="false">E970*(1+D971)</f>
        <v>25542.4522328428</v>
      </c>
      <c r="F971" s="4" t="n">
        <f aca="false">D971*Varsayımlar!$B$3</f>
        <v>-0.02682485</v>
      </c>
      <c r="G971" s="5" t="n">
        <f aca="false">G970*(1+F971)</f>
        <v>46024.2174733557</v>
      </c>
    </row>
    <row r="972" customFormat="false" ht="15" hidden="false" customHeight="false" outlineLevel="0" collapsed="false">
      <c r="A972" s="3" t="n">
        <v>45732</v>
      </c>
      <c r="B972" s="10" t="n">
        <v>0.03580973</v>
      </c>
      <c r="C972" s="5" t="n">
        <f aca="false">C971*(1+B972)</f>
        <v>16126.5709876677</v>
      </c>
      <c r="D972" s="10" t="n">
        <v>0.04422491</v>
      </c>
      <c r="E972" s="5" t="n">
        <f aca="false">E971*(1+D972)</f>
        <v>26672.0648840196</v>
      </c>
      <c r="F972" s="4" t="n">
        <f aca="false">D972*Varsayımlar!$B$3</f>
        <v>0.0552811375</v>
      </c>
      <c r="G972" s="5" t="n">
        <f aca="false">G971*(1+F972)</f>
        <v>48568.4885678302</v>
      </c>
    </row>
    <row r="973" customFormat="false" ht="15" hidden="false" customHeight="false" outlineLevel="0" collapsed="false">
      <c r="A973" s="3" t="n">
        <v>45733</v>
      </c>
      <c r="B973" s="10" t="n">
        <v>-0.01025135</v>
      </c>
      <c r="C973" s="5" t="n">
        <f aca="false">C972*(1+B973)</f>
        <v>15961.2518641733</v>
      </c>
      <c r="D973" s="10" t="n">
        <v>-0.02186713</v>
      </c>
      <c r="E973" s="5" t="n">
        <f aca="false">E972*(1+D973)</f>
        <v>26088.8233738323</v>
      </c>
      <c r="F973" s="4" t="n">
        <f aca="false">D973*Varsayımlar!$B$3</f>
        <v>-0.0273339125</v>
      </c>
      <c r="G973" s="5" t="n">
        <f aca="false">G972*(1+F973)</f>
        <v>47240.9217510599</v>
      </c>
    </row>
    <row r="974" customFormat="false" ht="15" hidden="false" customHeight="false" outlineLevel="0" collapsed="false">
      <c r="A974" s="3" t="n">
        <v>45734</v>
      </c>
      <c r="B974" s="10" t="n">
        <v>0.00541363</v>
      </c>
      <c r="C974" s="5" t="n">
        <f aca="false">C973*(1+B974)</f>
        <v>16047.6601761028</v>
      </c>
      <c r="D974" s="10" t="n">
        <v>0.01570354</v>
      </c>
      <c r="E974" s="5" t="n">
        <f aca="false">E973*(1+D974)</f>
        <v>26498.5102552362</v>
      </c>
      <c r="F974" s="4" t="n">
        <f aca="false">D974*Varsayımlar!$B$3</f>
        <v>0.019629425</v>
      </c>
      <c r="G974" s="5" t="n">
        <f aca="false">G973*(1+F974)</f>
        <v>48168.2338815031</v>
      </c>
    </row>
    <row r="975" customFormat="false" ht="15" hidden="false" customHeight="false" outlineLevel="0" collapsed="false">
      <c r="A975" s="3" t="n">
        <v>45735</v>
      </c>
      <c r="B975" s="10" t="n">
        <v>0.0042729</v>
      </c>
      <c r="C975" s="5" t="n">
        <f aca="false">C974*(1+B975)</f>
        <v>16116.2302232692</v>
      </c>
      <c r="D975" s="10" t="n">
        <v>0.01500688</v>
      </c>
      <c r="E975" s="5" t="n">
        <f aca="false">E974*(1+D975)</f>
        <v>26896.1702188153</v>
      </c>
      <c r="F975" s="4" t="n">
        <f aca="false">D975*Varsayımlar!$B$3</f>
        <v>0.0187586</v>
      </c>
      <c r="G975" s="5" t="n">
        <f aca="false">G974*(1+F975)</f>
        <v>49071.8025135927</v>
      </c>
    </row>
    <row r="976" customFormat="false" ht="15" hidden="false" customHeight="false" outlineLevel="0" collapsed="false">
      <c r="A976" s="3" t="n">
        <v>45736</v>
      </c>
      <c r="B976" s="10" t="n">
        <v>0.04955248</v>
      </c>
      <c r="C976" s="5" t="n">
        <f aca="false">C975*(1+B976)</f>
        <v>16914.8293990832</v>
      </c>
      <c r="D976" s="10" t="n">
        <v>0.05476573</v>
      </c>
      <c r="E976" s="5" t="n">
        <f aca="false">E975*(1+D976)</f>
        <v>28369.158615053</v>
      </c>
      <c r="F976" s="4" t="n">
        <f aca="false">D976*Varsayımlar!$B$3</f>
        <v>0.0684571625</v>
      </c>
      <c r="G976" s="5" t="n">
        <f aca="false">G975*(1+F976)</f>
        <v>52431.1188724336</v>
      </c>
    </row>
    <row r="977" customFormat="false" ht="15" hidden="false" customHeight="false" outlineLevel="0" collapsed="false">
      <c r="A977" s="3" t="n">
        <v>45737</v>
      </c>
      <c r="B977" s="10" t="n">
        <v>0.04528745</v>
      </c>
      <c r="C977" s="5" t="n">
        <f aca="false">C976*(1+B977)</f>
        <v>17680.8588897527</v>
      </c>
      <c r="D977" s="10" t="n">
        <v>0.05077549</v>
      </c>
      <c r="E977" s="5" t="n">
        <f aca="false">E976*(1+D977)</f>
        <v>29809.61654462</v>
      </c>
      <c r="F977" s="4" t="n">
        <f aca="false">D977*Varsayımlar!$B$3</f>
        <v>0.0634693625</v>
      </c>
      <c r="G977" s="5" t="n">
        <f aca="false">G976*(1+F977)</f>
        <v>55758.8885624287</v>
      </c>
    </row>
    <row r="978" customFormat="false" ht="15" hidden="false" customHeight="false" outlineLevel="0" collapsed="false">
      <c r="A978" s="3" t="n">
        <v>45738</v>
      </c>
      <c r="B978" s="10" t="n">
        <v>0.00340761</v>
      </c>
      <c r="C978" s="5" t="n">
        <f aca="false">C977*(1+B978)</f>
        <v>17741.108361314</v>
      </c>
      <c r="D978" s="10" t="n">
        <v>-0.00463215</v>
      </c>
      <c r="E978" s="5" t="n">
        <f aca="false">E977*(1+D978)</f>
        <v>29671.5339293428</v>
      </c>
      <c r="F978" s="4" t="n">
        <f aca="false">D978*Varsayımlar!$B$3</f>
        <v>-0.0057901875</v>
      </c>
      <c r="G978" s="5" t="n">
        <f aca="false">G977*(1+F978)</f>
        <v>55436.0341428606</v>
      </c>
    </row>
    <row r="979" customFormat="false" ht="15" hidden="false" customHeight="false" outlineLevel="0" collapsed="false">
      <c r="A979" s="3" t="n">
        <v>45739</v>
      </c>
      <c r="B979" s="10" t="n">
        <v>-0.03249116</v>
      </c>
      <c r="C979" s="5" t="n">
        <f aca="false">C978*(1+B979)</f>
        <v>17164.6791709692</v>
      </c>
      <c r="D979" s="10" t="n">
        <v>-0.04305553</v>
      </c>
      <c r="E979" s="5" t="n">
        <f aca="false">E978*(1+D979)</f>
        <v>28394.010310102</v>
      </c>
      <c r="F979" s="4" t="n">
        <f aca="false">D979*Varsayımlar!$B$3</f>
        <v>-0.0538194125</v>
      </c>
      <c r="G979" s="5" t="n">
        <f aca="false">G978*(1+F979)</f>
        <v>52452.4993539619</v>
      </c>
    </row>
    <row r="980" customFormat="false" ht="15" hidden="false" customHeight="false" outlineLevel="0" collapsed="false">
      <c r="A980" s="3" t="n">
        <v>45740</v>
      </c>
      <c r="B980" s="10" t="n">
        <v>-0.02516361</v>
      </c>
      <c r="C980" s="5" t="n">
        <f aca="false">C979*(1+B980)</f>
        <v>16732.7538785358</v>
      </c>
      <c r="D980" s="10" t="n">
        <v>-0.03266054</v>
      </c>
      <c r="E980" s="5" t="n">
        <f aca="false">E979*(1+D980)</f>
        <v>27466.6466006085</v>
      </c>
      <c r="F980" s="4" t="n">
        <f aca="false">D980*Varsayımlar!$B$3</f>
        <v>-0.040825675</v>
      </c>
      <c r="G980" s="5" t="n">
        <f aca="false">G979*(1+F980)</f>
        <v>50311.0906623994</v>
      </c>
    </row>
    <row r="981" customFormat="false" ht="15" hidden="false" customHeight="false" outlineLevel="0" collapsed="false">
      <c r="A981" s="3" t="n">
        <v>45741</v>
      </c>
      <c r="B981" s="10" t="n">
        <v>-0.00767576</v>
      </c>
      <c r="C981" s="5" t="n">
        <f aca="false">C980*(1+B981)</f>
        <v>16604.3172756251</v>
      </c>
      <c r="D981" s="10" t="n">
        <v>-0.01200738</v>
      </c>
      <c r="E981" s="5" t="n">
        <f aca="false">E980*(1+D981)</f>
        <v>27136.8441375493</v>
      </c>
      <c r="F981" s="4" t="n">
        <f aca="false">D981*Varsayımlar!$B$3</f>
        <v>-0.015009225</v>
      </c>
      <c r="G981" s="5" t="n">
        <f aca="false">G980*(1+F981)</f>
        <v>49555.960182652</v>
      </c>
    </row>
    <row r="982" customFormat="false" ht="15" hidden="false" customHeight="false" outlineLevel="0" collapsed="false">
      <c r="A982" s="3" t="n">
        <v>45742</v>
      </c>
      <c r="B982" s="10" t="n">
        <v>0.00194483</v>
      </c>
      <c r="C982" s="5" t="n">
        <f aca="false">C981*(1+B982)</f>
        <v>16636.6098499923</v>
      </c>
      <c r="D982" s="10" t="n">
        <v>0.00927136</v>
      </c>
      <c r="E982" s="5" t="n">
        <f aca="false">E981*(1+D982)</f>
        <v>27388.4395888124</v>
      </c>
      <c r="F982" s="4" t="n">
        <f aca="false">D982*Varsayımlar!$B$3</f>
        <v>0.0115892</v>
      </c>
      <c r="G982" s="5" t="n">
        <f aca="false">G981*(1+F982)</f>
        <v>50130.2741164008</v>
      </c>
    </row>
    <row r="983" customFormat="false" ht="15" hidden="false" customHeight="false" outlineLevel="0" collapsed="false">
      <c r="A983" s="3" t="n">
        <v>45743</v>
      </c>
      <c r="B983" s="10" t="n">
        <v>0.00123625</v>
      </c>
      <c r="C983" s="5" t="n">
        <f aca="false">C982*(1+B983)</f>
        <v>16657.1768589193</v>
      </c>
      <c r="D983" s="10" t="n">
        <v>0.00115829</v>
      </c>
      <c r="E983" s="5" t="n">
        <f aca="false">E982*(1+D983)</f>
        <v>27420.1633445037</v>
      </c>
      <c r="F983" s="4" t="n">
        <f aca="false">D983*Varsayımlar!$B$3</f>
        <v>0.0014478625</v>
      </c>
      <c r="G983" s="5" t="n">
        <f aca="false">G982*(1+F983)</f>
        <v>50202.8558604087</v>
      </c>
    </row>
    <row r="984" customFormat="false" ht="15" hidden="false" customHeight="false" outlineLevel="0" collapsed="false">
      <c r="A984" s="3" t="n">
        <v>45744</v>
      </c>
      <c r="B984" s="10" t="n">
        <v>0.00201055</v>
      </c>
      <c r="C984" s="5" t="n">
        <f aca="false">C983*(1+B984)</f>
        <v>16690.666945853</v>
      </c>
      <c r="D984" s="10" t="n">
        <v>0.00324681</v>
      </c>
      <c r="E984" s="5" t="n">
        <f aca="false">E983*(1+D984)</f>
        <v>27509.1914050523</v>
      </c>
      <c r="F984" s="4" t="n">
        <f aca="false">D984*Varsayımlar!$B$3</f>
        <v>0.0040585125</v>
      </c>
      <c r="G984" s="5" t="n">
        <f aca="false">G983*(1+F984)</f>
        <v>50406.6047784538</v>
      </c>
    </row>
    <row r="985" customFormat="false" ht="15" hidden="false" customHeight="false" outlineLevel="0" collapsed="false">
      <c r="A985" s="3" t="n">
        <v>45745</v>
      </c>
      <c r="B985" s="10" t="n">
        <v>0.00086008</v>
      </c>
      <c r="C985" s="5" t="n">
        <f aca="false">C984*(1+B985)</f>
        <v>16705.0222546798</v>
      </c>
      <c r="D985" s="10" t="n">
        <v>-0.00272648</v>
      </c>
      <c r="E985" s="5" t="n">
        <f aca="false">E984*(1+D985)</f>
        <v>27434.1881448702</v>
      </c>
      <c r="F985" s="4" t="n">
        <f aca="false">D985*Varsayımlar!$B$3</f>
        <v>-0.0034081</v>
      </c>
      <c r="G985" s="5" t="n">
        <f aca="false">G984*(1+F985)</f>
        <v>50234.8140287084</v>
      </c>
    </row>
    <row r="986" customFormat="false" ht="15" hidden="false" customHeight="false" outlineLevel="0" collapsed="false">
      <c r="A986" s="3" t="n">
        <v>45746</v>
      </c>
      <c r="B986" s="10" t="n">
        <v>0.00915997</v>
      </c>
      <c r="C986" s="5" t="n">
        <f aca="false">C985*(1+B986)</f>
        <v>16858.039757382</v>
      </c>
      <c r="D986" s="10" t="n">
        <v>0.00918894</v>
      </c>
      <c r="E986" s="5" t="n">
        <f aca="false">E985*(1+D986)</f>
        <v>27686.2792536822</v>
      </c>
      <c r="F986" s="4" t="n">
        <f aca="false">D986*Varsayımlar!$B$3</f>
        <v>0.011486175</v>
      </c>
      <c r="G986" s="5" t="n">
        <f aca="false">G985*(1+F986)</f>
        <v>50811.8198937346</v>
      </c>
    </row>
    <row r="987" customFormat="false" ht="15" hidden="false" customHeight="false" outlineLevel="0" collapsed="false">
      <c r="A987" s="3" t="n">
        <v>45747</v>
      </c>
      <c r="B987" s="10" t="n">
        <v>0.00871651</v>
      </c>
      <c r="C987" s="5" t="n">
        <f aca="false">C986*(1+B987)</f>
        <v>17004.9830295076</v>
      </c>
      <c r="D987" s="10" t="n">
        <v>0.02274507</v>
      </c>
      <c r="E987" s="5" t="n">
        <f aca="false">E986*(1+D987)</f>
        <v>28316.0056133467</v>
      </c>
      <c r="F987" s="4" t="n">
        <f aca="false">D987*Varsayımlar!$B$3</f>
        <v>0.0284313375</v>
      </c>
      <c r="G987" s="5" t="n">
        <f aca="false">G986*(1+F987)</f>
        <v>52256.4678941226</v>
      </c>
    </row>
    <row r="988" customFormat="false" ht="15" hidden="false" customHeight="false" outlineLevel="0" collapsed="false">
      <c r="A988" s="3" t="n">
        <v>45748</v>
      </c>
      <c r="B988" s="10" t="n">
        <v>-0.01641597</v>
      </c>
      <c r="C988" s="5" t="n">
        <f aca="false">C987*(1+B988)</f>
        <v>16725.8297382447</v>
      </c>
      <c r="D988" s="10" t="n">
        <v>-0.02163342</v>
      </c>
      <c r="E988" s="5" t="n">
        <f aca="false">E987*(1+D988)</f>
        <v>27703.4335711908</v>
      </c>
      <c r="F988" s="4" t="n">
        <f aca="false">D988*Varsayımlar!$B$3</f>
        <v>-0.027041775</v>
      </c>
      <c r="G988" s="5" t="n">
        <f aca="false">G987*(1+F988)</f>
        <v>50843.360247035</v>
      </c>
    </row>
    <row r="989" customFormat="false" ht="15" hidden="false" customHeight="false" outlineLevel="0" collapsed="false">
      <c r="A989" s="3" t="n">
        <v>45749</v>
      </c>
      <c r="B989" s="10" t="n">
        <v>0.0227257</v>
      </c>
      <c r="C989" s="5" t="n">
        <f aca="false">C988*(1+B989)</f>
        <v>17105.9359271271</v>
      </c>
      <c r="D989" s="10" t="n">
        <v>0.02580809</v>
      </c>
      <c r="E989" s="5" t="n">
        <f aca="false">E988*(1+D989)</f>
        <v>28418.4062781051</v>
      </c>
      <c r="F989" s="4" t="n">
        <f aca="false">D989*Varsayımlar!$B$3</f>
        <v>0.0322601125</v>
      </c>
      <c r="G989" s="5" t="n">
        <f aca="false">G988*(1+F989)</f>
        <v>52483.5727684824</v>
      </c>
    </row>
    <row r="990" customFormat="false" ht="15" hidden="false" customHeight="false" outlineLevel="0" collapsed="false">
      <c r="A990" s="3" t="n">
        <v>45750</v>
      </c>
      <c r="B990" s="10" t="n">
        <v>-0.00281582</v>
      </c>
      <c r="C990" s="5" t="n">
        <f aca="false">C989*(1+B990)</f>
        <v>17057.7686906248</v>
      </c>
      <c r="D990" s="10" t="n">
        <v>-0.00807073</v>
      </c>
      <c r="E990" s="5" t="n">
        <f aca="false">E989*(1+D990)</f>
        <v>28189.0489940042</v>
      </c>
      <c r="F990" s="4" t="n">
        <f aca="false">D990*Varsayımlar!$B$3</f>
        <v>-0.0100884125</v>
      </c>
      <c r="G990" s="5" t="n">
        <f aca="false">G989*(1+F990)</f>
        <v>51954.0968369201</v>
      </c>
    </row>
    <row r="991" customFormat="false" ht="15" hidden="false" customHeight="false" outlineLevel="0" collapsed="false">
      <c r="A991" s="3" t="n">
        <v>45751</v>
      </c>
      <c r="B991" s="10" t="n">
        <v>-0.00644903</v>
      </c>
      <c r="C991" s="5" t="n">
        <f aca="false">C990*(1+B991)</f>
        <v>16947.7626286059</v>
      </c>
      <c r="D991" s="10" t="n">
        <v>-0.00080088</v>
      </c>
      <c r="E991" s="5" t="n">
        <f aca="false">E990*(1+D991)</f>
        <v>28166.4729484459</v>
      </c>
      <c r="F991" s="4" t="n">
        <f aca="false">D991*Varsayımlar!$B$3</f>
        <v>-0.0010011</v>
      </c>
      <c r="G991" s="5" t="n">
        <f aca="false">G990*(1+F991)</f>
        <v>51902.0855905767</v>
      </c>
    </row>
    <row r="992" customFormat="false" ht="15" hidden="false" customHeight="false" outlineLevel="0" collapsed="false">
      <c r="A992" s="3" t="n">
        <v>45752</v>
      </c>
      <c r="B992" s="10" t="n">
        <v>-0.00811986</v>
      </c>
      <c r="C992" s="5" t="n">
        <f aca="false">C991*(1+B992)</f>
        <v>16810.1491687484</v>
      </c>
      <c r="D992" s="10" t="n">
        <v>-0.0150017</v>
      </c>
      <c r="E992" s="5" t="n">
        <f aca="false">E991*(1+D992)</f>
        <v>27743.9279712152</v>
      </c>
      <c r="F992" s="4" t="n">
        <f aca="false">D992*Varsayımlar!$B$3</f>
        <v>-0.018752125</v>
      </c>
      <c r="G992" s="5" t="n">
        <f aca="false">G991*(1+F992)</f>
        <v>50928.8111938215</v>
      </c>
    </row>
    <row r="993" customFormat="false" ht="15" hidden="false" customHeight="false" outlineLevel="0" collapsed="false">
      <c r="A993" s="3" t="n">
        <v>45753</v>
      </c>
      <c r="B993" s="10" t="n">
        <v>0.02528729</v>
      </c>
      <c r="C993" s="5" t="n">
        <f aca="false">C992*(1+B993)</f>
        <v>17235.2322857218</v>
      </c>
      <c r="D993" s="10" t="n">
        <v>0.02001187</v>
      </c>
      <c r="E993" s="5" t="n">
        <f aca="false">E992*(1+D993)</f>
        <v>28299.1358510646</v>
      </c>
      <c r="F993" s="4" t="n">
        <f aca="false">D993*Varsayımlar!$B$3</f>
        <v>0.0250148375</v>
      </c>
      <c r="G993" s="5" t="n">
        <f aca="false">G992*(1+F993)</f>
        <v>52202.7871299031</v>
      </c>
    </row>
    <row r="994" customFormat="false" ht="15" hidden="false" customHeight="false" outlineLevel="0" collapsed="false">
      <c r="A994" s="3" t="n">
        <v>45754</v>
      </c>
      <c r="B994" s="10" t="n">
        <v>0.02763331</v>
      </c>
      <c r="C994" s="5" t="n">
        <f aca="false">C993*(1+B994)</f>
        <v>17711.4988023952</v>
      </c>
      <c r="D994" s="10" t="n">
        <v>0.0306213</v>
      </c>
      <c r="E994" s="5" t="n">
        <f aca="false">E993*(1+D994)</f>
        <v>29165.6921797008</v>
      </c>
      <c r="F994" s="4" t="n">
        <f aca="false">D994*Varsayımlar!$B$3</f>
        <v>0.038276625</v>
      </c>
      <c r="G994" s="5" t="n">
        <f aca="false">G993*(1+F994)</f>
        <v>54200.9336368293</v>
      </c>
    </row>
    <row r="995" customFormat="false" ht="15" hidden="false" customHeight="false" outlineLevel="0" collapsed="false">
      <c r="A995" s="3" t="n">
        <v>45755</v>
      </c>
      <c r="B995" s="10" t="n">
        <v>-0.01724444</v>
      </c>
      <c r="C995" s="5" t="n">
        <f aca="false">C994*(1+B995)</f>
        <v>17406.0739239872</v>
      </c>
      <c r="D995" s="10" t="n">
        <v>-0.02676846</v>
      </c>
      <c r="E995" s="5" t="n">
        <f aca="false">E994*(1+D995)</f>
        <v>28384.9715152161</v>
      </c>
      <c r="F995" s="4" t="n">
        <f aca="false">D995*Varsayımlar!$B$3</f>
        <v>-0.033460575</v>
      </c>
      <c r="G995" s="5" t="n">
        <f aca="false">G994*(1+F995)</f>
        <v>52387.3392318041</v>
      </c>
    </row>
    <row r="996" customFormat="false" ht="15" hidden="false" customHeight="false" outlineLevel="0" collapsed="false">
      <c r="A996" s="3" t="n">
        <v>45756</v>
      </c>
      <c r="B996" s="10" t="n">
        <v>0.0096152</v>
      </c>
      <c r="C996" s="5" t="n">
        <f aca="false">C995*(1+B996)</f>
        <v>17573.4368059811</v>
      </c>
      <c r="D996" s="10" t="n">
        <v>0.03040827</v>
      </c>
      <c r="E996" s="5" t="n">
        <f aca="false">E995*(1+D996)</f>
        <v>29248.1093929931</v>
      </c>
      <c r="F996" s="4" t="n">
        <f aca="false">D996*Varsayımlar!$B$3</f>
        <v>0.0380103375</v>
      </c>
      <c r="G996" s="5" t="n">
        <f aca="false">G995*(1+F996)</f>
        <v>54378.599676732</v>
      </c>
    </row>
    <row r="997" customFormat="false" ht="15" hidden="false" customHeight="false" outlineLevel="0" collapsed="false">
      <c r="A997" s="3" t="n">
        <v>45757</v>
      </c>
      <c r="B997" s="10" t="n">
        <v>0.0132713</v>
      </c>
      <c r="C997" s="5" t="n">
        <f aca="false">C996*(1+B997)</f>
        <v>17806.6591578643</v>
      </c>
      <c r="D997" s="10" t="n">
        <v>0.00683274</v>
      </c>
      <c r="E997" s="5" t="n">
        <f aca="false">E996*(1+D997)</f>
        <v>29447.954119967</v>
      </c>
      <c r="F997" s="4" t="n">
        <f aca="false">D997*Varsayımlar!$B$3</f>
        <v>0.008540925</v>
      </c>
      <c r="G997" s="5" t="n">
        <f aca="false">G996*(1+F997)</f>
        <v>54843.043218176</v>
      </c>
    </row>
    <row r="998" customFormat="false" ht="15" hidden="false" customHeight="false" outlineLevel="0" collapsed="false">
      <c r="A998" s="3" t="n">
        <v>45758</v>
      </c>
      <c r="B998" s="10" t="n">
        <v>-0.01120499</v>
      </c>
      <c r="C998" s="5" t="n">
        <f aca="false">C997*(1+B998)</f>
        <v>17607.1357200671</v>
      </c>
      <c r="D998" s="10" t="n">
        <v>-0.00885158</v>
      </c>
      <c r="E998" s="5" t="n">
        <f aca="false">E997*(1+D998)</f>
        <v>29187.2931982378</v>
      </c>
      <c r="F998" s="4" t="n">
        <f aca="false">D998*Varsayımlar!$B$3</f>
        <v>-0.011064475</v>
      </c>
      <c r="G998" s="5" t="n">
        <f aca="false">G997*(1+F998)</f>
        <v>54236.2337375645</v>
      </c>
    </row>
    <row r="999" customFormat="false" ht="15" hidden="false" customHeight="false" outlineLevel="0" collapsed="false">
      <c r="A999" s="3" t="n">
        <v>45759</v>
      </c>
      <c r="B999" s="10" t="n">
        <v>-0.03215828</v>
      </c>
      <c r="C999" s="5" t="n">
        <f aca="false">C998*(1+B999)</f>
        <v>17040.9205195831</v>
      </c>
      <c r="D999" s="10" t="n">
        <v>-0.06580859</v>
      </c>
      <c r="E999" s="5" t="n">
        <f aca="false">E998*(1+D999)</f>
        <v>27266.5185869452</v>
      </c>
      <c r="F999" s="4" t="n">
        <f aca="false">D999*Varsayımlar!$B$3</f>
        <v>-0.0822607375</v>
      </c>
      <c r="G999" s="5" t="n">
        <f aca="false">G998*(1+F999)</f>
        <v>49774.7211510901</v>
      </c>
    </row>
    <row r="1000" customFormat="false" ht="15" hidden="false" customHeight="false" outlineLevel="0" collapsed="false">
      <c r="A1000" s="3" t="n">
        <v>45760</v>
      </c>
      <c r="B1000" s="10" t="n">
        <v>-0.00743605</v>
      </c>
      <c r="C1000" s="5" t="n">
        <f aca="false">C999*(1+B1000)</f>
        <v>16914.2033825535</v>
      </c>
      <c r="D1000" s="10" t="n">
        <v>-0.01402687</v>
      </c>
      <c r="E1000" s="5" t="n">
        <f aca="false">E999*(1+D1000)</f>
        <v>26884.0546753735</v>
      </c>
      <c r="F1000" s="4" t="n">
        <f aca="false">D1000*Varsayımlar!$B$3</f>
        <v>-0.0175335875</v>
      </c>
      <c r="G1000" s="5" t="n">
        <f aca="false">G999*(1+F1000)</f>
        <v>48901.9917224994</v>
      </c>
    </row>
    <row r="1001" customFormat="false" ht="15" hidden="false" customHeight="false" outlineLevel="0" collapsed="false">
      <c r="A1001" s="3" t="n">
        <v>45761</v>
      </c>
      <c r="B1001" s="10" t="n">
        <v>0.01530829</v>
      </c>
      <c r="C1001" s="5" t="n">
        <f aca="false">C1000*(1+B1001)</f>
        <v>17173.1309130526</v>
      </c>
      <c r="D1001" s="10" t="n">
        <v>0.01773531</v>
      </c>
      <c r="E1001" s="5" t="n">
        <f aca="false">E1000*(1+D1001)</f>
        <v>27360.8517190982</v>
      </c>
      <c r="F1001" s="4" t="n">
        <f aca="false">D1001*Varsayımlar!$B$3</f>
        <v>0.0221691375</v>
      </c>
      <c r="G1001" s="5" t="n">
        <f aca="false">G1000*(1+F1001)</f>
        <v>49986.1067010193</v>
      </c>
    </row>
    <row r="1002" customFormat="false" ht="15" hidden="false" customHeight="false" outlineLevel="0" collapsed="false">
      <c r="A1002" s="3" t="n">
        <v>45762</v>
      </c>
      <c r="B1002" s="10" t="n">
        <v>0.03530414</v>
      </c>
      <c r="C1002" s="5" t="n">
        <f aca="false">C1001*(1+B1002)</f>
        <v>17779.4135310453</v>
      </c>
      <c r="D1002" s="10" t="n">
        <v>0.01314407</v>
      </c>
      <c r="E1002" s="5" t="n">
        <f aca="false">E1001*(1+D1002)</f>
        <v>27720.4846693536</v>
      </c>
      <c r="F1002" s="4" t="n">
        <f aca="false">D1002*Varsayımlar!$B$3</f>
        <v>0.0164300875</v>
      </c>
      <c r="G1002" s="5" t="n">
        <f aca="false">G1001*(1+F1002)</f>
        <v>50807.3828079014</v>
      </c>
    </row>
    <row r="1003" customFormat="false" ht="15" hidden="false" customHeight="false" outlineLevel="0" collapsed="false">
      <c r="A1003" s="3" t="n">
        <v>45763</v>
      </c>
      <c r="B1003" s="10" t="n">
        <v>0.00093711</v>
      </c>
      <c r="C1003" s="5" t="n">
        <f aca="false">C1002*(1+B1003)</f>
        <v>17796.0747972594</v>
      </c>
      <c r="D1003" s="10" t="n">
        <v>0.0037261</v>
      </c>
      <c r="E1003" s="5" t="n">
        <f aca="false">E1002*(1+D1003)</f>
        <v>27823.7739672801</v>
      </c>
      <c r="F1003" s="4" t="n">
        <f aca="false">D1003*Varsayımlar!$B$3</f>
        <v>0.004657625</v>
      </c>
      <c r="G1003" s="5" t="n">
        <f aca="false">G1002*(1+F1003)</f>
        <v>51044.024544252</v>
      </c>
    </row>
    <row r="1004" customFormat="false" ht="15" hidden="false" customHeight="false" outlineLevel="0" collapsed="false">
      <c r="A1004" s="3" t="n">
        <v>45764</v>
      </c>
      <c r="B1004" s="10" t="n">
        <v>-0.0124173</v>
      </c>
      <c r="C1004" s="5" t="n">
        <f aca="false">C1003*(1+B1004)</f>
        <v>17575.0955976794</v>
      </c>
      <c r="D1004" s="10" t="n">
        <v>-0.01590933</v>
      </c>
      <c r="E1004" s="5" t="n">
        <f aca="false">E1003*(1+D1004)</f>
        <v>27381.1163653892</v>
      </c>
      <c r="F1004" s="4" t="n">
        <f aca="false">D1004*Varsayımlar!$B$3</f>
        <v>-0.0198866625</v>
      </c>
      <c r="G1004" s="5" t="n">
        <f aca="false">G1003*(1+F1004)</f>
        <v>50028.9292554988</v>
      </c>
    </row>
    <row r="1005" customFormat="false" ht="15" hidden="false" customHeight="false" outlineLevel="0" collapsed="false">
      <c r="A1005" s="3" t="n">
        <v>45765</v>
      </c>
      <c r="B1005" s="10" t="n">
        <v>-0.02141539</v>
      </c>
      <c r="C1005" s="5" t="n">
        <f aca="false">C1004*(1+B1005)</f>
        <v>17198.7180711678</v>
      </c>
      <c r="D1005" s="10" t="n">
        <v>-0.01700528</v>
      </c>
      <c r="E1005" s="5" t="n">
        <f aca="false">E1004*(1+D1005)</f>
        <v>26915.4928148832</v>
      </c>
      <c r="F1005" s="4" t="n">
        <f aca="false">D1005*Varsayımlar!$B$3</f>
        <v>-0.0212566</v>
      </c>
      <c r="G1005" s="5" t="n">
        <f aca="false">G1004*(1+F1005)</f>
        <v>48965.4843178863</v>
      </c>
    </row>
    <row r="1006" customFormat="false" ht="15" hidden="false" customHeight="false" outlineLevel="0" collapsed="false">
      <c r="A1006" s="3" t="n">
        <v>45766</v>
      </c>
      <c r="B1006" s="10" t="n">
        <v>-0.00172556</v>
      </c>
      <c r="C1006" s="5" t="n">
        <f aca="false">C1005*(1+B1006)</f>
        <v>17169.0406512129</v>
      </c>
      <c r="D1006" s="10" t="n">
        <v>-0.00287664</v>
      </c>
      <c r="E1006" s="5" t="n">
        <f aca="false">E1005*(1+D1006)</f>
        <v>26838.0666316322</v>
      </c>
      <c r="F1006" s="4" t="n">
        <f aca="false">D1006*Varsayımlar!$B$3</f>
        <v>-0.0035958</v>
      </c>
      <c r="G1006" s="5" t="n">
        <f aca="false">G1005*(1+F1006)</f>
        <v>48789.4142293761</v>
      </c>
    </row>
    <row r="1007" customFormat="false" ht="15" hidden="false" customHeight="false" outlineLevel="0" collapsed="false">
      <c r="A1007" s="3" t="n">
        <v>45767</v>
      </c>
      <c r="B1007" s="10" t="n">
        <v>0.01740457</v>
      </c>
      <c r="C1007" s="5" t="n">
        <f aca="false">C1006*(1+B1007)</f>
        <v>17467.8604210598</v>
      </c>
      <c r="D1007" s="10" t="n">
        <v>0.02500548</v>
      </c>
      <c r="E1007" s="5" t="n">
        <f aca="false">E1006*(1+D1007)</f>
        <v>27509.1653700282</v>
      </c>
      <c r="F1007" s="4" t="n">
        <f aca="false">D1007*Varsayımlar!$B$3</f>
        <v>0.03125685</v>
      </c>
      <c r="G1007" s="5" t="n">
        <f aca="false">G1006*(1+F1007)</f>
        <v>50314.4176315316</v>
      </c>
    </row>
    <row r="1008" customFormat="false" ht="15" hidden="false" customHeight="false" outlineLevel="0" collapsed="false">
      <c r="A1008" s="3" t="n">
        <v>45768</v>
      </c>
      <c r="B1008" s="10" t="n">
        <v>-0.01118828</v>
      </c>
      <c r="C1008" s="5" t="n">
        <f aca="false">C1007*(1+B1008)</f>
        <v>17272.4251076681</v>
      </c>
      <c r="D1008" s="10" t="n">
        <v>-0.01669384</v>
      </c>
      <c r="E1008" s="5" t="n">
        <f aca="false">E1007*(1+D1008)</f>
        <v>27049.9317648074</v>
      </c>
      <c r="F1008" s="4" t="n">
        <f aca="false">D1008*Varsayımlar!$B$3</f>
        <v>-0.0208673</v>
      </c>
      <c r="G1008" s="5" t="n">
        <f aca="false">G1007*(1+F1008)</f>
        <v>49264.4915844891</v>
      </c>
    </row>
    <row r="1009" customFormat="false" ht="15" hidden="false" customHeight="false" outlineLevel="0" collapsed="false">
      <c r="A1009" s="3" t="n">
        <v>45769</v>
      </c>
      <c r="B1009" s="10" t="n">
        <v>-0.03493494</v>
      </c>
      <c r="C1009" s="5" t="n">
        <f aca="false">C1008*(1+B1009)</f>
        <v>16669.0139728772</v>
      </c>
      <c r="D1009" s="10" t="n">
        <v>-0.05100919</v>
      </c>
      <c r="E1009" s="5" t="n">
        <f aca="false">E1008*(1+D1009)</f>
        <v>25670.1366559293</v>
      </c>
      <c r="F1009" s="4" t="n">
        <f aca="false">D1009*Varsayımlar!$B$3</f>
        <v>-0.0637614875</v>
      </c>
      <c r="G1009" s="5" t="n">
        <f aca="false">G1008*(1+F1009)</f>
        <v>46123.3143201308</v>
      </c>
    </row>
    <row r="1010" customFormat="false" ht="15" hidden="false" customHeight="false" outlineLevel="0" collapsed="false">
      <c r="A1010" s="3" t="n">
        <v>45770</v>
      </c>
      <c r="B1010" s="10" t="n">
        <v>-0.0346024</v>
      </c>
      <c r="C1010" s="5" t="n">
        <f aca="false">C1009*(1+B1010)</f>
        <v>16092.2260837821</v>
      </c>
      <c r="D1010" s="10" t="n">
        <v>-0.00866126</v>
      </c>
      <c r="E1010" s="5" t="n">
        <f aca="false">E1009*(1+D1010)</f>
        <v>25447.8009281167</v>
      </c>
      <c r="F1010" s="4" t="n">
        <f aca="false">D1010*Varsayımlar!$B$3</f>
        <v>-0.010826575</v>
      </c>
      <c r="G1010" s="5" t="n">
        <f aca="false">G1009*(1+F1010)</f>
        <v>45623.9567983954</v>
      </c>
    </row>
    <row r="1011" customFormat="false" ht="15" hidden="false" customHeight="false" outlineLevel="0" collapsed="false">
      <c r="A1011" s="3" t="n">
        <v>45771</v>
      </c>
      <c r="B1011" s="10" t="n">
        <v>0.04402086</v>
      </c>
      <c r="C1011" s="5" t="n">
        <f aca="false">C1010*(1+B1011)</f>
        <v>16800.6197153046</v>
      </c>
      <c r="D1011" s="10" t="n">
        <v>0.03247146</v>
      </c>
      <c r="E1011" s="5" t="n">
        <f aca="false">E1010*(1+D1011)</f>
        <v>26274.128178042</v>
      </c>
      <c r="F1011" s="4" t="n">
        <f aca="false">D1011*Varsayımlar!$B$3</f>
        <v>0.040589325</v>
      </c>
      <c r="G1011" s="5" t="n">
        <f aca="false">G1010*(1+F1011)</f>
        <v>47475.8024086714</v>
      </c>
    </row>
    <row r="1012" customFormat="false" ht="15" hidden="false" customHeight="false" outlineLevel="0" collapsed="false">
      <c r="A1012" s="3" t="n">
        <v>45772</v>
      </c>
      <c r="B1012" s="10" t="n">
        <v>-0.00253432</v>
      </c>
      <c r="C1012" s="5" t="n">
        <f aca="false">C1011*(1+B1012)</f>
        <v>16758.0415687477</v>
      </c>
      <c r="D1012" s="10" t="n">
        <v>0.02567629</v>
      </c>
      <c r="E1012" s="5" t="n">
        <f aca="false">E1011*(1+D1012)</f>
        <v>26948.7503126386</v>
      </c>
      <c r="F1012" s="4" t="n">
        <f aca="false">D1012*Varsayımlar!$B$3</f>
        <v>0.0320953625</v>
      </c>
      <c r="G1012" s="5" t="n">
        <f aca="false">G1011*(1+F1012)</f>
        <v>48999.5554969561</v>
      </c>
    </row>
    <row r="1013" customFormat="false" ht="15" hidden="false" customHeight="false" outlineLevel="0" collapsed="false">
      <c r="A1013" s="3" t="n">
        <v>45773</v>
      </c>
      <c r="B1013" s="10" t="n">
        <v>-0.00092454</v>
      </c>
      <c r="C1013" s="5" t="n">
        <f aca="false">C1012*(1+B1013)</f>
        <v>16742.5480889958</v>
      </c>
      <c r="D1013" s="10" t="n">
        <v>0.01746961</v>
      </c>
      <c r="E1013" s="5" t="n">
        <f aca="false">E1012*(1+D1013)</f>
        <v>27419.5344705878</v>
      </c>
      <c r="F1013" s="4" t="n">
        <f aca="false">D1013*Varsayımlar!$B$3</f>
        <v>0.0218370125</v>
      </c>
      <c r="G1013" s="5" t="n">
        <f aca="false">G1012*(1+F1013)</f>
        <v>50069.5594028376</v>
      </c>
    </row>
    <row r="1014" customFormat="false" ht="15" hidden="false" customHeight="false" outlineLevel="0" collapsed="false">
      <c r="A1014" s="3" t="n">
        <v>45774</v>
      </c>
      <c r="B1014" s="10" t="n">
        <v>0.01101312</v>
      </c>
      <c r="C1014" s="5" t="n">
        <f aca="false">C1013*(1+B1014)</f>
        <v>16926.9357802057</v>
      </c>
      <c r="D1014" s="10" t="n">
        <v>0.00513186</v>
      </c>
      <c r="E1014" s="5" t="n">
        <f aca="false">E1013*(1+D1014)</f>
        <v>27560.247682756</v>
      </c>
      <c r="F1014" s="4" t="n">
        <f aca="false">D1014*Varsayımlar!$B$3</f>
        <v>0.006414825</v>
      </c>
      <c r="G1014" s="5" t="n">
        <f aca="false">G1013*(1+F1014)</f>
        <v>50390.7468642339</v>
      </c>
    </row>
    <row r="1015" customFormat="false" ht="15" hidden="false" customHeight="false" outlineLevel="0" collapsed="false">
      <c r="A1015" s="3" t="n">
        <v>45775</v>
      </c>
      <c r="B1015" s="10" t="n">
        <v>0.0130401</v>
      </c>
      <c r="C1015" s="5" t="n">
        <f aca="false">C1014*(1+B1015)</f>
        <v>17147.6647154731</v>
      </c>
      <c r="D1015" s="10" t="n">
        <v>0.02866829</v>
      </c>
      <c r="E1015" s="5" t="n">
        <f aca="false">E1014*(1+D1015)</f>
        <v>28350.3528557971</v>
      </c>
      <c r="F1015" s="4" t="n">
        <f aca="false">D1015*Varsayımlar!$B$3</f>
        <v>0.0358353625</v>
      </c>
      <c r="G1015" s="5" t="n">
        <f aca="false">G1014*(1+F1015)</f>
        <v>52196.5175447594</v>
      </c>
    </row>
    <row r="1016" customFormat="false" ht="15" hidden="false" customHeight="false" outlineLevel="0" collapsed="false">
      <c r="A1016" s="3" t="n">
        <v>45776</v>
      </c>
      <c r="B1016" s="10" t="n">
        <v>-0.00096521</v>
      </c>
      <c r="C1016" s="5" t="n">
        <f aca="false">C1015*(1+B1016)</f>
        <v>17131.1136180131</v>
      </c>
      <c r="D1016" s="10" t="n">
        <v>0.01458732</v>
      </c>
      <c r="E1016" s="5" t="n">
        <f aca="false">E1015*(1+D1016)</f>
        <v>28763.9085250175</v>
      </c>
      <c r="F1016" s="4" t="n">
        <f aca="false">D1016*Varsayımlar!$B$3</f>
        <v>0.01823415</v>
      </c>
      <c r="G1016" s="5" t="n">
        <f aca="false">G1015*(1+F1016)</f>
        <v>53148.2766751482</v>
      </c>
    </row>
    <row r="1017" customFormat="false" ht="15" hidden="false" customHeight="false" outlineLevel="0" collapsed="false">
      <c r="A1017" s="3" t="n">
        <v>45777</v>
      </c>
      <c r="B1017" s="10" t="n">
        <v>0.04660599</v>
      </c>
      <c r="C1017" s="5" t="n">
        <f aca="false">C1016*(1+B1017)</f>
        <v>17929.5261279831</v>
      </c>
      <c r="D1017" s="10" t="n">
        <v>0.086232</v>
      </c>
      <c r="E1017" s="5" t="n">
        <f aca="false">E1016*(1+D1017)</f>
        <v>31244.2778849469</v>
      </c>
      <c r="F1017" s="4" t="n">
        <f aca="false">D1017*Varsayımlar!$B$3</f>
        <v>0.10779</v>
      </c>
      <c r="G1017" s="5" t="n">
        <f aca="false">G1016*(1+F1017)</f>
        <v>58877.1294179624</v>
      </c>
    </row>
    <row r="1018" customFormat="false" ht="15" hidden="false" customHeight="false" outlineLevel="0" collapsed="false">
      <c r="A1018" s="3" t="n">
        <v>45778</v>
      </c>
      <c r="B1018" s="10" t="n">
        <v>-0.00183852</v>
      </c>
      <c r="C1018" s="5" t="n">
        <f aca="false">C1017*(1+B1018)</f>
        <v>17896.5623356063</v>
      </c>
      <c r="D1018" s="10" t="n">
        <v>-0.00613127</v>
      </c>
      <c r="E1018" s="5" t="n">
        <f aca="false">E1017*(1+D1018)</f>
        <v>31052.7107812792</v>
      </c>
      <c r="F1018" s="4" t="n">
        <f aca="false">D1018*Varsayımlar!$B$3</f>
        <v>-0.0076640875</v>
      </c>
      <c r="G1018" s="5" t="n">
        <f aca="false">G1017*(1+F1018)</f>
        <v>58425.8899463544</v>
      </c>
    </row>
    <row r="1019" customFormat="false" ht="15" hidden="false" customHeight="false" outlineLevel="0" collapsed="false">
      <c r="A1019" s="3" t="n">
        <v>45779</v>
      </c>
      <c r="B1019" s="10" t="n">
        <v>0.01097824</v>
      </c>
      <c r="C1019" s="5" t="n">
        <f aca="false">C1018*(1+B1019)</f>
        <v>18093.0350921015</v>
      </c>
      <c r="D1019" s="10" t="n">
        <v>-0.001307</v>
      </c>
      <c r="E1019" s="5" t="n">
        <f aca="false">E1018*(1+D1019)</f>
        <v>31012.1248882881</v>
      </c>
      <c r="F1019" s="4" t="n">
        <f aca="false">D1019*Varsayımlar!$B$3</f>
        <v>-0.00163375</v>
      </c>
      <c r="G1019" s="5" t="n">
        <f aca="false">G1018*(1+F1019)</f>
        <v>58330.4366486545</v>
      </c>
    </row>
    <row r="1020" customFormat="false" ht="15" hidden="false" customHeight="false" outlineLevel="0" collapsed="false">
      <c r="A1020" s="3" t="n">
        <v>45780</v>
      </c>
      <c r="B1020" s="10" t="n">
        <v>-0.00767977</v>
      </c>
      <c r="C1020" s="5" t="n">
        <f aca="false">C1019*(1+B1020)</f>
        <v>17954.0847439922</v>
      </c>
      <c r="D1020" s="10" t="n">
        <v>0.00393745</v>
      </c>
      <c r="E1020" s="5" t="n">
        <f aca="false">E1019*(1+D1020)</f>
        <v>31134.2335794295</v>
      </c>
      <c r="F1020" s="4" t="n">
        <f aca="false">D1020*Varsayımlar!$B$3</f>
        <v>0.0049218125</v>
      </c>
      <c r="G1020" s="5" t="n">
        <f aca="false">G1019*(1+F1020)</f>
        <v>58617.5281208823</v>
      </c>
    </row>
    <row r="1021" customFormat="false" ht="15" hidden="false" customHeight="false" outlineLevel="0" collapsed="false">
      <c r="A1021" s="3" t="n">
        <v>45781</v>
      </c>
      <c r="B1021" s="10" t="n">
        <v>0.00416345</v>
      </c>
      <c r="C1021" s="5" t="n">
        <f aca="false">C1020*(1+B1021)</f>
        <v>18028.8356781196</v>
      </c>
      <c r="D1021" s="10" t="n">
        <v>0.00580381</v>
      </c>
      <c r="E1021" s="5" t="n">
        <f aca="false">E1020*(1+D1021)</f>
        <v>31314.9307556201</v>
      </c>
      <c r="F1021" s="4" t="n">
        <f aca="false">D1021*Varsayımlar!$B$3</f>
        <v>0.0072547625</v>
      </c>
      <c r="G1021" s="5" t="n">
        <f aca="false">G1020*(1+F1021)</f>
        <v>59042.7843657364</v>
      </c>
    </row>
    <row r="1022" customFormat="false" ht="15" hidden="false" customHeight="false" outlineLevel="0" collapsed="false">
      <c r="A1022" s="3" t="n">
        <v>45782</v>
      </c>
      <c r="B1022" s="10" t="n">
        <v>0.01122767</v>
      </c>
      <c r="C1022" s="5" t="n">
        <f aca="false">C1021*(1+B1022)</f>
        <v>18231.2574955978</v>
      </c>
      <c r="D1022" s="10" t="n">
        <v>-0.00075476</v>
      </c>
      <c r="E1022" s="5" t="n">
        <f aca="false">E1021*(1+D1022)</f>
        <v>31291.295498483</v>
      </c>
      <c r="F1022" s="4" t="n">
        <f aca="false">D1022*Varsayımlar!$B$3</f>
        <v>-0.00094345</v>
      </c>
      <c r="G1022" s="5" t="n">
        <f aca="false">G1021*(1+F1022)</f>
        <v>58987.0804508265</v>
      </c>
    </row>
    <row r="1023" customFormat="false" ht="15" hidden="false" customHeight="false" outlineLevel="0" collapsed="false">
      <c r="A1023" s="3" t="n">
        <v>45783</v>
      </c>
      <c r="B1023" s="10" t="n">
        <v>-0.01664828</v>
      </c>
      <c r="C1023" s="5" t="n">
        <f aca="false">C1022*(1+B1023)</f>
        <v>17927.738416059</v>
      </c>
      <c r="D1023" s="10" t="n">
        <v>-0.03864233</v>
      </c>
      <c r="E1023" s="5" t="n">
        <f aca="false">E1022*(1+D1023)</f>
        <v>30082.1269317031</v>
      </c>
      <c r="F1023" s="4" t="n">
        <f aca="false">D1023*Varsayımlar!$B$3</f>
        <v>-0.0483029125</v>
      </c>
      <c r="G1023" s="5" t="n">
        <f aca="false">G1022*(1+F1023)</f>
        <v>56137.8326651798</v>
      </c>
    </row>
    <row r="1024" customFormat="false" ht="15" hidden="false" customHeight="false" outlineLevel="0" collapsed="false">
      <c r="A1024" s="3" t="n">
        <v>45784</v>
      </c>
      <c r="B1024" s="10" t="n">
        <v>-0.00105059</v>
      </c>
      <c r="C1024" s="5" t="n">
        <f aca="false">C1023*(1+B1024)</f>
        <v>17908.9037133564</v>
      </c>
      <c r="D1024" s="10" t="n">
        <v>0.0001764</v>
      </c>
      <c r="E1024" s="5" t="n">
        <f aca="false">E1023*(1+D1024)</f>
        <v>30087.4334188939</v>
      </c>
      <c r="F1024" s="4" t="n">
        <f aca="false">D1024*Varsayımlar!$B$3</f>
        <v>0.0002205</v>
      </c>
      <c r="G1024" s="5" t="n">
        <f aca="false">G1023*(1+F1024)</f>
        <v>56150.2110572825</v>
      </c>
    </row>
    <row r="1025" customFormat="false" ht="15" hidden="false" customHeight="false" outlineLevel="0" collapsed="false">
      <c r="A1025" s="3" t="n">
        <v>45785</v>
      </c>
      <c r="B1025" s="10" t="n">
        <v>0.01911276</v>
      </c>
      <c r="C1025" s="5" t="n">
        <f aca="false">C1024*(1+B1025)</f>
        <v>18251.1922918929</v>
      </c>
      <c r="D1025" s="10" t="n">
        <v>0.0040321</v>
      </c>
      <c r="E1025" s="5" t="n">
        <f aca="false">E1024*(1+D1025)</f>
        <v>30208.7489591822</v>
      </c>
      <c r="F1025" s="4" t="n">
        <f aca="false">D1025*Varsayımlar!$B$3</f>
        <v>0.005040125</v>
      </c>
      <c r="G1025" s="5" t="n">
        <f aca="false">G1024*(1+F1025)</f>
        <v>56433.2151397875</v>
      </c>
    </row>
    <row r="1026" customFormat="false" ht="15" hidden="false" customHeight="false" outlineLevel="0" collapsed="false">
      <c r="A1026" s="3" t="n">
        <v>45786</v>
      </c>
      <c r="B1026" s="10" t="n">
        <v>-0.01811974</v>
      </c>
      <c r="C1026" s="5" t="n">
        <f aca="false">C1025*(1+B1026)</f>
        <v>17920.4854328738</v>
      </c>
      <c r="D1026" s="10" t="n">
        <v>-0.0312525</v>
      </c>
      <c r="E1026" s="5" t="n">
        <f aca="false">E1025*(1+D1026)</f>
        <v>29264.6500323353</v>
      </c>
      <c r="F1026" s="4" t="n">
        <f aca="false">D1026*Varsayımlar!$B$3</f>
        <v>-0.039065625</v>
      </c>
      <c r="G1026" s="5" t="n">
        <f aca="false">G1025*(1+F1026)</f>
        <v>54228.6163195923</v>
      </c>
    </row>
    <row r="1027" customFormat="false" ht="15" hidden="false" customHeight="false" outlineLevel="0" collapsed="false">
      <c r="A1027" s="3" t="n">
        <v>45787</v>
      </c>
      <c r="B1027" s="10" t="n">
        <v>-0.03338126</v>
      </c>
      <c r="C1027" s="5" t="n">
        <f aca="false">C1026*(1+B1027)</f>
        <v>17322.2770493129</v>
      </c>
      <c r="D1027" s="10" t="n">
        <v>-0.0038799</v>
      </c>
      <c r="E1027" s="5" t="n">
        <f aca="false">E1026*(1+D1027)</f>
        <v>29151.1061166749</v>
      </c>
      <c r="F1027" s="4" t="n">
        <f aca="false">D1027*Varsayımlar!$B$3</f>
        <v>-0.004849875</v>
      </c>
      <c r="G1027" s="5" t="n">
        <f aca="false">G1026*(1+F1027)</f>
        <v>53965.6143090193</v>
      </c>
    </row>
    <row r="1028" customFormat="false" ht="15" hidden="false" customHeight="false" outlineLevel="0" collapsed="false">
      <c r="A1028" s="3" t="n">
        <v>45788</v>
      </c>
      <c r="B1028" s="10" t="n">
        <v>0.01028735</v>
      </c>
      <c r="C1028" s="5" t="n">
        <f aca="false">C1027*(1+B1028)</f>
        <v>17500.4773761161</v>
      </c>
      <c r="D1028" s="10" t="n">
        <v>0.0004046</v>
      </c>
      <c r="E1028" s="5" t="n">
        <f aca="false">E1027*(1+D1028)</f>
        <v>29162.9006542097</v>
      </c>
      <c r="F1028" s="4" t="n">
        <f aca="false">D1028*Varsayımlar!$B$3</f>
        <v>0.00050575</v>
      </c>
      <c r="G1028" s="5" t="n">
        <f aca="false">G1027*(1+F1028)</f>
        <v>53992.9074184561</v>
      </c>
    </row>
    <row r="1029" customFormat="false" ht="15" hidden="false" customHeight="false" outlineLevel="0" collapsed="false">
      <c r="A1029" s="3" t="n">
        <v>45789</v>
      </c>
      <c r="B1029" s="10" t="n">
        <v>-0.01953018</v>
      </c>
      <c r="C1029" s="5" t="n">
        <f aca="false">C1028*(1+B1029)</f>
        <v>17158.6899028746</v>
      </c>
      <c r="D1029" s="10" t="n">
        <v>-0.00855597</v>
      </c>
      <c r="E1029" s="5" t="n">
        <f aca="false">E1028*(1+D1029)</f>
        <v>28913.3837510993</v>
      </c>
      <c r="F1029" s="4" t="n">
        <f aca="false">D1029*Varsayımlar!$B$3</f>
        <v>-0.0106949625</v>
      </c>
      <c r="G1029" s="5" t="n">
        <f aca="false">G1028*(1+F1029)</f>
        <v>53415.4552983497</v>
      </c>
    </row>
    <row r="1030" customFormat="false" ht="15" hidden="false" customHeight="false" outlineLevel="0" collapsed="false">
      <c r="A1030" s="3" t="n">
        <v>45790</v>
      </c>
      <c r="B1030" s="10" t="n">
        <v>-0.0094061</v>
      </c>
      <c r="C1030" s="5" t="n">
        <f aca="false">C1029*(1+B1030)</f>
        <v>16997.2935497792</v>
      </c>
      <c r="D1030" s="10" t="n">
        <v>-0.0005185</v>
      </c>
      <c r="E1030" s="5" t="n">
        <f aca="false">E1029*(1+D1030)</f>
        <v>28898.3921616243</v>
      </c>
      <c r="F1030" s="4" t="n">
        <f aca="false">D1030*Varsayımlar!$B$3</f>
        <v>-0.000648125</v>
      </c>
      <c r="G1030" s="5" t="n">
        <f aca="false">G1029*(1+F1030)</f>
        <v>53380.8354063845</v>
      </c>
    </row>
    <row r="1031" customFormat="false" ht="15" hidden="false" customHeight="false" outlineLevel="0" collapsed="false">
      <c r="A1031" s="3" t="n">
        <v>45791</v>
      </c>
      <c r="B1031" s="10" t="n">
        <v>0.00930009</v>
      </c>
      <c r="C1031" s="5" t="n">
        <f aca="false">C1030*(1+B1031)</f>
        <v>17155.3699095486</v>
      </c>
      <c r="D1031" s="10" t="n">
        <v>0.01933492</v>
      </c>
      <c r="E1031" s="5" t="n">
        <f aca="false">E1030*(1+D1031)</f>
        <v>29457.140262198</v>
      </c>
      <c r="F1031" s="4" t="n">
        <f aca="false">D1031*Varsayımlar!$B$3</f>
        <v>0.02416865</v>
      </c>
      <c r="G1031" s="5" t="n">
        <f aca="false">G1030*(1+F1031)</f>
        <v>54670.978134029</v>
      </c>
    </row>
    <row r="1032" customFormat="false" ht="15" hidden="false" customHeight="false" outlineLevel="0" collapsed="false">
      <c r="A1032" s="3" t="n">
        <v>45792</v>
      </c>
      <c r="B1032" s="10" t="n">
        <v>-0.00320345</v>
      </c>
      <c r="C1032" s="5" t="n">
        <f aca="false">C1031*(1+B1032)</f>
        <v>17100.4135398118</v>
      </c>
      <c r="D1032" s="10" t="n">
        <v>0.00088766</v>
      </c>
      <c r="E1032" s="5" t="n">
        <f aca="false">E1031*(1+D1032)</f>
        <v>29483.2881873231</v>
      </c>
      <c r="F1032" s="4" t="n">
        <f aca="false">D1032*Varsayımlar!$B$3</f>
        <v>0.001109575</v>
      </c>
      <c r="G1032" s="5" t="n">
        <f aca="false">G1031*(1+F1032)</f>
        <v>54731.6396845921</v>
      </c>
    </row>
    <row r="1033" customFormat="false" ht="15" hidden="false" customHeight="false" outlineLevel="0" collapsed="false">
      <c r="A1033" s="3" t="n">
        <v>45793</v>
      </c>
      <c r="B1033" s="10" t="n">
        <v>-0.00055367</v>
      </c>
      <c r="C1033" s="5" t="n">
        <f aca="false">C1032*(1+B1033)</f>
        <v>17090.9455538472</v>
      </c>
      <c r="D1033" s="10" t="n">
        <v>0.01699516</v>
      </c>
      <c r="E1033" s="5" t="n">
        <f aca="false">E1032*(1+D1033)</f>
        <v>29984.3613873928</v>
      </c>
      <c r="F1033" s="4" t="n">
        <f aca="false">D1033*Varsayımlar!$B$3</f>
        <v>0.02124395</v>
      </c>
      <c r="G1033" s="5" t="n">
        <f aca="false">G1032*(1+F1033)</f>
        <v>55894.3559014695</v>
      </c>
    </row>
    <row r="1034" customFormat="false" ht="15" hidden="false" customHeight="false" outlineLevel="0" collapsed="false">
      <c r="A1034" s="3" t="n">
        <v>45794</v>
      </c>
      <c r="B1034" s="10" t="n">
        <v>-0.00623642</v>
      </c>
      <c r="C1034" s="5" t="n">
        <f aca="false">C1033*(1+B1034)</f>
        <v>16984.3592391763</v>
      </c>
      <c r="D1034" s="10" t="n">
        <v>-0.0173931</v>
      </c>
      <c r="E1034" s="5" t="n">
        <f aca="false">E1033*(1+D1034)</f>
        <v>29462.8403913457</v>
      </c>
      <c r="F1034" s="4" t="n">
        <f aca="false">D1034*Varsayımlar!$B$3</f>
        <v>-0.021741375</v>
      </c>
      <c r="G1034" s="5" t="n">
        <f aca="false">G1033*(1+F1034)</f>
        <v>54679.1357494322</v>
      </c>
    </row>
    <row r="1035" customFormat="false" ht="15" hidden="false" customHeight="false" outlineLevel="0" collapsed="false">
      <c r="A1035" s="3" t="n">
        <v>45795</v>
      </c>
      <c r="B1035" s="10" t="n">
        <v>0.02112269</v>
      </c>
      <c r="C1035" s="5" t="n">
        <f aca="false">C1034*(1+B1035)</f>
        <v>17343.1145942341</v>
      </c>
      <c r="D1035" s="10" t="n">
        <v>0.02376956</v>
      </c>
      <c r="E1035" s="5" t="n">
        <f aca="false">E1034*(1+D1035)</f>
        <v>30163.1591437982</v>
      </c>
      <c r="F1035" s="4" t="n">
        <f aca="false">D1035*Varsayımlar!$B$3</f>
        <v>0.02971195</v>
      </c>
      <c r="G1035" s="5" t="n">
        <f aca="false">G1034*(1+F1035)</f>
        <v>56303.7594968626</v>
      </c>
    </row>
    <row r="1036" customFormat="false" ht="15" hidden="false" customHeight="false" outlineLevel="0" collapsed="false">
      <c r="A1036" s="3" t="n">
        <v>45796</v>
      </c>
      <c r="B1036" s="10" t="n">
        <v>6.952E-005</v>
      </c>
      <c r="C1036" s="5" t="n">
        <f aca="false">C1035*(1+B1036)</f>
        <v>17344.3202875607</v>
      </c>
      <c r="D1036" s="10" t="n">
        <v>0.0066591</v>
      </c>
      <c r="E1036" s="5" t="n">
        <f aca="false">E1035*(1+D1036)</f>
        <v>30364.0186368527</v>
      </c>
      <c r="F1036" s="4" t="n">
        <f aca="false">D1036*Varsayımlar!$B$3</f>
        <v>0.008323875</v>
      </c>
      <c r="G1036" s="5" t="n">
        <f aca="false">G1035*(1+F1036)</f>
        <v>56772.4249529445</v>
      </c>
    </row>
    <row r="1037" customFormat="false" ht="15" hidden="false" customHeight="false" outlineLevel="0" collapsed="false">
      <c r="A1037" s="3" t="n">
        <v>45797</v>
      </c>
      <c r="B1037" s="10" t="n">
        <v>-0.01196786</v>
      </c>
      <c r="C1037" s="5" t="n">
        <f aca="false">C1036*(1+B1037)</f>
        <v>17136.745890564</v>
      </c>
      <c r="D1037" s="10" t="n">
        <v>-0.01177649</v>
      </c>
      <c r="E1037" s="5" t="n">
        <f aca="false">E1036*(1+D1037)</f>
        <v>30006.437075016</v>
      </c>
      <c r="F1037" s="4" t="n">
        <f aca="false">D1037*Varsayımlar!$B$3</f>
        <v>-0.0147206125</v>
      </c>
      <c r="G1037" s="5" t="n">
        <f aca="false">G1036*(1+F1037)</f>
        <v>55936.7000845269</v>
      </c>
    </row>
    <row r="1038" customFormat="false" ht="15" hidden="false" customHeight="false" outlineLevel="0" collapsed="false">
      <c r="A1038" s="3" t="n">
        <v>45798</v>
      </c>
      <c r="B1038" s="10" t="n">
        <v>0.00159185</v>
      </c>
      <c r="C1038" s="5" t="n">
        <f aca="false">C1037*(1+B1038)</f>
        <v>17164.0250195099</v>
      </c>
      <c r="D1038" s="10" t="n">
        <v>0.01519167</v>
      </c>
      <c r="E1038" s="5" t="n">
        <f aca="false">E1037*(1+D1038)</f>
        <v>30462.2849649354</v>
      </c>
      <c r="F1038" s="4" t="n">
        <f aca="false">D1038*Varsayımlar!$B$3</f>
        <v>0.0189895875</v>
      </c>
      <c r="G1038" s="5" t="n">
        <f aca="false">G1037*(1+F1038)</f>
        <v>56998.9149452433</v>
      </c>
    </row>
    <row r="1039" customFormat="false" ht="15" hidden="false" customHeight="false" outlineLevel="0" collapsed="false">
      <c r="A1039" s="3" t="n">
        <v>45799</v>
      </c>
      <c r="B1039" s="10" t="n">
        <v>0.02238578</v>
      </c>
      <c r="C1039" s="5" t="n">
        <f aca="false">C1038*(1+B1039)</f>
        <v>17548.2551075111</v>
      </c>
      <c r="D1039" s="10" t="n">
        <v>0.0078461</v>
      </c>
      <c r="E1039" s="5" t="n">
        <f aca="false">E1038*(1+D1039)</f>
        <v>30701.2950989988</v>
      </c>
      <c r="F1039" s="4" t="n">
        <f aca="false">D1039*Varsayımlar!$B$3</f>
        <v>0.009807625</v>
      </c>
      <c r="G1039" s="5" t="n">
        <f aca="false">G1038*(1+F1039)</f>
        <v>57557.9389284331</v>
      </c>
    </row>
    <row r="1040" customFormat="false" ht="15" hidden="false" customHeight="false" outlineLevel="0" collapsed="false">
      <c r="A1040" s="3" t="n">
        <v>45800</v>
      </c>
      <c r="B1040" s="10" t="n">
        <v>-0.00198897</v>
      </c>
      <c r="C1040" s="5" t="n">
        <f aca="false">C1039*(1+B1040)</f>
        <v>17513.3521545499</v>
      </c>
      <c r="D1040" s="10" t="n">
        <v>-0.00335303</v>
      </c>
      <c r="E1040" s="5" t="n">
        <f aca="false">E1039*(1+D1040)</f>
        <v>30598.352735493</v>
      </c>
      <c r="F1040" s="4" t="n">
        <f aca="false">D1040*Varsayımlar!$B$3</f>
        <v>-0.0041912875</v>
      </c>
      <c r="G1040" s="5" t="n">
        <f aca="false">G1039*(1+F1040)</f>
        <v>57316.6970584766</v>
      </c>
    </row>
    <row r="1041" customFormat="false" ht="15" hidden="false" customHeight="false" outlineLevel="0" collapsed="false">
      <c r="A1041" s="3" t="n">
        <v>45801</v>
      </c>
      <c r="B1041" s="10" t="n">
        <v>0.00834879</v>
      </c>
      <c r="C1041" s="5" t="n">
        <f aca="false">C1040*(1+B1041)</f>
        <v>17659.5674538843</v>
      </c>
      <c r="D1041" s="10" t="n">
        <v>0.01043681</v>
      </c>
      <c r="E1041" s="5" t="n">
        <f aca="false">E1040*(1+D1041)</f>
        <v>30917.7019293063</v>
      </c>
      <c r="F1041" s="4" t="n">
        <f aca="false">D1041*Varsayımlar!$B$3</f>
        <v>0.0130460125</v>
      </c>
      <c r="G1041" s="5" t="n">
        <f aca="false">G1040*(1+F1041)</f>
        <v>58064.4514047602</v>
      </c>
    </row>
    <row r="1042" customFormat="false" ht="15" hidden="false" customHeight="false" outlineLevel="0" collapsed="false">
      <c r="A1042" s="3" t="n">
        <v>45802</v>
      </c>
      <c r="B1042" s="10" t="n">
        <v>-0.00039546</v>
      </c>
      <c r="C1042" s="5" t="n">
        <f aca="false">C1041*(1+B1042)</f>
        <v>17652.583801339</v>
      </c>
      <c r="D1042" s="10" t="n">
        <v>-0.00111893</v>
      </c>
      <c r="E1042" s="5" t="n">
        <f aca="false">E1041*(1+D1042)</f>
        <v>30883.1071850866</v>
      </c>
      <c r="F1042" s="4" t="n">
        <f aca="false">D1042*Varsayımlar!$B$3</f>
        <v>-0.0013986625</v>
      </c>
      <c r="G1042" s="5" t="n">
        <f aca="false">G1041*(1+F1042)</f>
        <v>57983.2388339973</v>
      </c>
    </row>
    <row r="1043" customFormat="false" ht="15" hidden="false" customHeight="false" outlineLevel="0" collapsed="false">
      <c r="A1043" s="3" t="n">
        <v>45803</v>
      </c>
      <c r="B1043" s="10" t="n">
        <v>-0.00398184</v>
      </c>
      <c r="C1043" s="5" t="n">
        <f aca="false">C1042*(1+B1043)</f>
        <v>17582.2940370555</v>
      </c>
      <c r="D1043" s="10" t="n">
        <v>-0.00493185</v>
      </c>
      <c r="E1043" s="5" t="n">
        <f aca="false">E1042*(1+D1043)</f>
        <v>30730.7963329158</v>
      </c>
      <c r="F1043" s="4" t="n">
        <f aca="false">D1043*Varsayımlar!$B$3</f>
        <v>-0.0061648125</v>
      </c>
      <c r="G1043" s="5" t="n">
        <f aca="false">G1042*(1+F1043)</f>
        <v>57625.783038443</v>
      </c>
    </row>
    <row r="1044" customFormat="false" ht="15" hidden="false" customHeight="false" outlineLevel="0" collapsed="false">
      <c r="A1044" s="3" t="n">
        <v>45804</v>
      </c>
      <c r="B1044" s="10" t="n">
        <v>0.01831976</v>
      </c>
      <c r="C1044" s="5" t="n">
        <f aca="false">C1043*(1+B1044)</f>
        <v>17904.3974440638</v>
      </c>
      <c r="D1044" s="10" t="n">
        <v>0.01991693</v>
      </c>
      <c r="E1044" s="5" t="n">
        <f aca="false">E1043*(1+D1044)</f>
        <v>31342.8594523227</v>
      </c>
      <c r="F1044" s="4" t="n">
        <f aca="false">D1044*Varsayımlar!$B$3</f>
        <v>0.0248961625</v>
      </c>
      <c r="G1044" s="5" t="n">
        <f aca="false">G1043*(1+F1044)</f>
        <v>59060.4438971578</v>
      </c>
    </row>
    <row r="1045" customFormat="false" ht="15" hidden="false" customHeight="false" outlineLevel="0" collapsed="false">
      <c r="A1045" s="3" t="n">
        <v>45805</v>
      </c>
      <c r="B1045" s="10" t="n">
        <v>-0.00358297</v>
      </c>
      <c r="C1045" s="5" t="n">
        <f aca="false">C1044*(1+B1045)</f>
        <v>17840.2465251536</v>
      </c>
      <c r="D1045" s="10" t="n">
        <v>-0.00272083</v>
      </c>
      <c r="E1045" s="5" t="n">
        <f aca="false">E1044*(1+D1045)</f>
        <v>31257.5808600391</v>
      </c>
      <c r="F1045" s="4" t="n">
        <f aca="false">D1045*Varsayımlar!$B$3</f>
        <v>-0.0034010375</v>
      </c>
      <c r="G1045" s="5" t="n">
        <f aca="false">G1044*(1+F1045)</f>
        <v>58859.5771126969</v>
      </c>
    </row>
    <row r="1046" customFormat="false" ht="15" hidden="false" customHeight="false" outlineLevel="0" collapsed="false">
      <c r="A1046" s="3" t="n">
        <v>45806</v>
      </c>
      <c r="B1046" s="10" t="n">
        <v>-0.00038265</v>
      </c>
      <c r="C1046" s="5" t="n">
        <f aca="false">C1045*(1+B1046)</f>
        <v>17833.4199548207</v>
      </c>
      <c r="D1046" s="10" t="n">
        <v>0.00174298</v>
      </c>
      <c r="E1046" s="5" t="n">
        <f aca="false">E1045*(1+D1046)</f>
        <v>31312.0621983265</v>
      </c>
      <c r="F1046" s="4" t="n">
        <f aca="false">D1046*Varsayımlar!$B$3</f>
        <v>0.002178725</v>
      </c>
      <c r="G1046" s="5" t="n">
        <f aca="false">G1045*(1+F1046)</f>
        <v>58987.8159448418</v>
      </c>
    </row>
    <row r="1047" customFormat="false" ht="15" hidden="false" customHeight="false" outlineLevel="0" collapsed="false">
      <c r="A1047" s="3" t="n">
        <v>45807</v>
      </c>
      <c r="B1047" s="10" t="n">
        <v>-0.00958688</v>
      </c>
      <c r="C1047" s="5" t="n">
        <f aca="false">C1046*(1+B1047)</f>
        <v>17662.4530977243</v>
      </c>
      <c r="D1047" s="10" t="n">
        <v>-0.00893408</v>
      </c>
      <c r="E1047" s="5" t="n">
        <f aca="false">E1046*(1+D1047)</f>
        <v>31032.3177296817</v>
      </c>
      <c r="F1047" s="4" t="n">
        <f aca="false">D1047*Varsayımlar!$B$3</f>
        <v>-0.0111676</v>
      </c>
      <c r="G1047" s="5" t="n">
        <f aca="false">G1046*(1+F1047)</f>
        <v>58329.0636114962</v>
      </c>
    </row>
    <row r="1048" customFormat="false" ht="15" hidden="false" customHeight="false" outlineLevel="0" collapsed="false">
      <c r="A1048" s="3" t="n">
        <v>45808</v>
      </c>
      <c r="B1048" s="10" t="n">
        <v>0.00127966</v>
      </c>
      <c r="C1048" s="5" t="n">
        <f aca="false">C1047*(1+B1048)</f>
        <v>17685.0550324553</v>
      </c>
      <c r="D1048" s="10" t="n">
        <v>-0.00369592</v>
      </c>
      <c r="E1048" s="5" t="n">
        <f aca="false">E1047*(1+D1048)</f>
        <v>30917.6247659382</v>
      </c>
      <c r="F1048" s="4" t="n">
        <f aca="false">D1048*Varsayımlar!$B$3</f>
        <v>-0.0046199</v>
      </c>
      <c r="G1048" s="5" t="n">
        <f aca="false">G1047*(1+F1048)</f>
        <v>58059.5891705174</v>
      </c>
    </row>
    <row r="1049" customFormat="false" ht="15" hidden="false" customHeight="false" outlineLevel="0" collapsed="false">
      <c r="A1049" s="3" t="n">
        <v>45809</v>
      </c>
      <c r="B1049" s="10" t="n">
        <v>0.00640849</v>
      </c>
      <c r="C1049" s="5" t="n">
        <f aca="false">C1048*(1+B1049)</f>
        <v>17798.3895307803</v>
      </c>
      <c r="D1049" s="10" t="n">
        <v>0.01443371</v>
      </c>
      <c r="E1049" s="5" t="n">
        <f aca="false">E1048*(1+D1049)</f>
        <v>31363.8807956986</v>
      </c>
      <c r="F1049" s="4" t="n">
        <f aca="false">D1049*Varsayımlar!$B$3</f>
        <v>0.0180421375</v>
      </c>
      <c r="G1049" s="5" t="n">
        <f aca="false">G1048*(1+F1049)</f>
        <v>59107.1082615254</v>
      </c>
    </row>
    <row r="1050" customFormat="false" ht="15" hidden="false" customHeight="false" outlineLevel="0" collapsed="false">
      <c r="A1050" s="3" t="n">
        <v>45810</v>
      </c>
      <c r="B1050" s="10" t="n">
        <v>-0.00742821</v>
      </c>
      <c r="C1050" s="5" t="n">
        <f aca="false">C1049*(1+B1050)</f>
        <v>17666.1793556838</v>
      </c>
      <c r="D1050" s="10" t="n">
        <v>-0.0131568</v>
      </c>
      <c r="E1050" s="5" t="n">
        <f aca="false">E1049*(1+D1050)</f>
        <v>30951.2324888457</v>
      </c>
      <c r="F1050" s="4" t="n">
        <f aca="false">D1050*Varsayımlar!$B$3</f>
        <v>-0.016446</v>
      </c>
      <c r="G1050" s="5" t="n">
        <f aca="false">G1049*(1+F1050)</f>
        <v>58135.0327590564</v>
      </c>
    </row>
    <row r="1051" customFormat="false" ht="15" hidden="false" customHeight="false" outlineLevel="0" collapsed="false">
      <c r="A1051" s="3" t="n">
        <v>45811</v>
      </c>
      <c r="B1051" s="10" t="n">
        <v>-0.01263942</v>
      </c>
      <c r="C1051" s="5" t="n">
        <f aca="false">C1050*(1+B1051)</f>
        <v>17442.889095012</v>
      </c>
      <c r="D1051" s="10" t="n">
        <v>-0.01278341</v>
      </c>
      <c r="E1051" s="5" t="n">
        <f aca="false">E1050*(1+D1051)</f>
        <v>30555.5701939355</v>
      </c>
      <c r="F1051" s="4" t="n">
        <f aca="false">D1051*Varsayımlar!$B$3</f>
        <v>-0.0159792625</v>
      </c>
      <c r="G1051" s="5" t="n">
        <f aca="false">G1050*(1+F1051)</f>
        <v>57206.0778101533</v>
      </c>
    </row>
    <row r="1052" customFormat="false" ht="15" hidden="false" customHeight="false" outlineLevel="0" collapsed="false">
      <c r="A1052" s="3" t="n">
        <v>45812</v>
      </c>
      <c r="B1052" s="10" t="n">
        <v>0.01272945</v>
      </c>
      <c r="C1052" s="5" t="n">
        <f aca="false">C1051*(1+B1052)</f>
        <v>17664.9274796025</v>
      </c>
      <c r="D1052" s="10" t="n">
        <v>0.01306312</v>
      </c>
      <c r="E1052" s="5" t="n">
        <f aca="false">E1051*(1+D1052)</f>
        <v>30954.7212740473</v>
      </c>
      <c r="F1052" s="4" t="n">
        <f aca="false">D1052*Varsayımlar!$B$3</f>
        <v>0.0163289</v>
      </c>
      <c r="G1052" s="5" t="n">
        <f aca="false">G1051*(1+F1052)</f>
        <v>58140.1901341075</v>
      </c>
    </row>
    <row r="1053" customFormat="false" ht="15" hidden="false" customHeight="false" outlineLevel="0" collapsed="false">
      <c r="A1053" s="3" t="n">
        <v>45813</v>
      </c>
      <c r="B1053" s="10" t="n">
        <v>-0.0044707</v>
      </c>
      <c r="C1053" s="5" t="n">
        <f aca="false">C1052*(1+B1053)</f>
        <v>17585.9528883194</v>
      </c>
      <c r="D1053" s="10" t="n">
        <v>-0.00048578</v>
      </c>
      <c r="E1053" s="5" t="n">
        <f aca="false">E1052*(1+D1053)</f>
        <v>30939.6840895468</v>
      </c>
      <c r="F1053" s="4" t="n">
        <f aca="false">D1053*Varsayımlar!$B$3</f>
        <v>-0.000607225</v>
      </c>
      <c r="G1053" s="5" t="n">
        <f aca="false">G1052*(1+F1053)</f>
        <v>58104.8859571533</v>
      </c>
    </row>
    <row r="1054" customFormat="false" ht="15" hidden="false" customHeight="false" outlineLevel="0" collapsed="false">
      <c r="A1054" s="3" t="n">
        <v>45814</v>
      </c>
      <c r="B1054" s="10" t="n">
        <v>-0.01636561</v>
      </c>
      <c r="C1054" s="5" t="n">
        <f aca="false">C1053*(1+B1054)</f>
        <v>17298.1480418708</v>
      </c>
      <c r="D1054" s="10" t="n">
        <v>-0.00493456</v>
      </c>
      <c r="E1054" s="5" t="n">
        <f aca="false">E1053*(1+D1054)</f>
        <v>30787.0103620259</v>
      </c>
      <c r="F1054" s="4" t="n">
        <f aca="false">D1054*Varsayımlar!$B$3</f>
        <v>-0.0061682</v>
      </c>
      <c r="G1054" s="5" t="n">
        <f aca="false">G1053*(1+F1054)</f>
        <v>57746.4833995924</v>
      </c>
    </row>
    <row r="1055" customFormat="false" ht="15" hidden="false" customHeight="false" outlineLevel="0" collapsed="false">
      <c r="A1055" s="3" t="n">
        <v>45815</v>
      </c>
      <c r="B1055" s="10" t="n">
        <v>-0.00417404</v>
      </c>
      <c r="C1055" s="5" t="n">
        <f aca="false">C1054*(1+B1055)</f>
        <v>17225.9448800181</v>
      </c>
      <c r="D1055" s="10" t="n">
        <v>-0.01288916</v>
      </c>
      <c r="E1055" s="5" t="n">
        <f aca="false">E1054*(1+D1055)</f>
        <v>30390.191659548</v>
      </c>
      <c r="F1055" s="4" t="n">
        <f aca="false">D1055*Varsayımlar!$B$3</f>
        <v>-0.01611145</v>
      </c>
      <c r="G1055" s="5" t="n">
        <f aca="false">G1054*(1+F1055)</f>
        <v>56816.1038196241</v>
      </c>
    </row>
    <row r="1056" customFormat="false" ht="15" hidden="false" customHeight="false" outlineLevel="0" collapsed="false">
      <c r="A1056" s="3" t="n">
        <v>45816</v>
      </c>
      <c r="B1056" s="10" t="n">
        <v>0.00166783</v>
      </c>
      <c r="C1056" s="5" t="n">
        <f aca="false">C1055*(1+B1056)</f>
        <v>17254.6748276674</v>
      </c>
      <c r="D1056" s="10" t="n">
        <v>-0.00267915</v>
      </c>
      <c r="E1056" s="5" t="n">
        <f aca="false">E1055*(1+D1056)</f>
        <v>30308.7717775634</v>
      </c>
      <c r="F1056" s="4" t="n">
        <f aca="false">D1056*Varsayımlar!$B$3</f>
        <v>-0.0033489375</v>
      </c>
      <c r="G1056" s="5" t="n">
        <f aca="false">G1055*(1+F1056)</f>
        <v>56625.8302389386</v>
      </c>
    </row>
    <row r="1057" customFormat="false" ht="15" hidden="false" customHeight="false" outlineLevel="0" collapsed="false">
      <c r="A1057" s="3" t="n">
        <v>45817</v>
      </c>
      <c r="B1057" s="10" t="n">
        <v>0.02586025</v>
      </c>
      <c r="C1057" s="5" t="n">
        <f aca="false">C1056*(1+B1057)</f>
        <v>17700.8850323796</v>
      </c>
      <c r="D1057" s="10" t="n">
        <v>0.02583598</v>
      </c>
      <c r="E1057" s="5" t="n">
        <f aca="false">E1056*(1+D1057)</f>
        <v>31091.8285990331</v>
      </c>
      <c r="F1057" s="4" t="n">
        <f aca="false">D1057*Varsayımlar!$B$3</f>
        <v>0.032294975</v>
      </c>
      <c r="G1057" s="5" t="n">
        <f aca="false">G1056*(1+F1057)</f>
        <v>58454.5600108594</v>
      </c>
    </row>
    <row r="1058" customFormat="false" ht="15" hidden="false" customHeight="false" outlineLevel="0" collapsed="false">
      <c r="A1058" s="3" t="n">
        <v>45818</v>
      </c>
      <c r="B1058" s="10" t="n">
        <v>-0.0118849</v>
      </c>
      <c r="C1058" s="5" t="n">
        <f aca="false">C1057*(1+B1058)</f>
        <v>17490.5117838582</v>
      </c>
      <c r="D1058" s="10" t="n">
        <v>-0.02955271</v>
      </c>
      <c r="E1058" s="5" t="n">
        <f aca="false">E1057*(1+D1058)</f>
        <v>30172.9808050761</v>
      </c>
      <c r="F1058" s="4" t="n">
        <f aca="false">D1058*Varsayımlar!$B$3</f>
        <v>-0.0369408875</v>
      </c>
      <c r="G1058" s="5" t="n">
        <f aca="false">G1057*(1+F1058)</f>
        <v>56295.1966856362</v>
      </c>
    </row>
    <row r="1059" customFormat="false" ht="15" hidden="false" customHeight="false" outlineLevel="0" collapsed="false">
      <c r="A1059" s="3" t="n">
        <v>45819</v>
      </c>
      <c r="B1059" s="10" t="n">
        <v>0.00388413</v>
      </c>
      <c r="C1059" s="5" t="n">
        <f aca="false">C1058*(1+B1059)</f>
        <v>17558.4472053933</v>
      </c>
      <c r="D1059" s="10" t="n">
        <v>0.00398575</v>
      </c>
      <c r="E1059" s="5" t="n">
        <f aca="false">E1058*(1+D1059)</f>
        <v>30293.24276332</v>
      </c>
      <c r="F1059" s="4" t="n">
        <f aca="false">D1059*Varsayımlar!$B$3</f>
        <v>0.0049821875</v>
      </c>
      <c r="G1059" s="5" t="n">
        <f aca="false">G1058*(1+F1059)</f>
        <v>56575.6699108735</v>
      </c>
    </row>
    <row r="1060" customFormat="false" ht="15" hidden="false" customHeight="false" outlineLevel="0" collapsed="false">
      <c r="A1060" s="3" t="n">
        <v>45820</v>
      </c>
      <c r="B1060" s="10" t="n">
        <v>0.00891722</v>
      </c>
      <c r="C1060" s="5" t="n">
        <f aca="false">C1059*(1+B1060)</f>
        <v>17715.0197419822</v>
      </c>
      <c r="D1060" s="10" t="n">
        <v>0.00824171</v>
      </c>
      <c r="E1060" s="5" t="n">
        <f aca="false">E1059*(1+D1060)</f>
        <v>30542.9108851348</v>
      </c>
      <c r="F1060" s="4" t="n">
        <f aca="false">D1060*Varsayımlar!$B$3</f>
        <v>0.0103021375</v>
      </c>
      <c r="G1060" s="5" t="n">
        <f aca="false">G1059*(1+F1060)</f>
        <v>57158.5202414499</v>
      </c>
    </row>
    <row r="1061" customFormat="false" ht="15" hidden="false" customHeight="false" outlineLevel="0" collapsed="false">
      <c r="A1061" s="3" t="n">
        <v>45821</v>
      </c>
      <c r="B1061" s="10" t="n">
        <v>-0.00428623</v>
      </c>
      <c r="C1061" s="5" t="n">
        <f aca="false">C1060*(1+B1061)</f>
        <v>17639.0890929135</v>
      </c>
      <c r="D1061" s="10" t="n">
        <v>0.00273667</v>
      </c>
      <c r="E1061" s="5" t="n">
        <f aca="false">E1060*(1+D1061)</f>
        <v>30626.4967530669</v>
      </c>
      <c r="F1061" s="4" t="n">
        <f aca="false">D1061*Varsayımlar!$B$3</f>
        <v>0.0034208375</v>
      </c>
      <c r="G1061" s="5" t="n">
        <f aca="false">G1060*(1+F1061)</f>
        <v>57354.0502509364</v>
      </c>
    </row>
    <row r="1062" customFormat="false" ht="15" hidden="false" customHeight="false" outlineLevel="0" collapsed="false">
      <c r="A1062" s="3" t="n">
        <v>45822</v>
      </c>
      <c r="B1062" s="10" t="n">
        <v>-0.0117902</v>
      </c>
      <c r="C1062" s="5" t="n">
        <f aca="false">C1061*(1+B1062)</f>
        <v>17431.1207046902</v>
      </c>
      <c r="D1062" s="10" t="n">
        <v>-0.0125693</v>
      </c>
      <c r="E1062" s="5" t="n">
        <f aca="false">E1061*(1+D1062)</f>
        <v>30241.5431274285</v>
      </c>
      <c r="F1062" s="4" t="n">
        <f aca="false">D1062*Varsayımlar!$B$3</f>
        <v>-0.015711625</v>
      </c>
      <c r="G1062" s="5" t="n">
        <f aca="false">G1061*(1+F1062)</f>
        <v>56452.9249211625</v>
      </c>
    </row>
    <row r="1063" customFormat="false" ht="15" hidden="false" customHeight="false" outlineLevel="0" collapsed="false">
      <c r="A1063" s="3" t="n">
        <v>45823</v>
      </c>
      <c r="B1063" s="10" t="n">
        <v>0.00424043</v>
      </c>
      <c r="C1063" s="5" t="n">
        <f aca="false">C1062*(1+B1063)</f>
        <v>17505.03615186</v>
      </c>
      <c r="D1063" s="10" t="n">
        <v>0.00939554</v>
      </c>
      <c r="E1063" s="5" t="n">
        <f aca="false">E1062*(1+D1063)</f>
        <v>30525.678755544</v>
      </c>
      <c r="F1063" s="4" t="n">
        <f aca="false">D1063*Varsayımlar!$B$3</f>
        <v>0.011744425</v>
      </c>
      <c r="G1063" s="5" t="n">
        <f aca="false">G1062*(1+F1063)</f>
        <v>57115.9320639297</v>
      </c>
    </row>
    <row r="1064" customFormat="false" ht="15" hidden="false" customHeight="false" outlineLevel="0" collapsed="false">
      <c r="A1064" s="3" t="n">
        <v>45824</v>
      </c>
      <c r="B1064" s="10" t="n">
        <v>0.00142955</v>
      </c>
      <c r="C1064" s="5" t="n">
        <f aca="false">C1063*(1+B1064)</f>
        <v>17530.0604762909</v>
      </c>
      <c r="D1064" s="10" t="n">
        <v>0.00635857</v>
      </c>
      <c r="E1064" s="5" t="n">
        <f aca="false">E1063*(1+D1064)</f>
        <v>30719.7784207087</v>
      </c>
      <c r="F1064" s="4" t="n">
        <f aca="false">D1064*Varsayımlar!$B$3</f>
        <v>0.0079482125</v>
      </c>
      <c r="G1064" s="5" t="n">
        <f aca="false">G1063*(1+F1064)</f>
        <v>57569.9016291094</v>
      </c>
    </row>
    <row r="1065" customFormat="false" ht="15" hidden="false" customHeight="false" outlineLevel="0" collapsed="false">
      <c r="A1065" s="3" t="n">
        <v>45825</v>
      </c>
      <c r="B1065" s="10" t="n">
        <v>-0.00319434</v>
      </c>
      <c r="C1065" s="5" t="n">
        <f aca="false">C1064*(1+B1065)</f>
        <v>17474.0635029091</v>
      </c>
      <c r="D1065" s="10" t="n">
        <v>-0.00873379</v>
      </c>
      <c r="E1065" s="5" t="n">
        <f aca="false">E1064*(1+D1065)</f>
        <v>30451.4783271357</v>
      </c>
      <c r="F1065" s="4" t="n">
        <f aca="false">D1065*Varsayımlar!$B$3</f>
        <v>-0.0109172375</v>
      </c>
      <c r="G1065" s="5" t="n">
        <f aca="false">G1064*(1+F1065)</f>
        <v>56941.3973401728</v>
      </c>
    </row>
    <row r="1066" customFormat="false" ht="15" hidden="false" customHeight="false" outlineLevel="0" collapsed="false">
      <c r="A1066" s="3" t="n">
        <v>45826</v>
      </c>
      <c r="B1066" s="10" t="n">
        <v>0.00565257</v>
      </c>
      <c r="C1066" s="5" t="n">
        <f aca="false">C1065*(1+B1066)</f>
        <v>17572.8368700437</v>
      </c>
      <c r="D1066" s="10" t="n">
        <v>0.02024603</v>
      </c>
      <c r="E1066" s="5" t="n">
        <f aca="false">E1065*(1+D1066)</f>
        <v>31067.9998708912</v>
      </c>
      <c r="F1066" s="4" t="n">
        <f aca="false">D1066*Varsayımlar!$B$3</f>
        <v>0.0253075375</v>
      </c>
      <c r="G1066" s="5" t="n">
        <f aca="false">G1065*(1+F1066)</f>
        <v>58382.4438886616</v>
      </c>
    </row>
    <row r="1067" customFormat="false" ht="15" hidden="false" customHeight="false" outlineLevel="0" collapsed="false">
      <c r="A1067" s="3" t="n">
        <v>45827</v>
      </c>
      <c r="B1067" s="10" t="n">
        <v>-0.00606044</v>
      </c>
      <c r="C1067" s="5" t="n">
        <f aca="false">C1066*(1+B1067)</f>
        <v>17466.337746563</v>
      </c>
      <c r="D1067" s="10" t="n">
        <v>0.01827403</v>
      </c>
      <c r="E1067" s="5" t="n">
        <f aca="false">E1066*(1+D1067)</f>
        <v>31635.7374325719</v>
      </c>
      <c r="F1067" s="4" t="n">
        <f aca="false">D1067*Varsayımlar!$B$3</f>
        <v>0.0228425375</v>
      </c>
      <c r="G1067" s="5" t="n">
        <f aca="false">G1066*(1+F1067)</f>
        <v>59716.04705253</v>
      </c>
    </row>
    <row r="1068" customFormat="false" ht="15" hidden="false" customHeight="false" outlineLevel="0" collapsed="false">
      <c r="A1068" s="3" t="n">
        <v>45828</v>
      </c>
      <c r="B1068" s="10" t="n">
        <v>0.0047636</v>
      </c>
      <c r="C1068" s="5" t="n">
        <f aca="false">C1067*(1+B1068)</f>
        <v>17549.5403930525</v>
      </c>
      <c r="D1068" s="10" t="n">
        <v>0.01536872</v>
      </c>
      <c r="E1068" s="5" t="n">
        <f aca="false">E1067*(1+D1068)</f>
        <v>32121.9382231666</v>
      </c>
      <c r="F1068" s="4" t="n">
        <f aca="false">D1068*Varsayımlar!$B$3</f>
        <v>0.0192109</v>
      </c>
      <c r="G1068" s="5" t="n">
        <f aca="false">G1067*(1+F1068)</f>
        <v>60863.2460608515</v>
      </c>
    </row>
    <row r="1069" customFormat="false" ht="15" hidden="false" customHeight="false" outlineLevel="0" collapsed="false">
      <c r="A1069" s="3" t="n">
        <v>45829</v>
      </c>
      <c r="B1069" s="10" t="n">
        <v>0.00271079</v>
      </c>
      <c r="C1069" s="5" t="n">
        <f aca="false">C1068*(1+B1069)</f>
        <v>17597.1135116546</v>
      </c>
      <c r="D1069" s="10" t="n">
        <v>0.02831627</v>
      </c>
      <c r="E1069" s="5" t="n">
        <f aca="false">E1068*(1+D1069)</f>
        <v>33031.5116988171</v>
      </c>
      <c r="F1069" s="4" t="n">
        <f aca="false">D1069*Varsayımlar!$B$3</f>
        <v>0.0353953375</v>
      </c>
      <c r="G1069" s="5" t="n">
        <f aca="false">G1068*(1+F1069)</f>
        <v>63017.5211965209</v>
      </c>
    </row>
    <row r="1070" customFormat="false" ht="15" hidden="false" customHeight="false" outlineLevel="0" collapsed="false">
      <c r="A1070" s="3" t="n">
        <v>45830</v>
      </c>
      <c r="B1070" s="10" t="n">
        <v>0.01740024</v>
      </c>
      <c r="C1070" s="5" t="n">
        <f aca="false">C1069*(1+B1070)</f>
        <v>17903.3075100647</v>
      </c>
      <c r="D1070" s="10" t="n">
        <v>0.03513647</v>
      </c>
      <c r="E1070" s="5" t="n">
        <f aca="false">E1069*(1+D1070)</f>
        <v>34192.1224186772</v>
      </c>
      <c r="F1070" s="4" t="n">
        <f aca="false">D1070*Varsayımlar!$B$3</f>
        <v>0.0439205875</v>
      </c>
      <c r="G1070" s="5" t="n">
        <f aca="false">G1069*(1+F1070)</f>
        <v>65785.2877502658</v>
      </c>
    </row>
    <row r="1071" customFormat="false" ht="15" hidden="false" customHeight="false" outlineLevel="0" collapsed="false">
      <c r="A1071" s="3" t="n">
        <v>45831</v>
      </c>
      <c r="B1071" s="10" t="n">
        <v>0.04051784</v>
      </c>
      <c r="C1071" s="5" t="n">
        <f aca="false">C1070*(1+B1071)</f>
        <v>18628.7108592283</v>
      </c>
      <c r="D1071" s="10" t="n">
        <v>0.04132977</v>
      </c>
      <c r="E1071" s="5" t="n">
        <f aca="false">E1070*(1+D1071)</f>
        <v>35605.274974053</v>
      </c>
      <c r="F1071" s="4" t="n">
        <f aca="false">D1071*Varsayımlar!$B$3</f>
        <v>0.0516622125</v>
      </c>
      <c r="G1071" s="5" t="n">
        <f aca="false">G1070*(1+F1071)</f>
        <v>69183.9012653936</v>
      </c>
    </row>
    <row r="1072" customFormat="false" ht="15" hidden="false" customHeight="false" outlineLevel="0" collapsed="false">
      <c r="A1072" s="3" t="n">
        <v>45832</v>
      </c>
      <c r="B1072" s="10" t="n">
        <v>-0.01341485</v>
      </c>
      <c r="C1072" s="5" t="n">
        <f aca="false">C1071*(1+B1072)</f>
        <v>18378.8094973583</v>
      </c>
      <c r="D1072" s="10" t="n">
        <v>-0.03253493</v>
      </c>
      <c r="E1072" s="5" t="n">
        <f aca="false">E1071*(1+D1072)</f>
        <v>34446.8598451414</v>
      </c>
      <c r="F1072" s="4" t="n">
        <f aca="false">D1072*Varsayımlar!$B$3</f>
        <v>-0.0406686625</v>
      </c>
      <c r="G1072" s="5" t="n">
        <f aca="false">G1071*(1+F1072)</f>
        <v>66370.284534398</v>
      </c>
    </row>
    <row r="1073" customFormat="false" ht="15" hidden="false" customHeight="false" outlineLevel="0" collapsed="false">
      <c r="A1073" s="3" t="n">
        <v>45833</v>
      </c>
      <c r="B1073" s="10" t="n">
        <v>0.00046576</v>
      </c>
      <c r="C1073" s="5" t="n">
        <f aca="false">C1072*(1+B1073)</f>
        <v>18387.3696116698</v>
      </c>
      <c r="D1073" s="10" t="n">
        <v>-0.00137072</v>
      </c>
      <c r="E1073" s="5" t="n">
        <f aca="false">E1072*(1+D1073)</f>
        <v>34399.6428454145</v>
      </c>
      <c r="F1073" s="4" t="n">
        <f aca="false">D1073*Varsayımlar!$B$3</f>
        <v>-0.0017134</v>
      </c>
      <c r="G1073" s="5" t="n">
        <f aca="false">G1072*(1+F1073)</f>
        <v>66256.5656888768</v>
      </c>
    </row>
    <row r="1074" customFormat="false" ht="15" hidden="false" customHeight="false" outlineLevel="0" collapsed="false">
      <c r="A1074" s="3" t="n">
        <v>45834</v>
      </c>
      <c r="B1074" s="10" t="n">
        <v>-0.00087075</v>
      </c>
      <c r="C1074" s="5" t="n">
        <f aca="false">C1073*(1+B1074)</f>
        <v>18371.3588095805</v>
      </c>
      <c r="D1074" s="10" t="n">
        <v>0.01628515</v>
      </c>
      <c r="E1074" s="5" t="n">
        <f aca="false">E1073*(1+D1074)</f>
        <v>34959.8461890985</v>
      </c>
      <c r="F1074" s="4" t="n">
        <f aca="false">D1074*Varsayımlar!$B$3</f>
        <v>0.0203564375</v>
      </c>
      <c r="G1074" s="5" t="n">
        <f aca="false">G1073*(1+F1074)</f>
        <v>67605.313327287</v>
      </c>
    </row>
    <row r="1075" customFormat="false" ht="15" hidden="false" customHeight="false" outlineLevel="0" collapsed="false">
      <c r="A1075" s="3" t="n">
        <v>45835</v>
      </c>
      <c r="B1075" s="10" t="n">
        <v>0.00096349</v>
      </c>
      <c r="C1075" s="5" t="n">
        <f aca="false">C1074*(1+B1075)</f>
        <v>18389.0594300799</v>
      </c>
      <c r="D1075" s="10" t="n">
        <v>-0.00291798</v>
      </c>
      <c r="E1075" s="5" t="n">
        <f aca="false">E1074*(1+D1075)</f>
        <v>34857.8340571156</v>
      </c>
      <c r="F1075" s="4" t="n">
        <f aca="false">D1075*Varsayımlar!$B$3</f>
        <v>-0.003647475</v>
      </c>
      <c r="G1075" s="5" t="n">
        <f aca="false">G1074*(1+F1075)</f>
        <v>67358.7246370586</v>
      </c>
    </row>
    <row r="1076" customFormat="false" ht="15" hidden="false" customHeight="false" outlineLevel="0" collapsed="false">
      <c r="A1076" s="3" t="n">
        <v>45836</v>
      </c>
      <c r="B1076" s="10" t="n">
        <v>0.00958978</v>
      </c>
      <c r="C1076" s="5" t="n">
        <f aca="false">C1075*(1+B1076)</f>
        <v>18565.4064644213</v>
      </c>
      <c r="D1076" s="10" t="n">
        <v>0.00735808</v>
      </c>
      <c r="E1076" s="5" t="n">
        <f aca="false">E1075*(1+D1076)</f>
        <v>35114.3207887346</v>
      </c>
      <c r="F1076" s="4" t="n">
        <f aca="false">D1076*Varsayımlar!$B$3</f>
        <v>0.0091976</v>
      </c>
      <c r="G1076" s="5" t="n">
        <f aca="false">G1075*(1+F1076)</f>
        <v>67978.2632427804</v>
      </c>
    </row>
    <row r="1077" customFormat="false" ht="15" hidden="false" customHeight="false" outlineLevel="0" collapsed="false">
      <c r="A1077" s="3" t="n">
        <v>45837</v>
      </c>
      <c r="B1077" s="10" t="n">
        <v>0.00366592</v>
      </c>
      <c r="C1077" s="5" t="n">
        <f aca="false">C1076*(1+B1077)</f>
        <v>18633.4657592874</v>
      </c>
      <c r="D1077" s="10" t="n">
        <v>0.00161903</v>
      </c>
      <c r="E1077" s="5" t="n">
        <f aca="false">E1076*(1+D1077)</f>
        <v>35171.1719275212</v>
      </c>
      <c r="F1077" s="4" t="n">
        <f aca="false">D1077*Varsayımlar!$B$3</f>
        <v>0.0020237875</v>
      </c>
      <c r="G1077" s="5" t="n">
        <f aca="false">G1076*(1+F1077)</f>
        <v>68115.8368022029</v>
      </c>
    </row>
    <row r="1078" customFormat="false" ht="15" hidden="false" customHeight="false" outlineLevel="0" collapsed="false">
      <c r="A1078" s="3" t="n">
        <v>45838</v>
      </c>
      <c r="B1078" s="10" t="n">
        <v>-0.00121844</v>
      </c>
      <c r="C1078" s="5" t="n">
        <f aca="false">C1077*(1+B1078)</f>
        <v>18610.7619992676</v>
      </c>
      <c r="D1078" s="10" t="n">
        <v>0.00100295</v>
      </c>
      <c r="E1078" s="5" t="n">
        <f aca="false">E1077*(1+D1078)</f>
        <v>35206.4468544059</v>
      </c>
      <c r="F1078" s="4" t="n">
        <f aca="false">D1078*Varsayımlar!$B$3</f>
        <v>0.0012536875</v>
      </c>
      <c r="G1078" s="5" t="n">
        <f aca="false">G1077*(1+F1078)</f>
        <v>68201.2327753538</v>
      </c>
    </row>
    <row r="1079" customFormat="false" ht="15" hidden="false" customHeight="false" outlineLevel="0" collapsed="false">
      <c r="A1079" s="3" t="n">
        <v>45839</v>
      </c>
      <c r="B1079" s="10" t="n">
        <v>0.00238203</v>
      </c>
      <c r="C1079" s="5" t="n">
        <f aca="false">C1078*(1+B1079)</f>
        <v>18655.0933926727</v>
      </c>
      <c r="D1079" s="10" t="n">
        <v>0.00593786</v>
      </c>
      <c r="E1079" s="5" t="n">
        <f aca="false">E1078*(1+D1079)</f>
        <v>35415.4978069248</v>
      </c>
      <c r="F1079" s="4" t="n">
        <f aca="false">D1079*Varsayımlar!$B$3</f>
        <v>0.007422325</v>
      </c>
      <c r="G1079" s="5" t="n">
        <f aca="false">G1078*(1+F1079)</f>
        <v>68707.4444904132</v>
      </c>
    </row>
    <row r="1080" customFormat="false" ht="15" hidden="false" customHeight="false" outlineLevel="0" collapsed="false">
      <c r="A1080" s="3" t="n">
        <v>45840</v>
      </c>
      <c r="B1080" s="10" t="n">
        <v>-0.0041094</v>
      </c>
      <c r="C1080" s="5" t="n">
        <f aca="false">C1079*(1+B1080)</f>
        <v>18578.4321518849</v>
      </c>
      <c r="D1080" s="10" t="n">
        <v>-0.00548255</v>
      </c>
      <c r="E1080" s="5" t="n">
        <f aca="false">E1079*(1+D1080)</f>
        <v>35221.3305694234</v>
      </c>
      <c r="F1080" s="4" t="n">
        <f aca="false">D1080*Varsayımlar!$B$3</f>
        <v>-0.0068531875</v>
      </c>
      <c r="G1080" s="5" t="n">
        <f aca="false">G1079*(1+F1080)</f>
        <v>68236.5794906745</v>
      </c>
    </row>
    <row r="1081" customFormat="false" ht="15" hidden="false" customHeight="false" outlineLevel="0" collapsed="false">
      <c r="A1081" s="3" t="n">
        <v>45841</v>
      </c>
      <c r="B1081" s="10" t="n">
        <v>0.00438434</v>
      </c>
      <c r="C1081" s="5" t="n">
        <f aca="false">C1080*(1+B1081)</f>
        <v>18659.8863151057</v>
      </c>
      <c r="D1081" s="10" t="n">
        <v>0.01408699</v>
      </c>
      <c r="E1081" s="5" t="n">
        <f aca="false">E1080*(1+D1081)</f>
        <v>35717.4931009416</v>
      </c>
      <c r="F1081" s="4" t="n">
        <f aca="false">D1081*Varsayımlar!$B$3</f>
        <v>0.0176087375</v>
      </c>
      <c r="G1081" s="5" t="n">
        <f aca="false">G1080*(1+F1081)</f>
        <v>69438.1395068237</v>
      </c>
    </row>
    <row r="1082" customFormat="false" ht="15" hidden="false" customHeight="false" outlineLevel="0" collapsed="false">
      <c r="A1082" s="3" t="n">
        <v>45842</v>
      </c>
      <c r="B1082" s="10" t="n">
        <v>0.01370898</v>
      </c>
      <c r="C1082" s="5" t="n">
        <f aca="false">C1081*(1+B1082)</f>
        <v>18915.6943234017</v>
      </c>
      <c r="D1082" s="10" t="n">
        <v>0.02159993</v>
      </c>
      <c r="E1082" s="5" t="n">
        <f aca="false">E1081*(1+D1082)</f>
        <v>36488.9884516974</v>
      </c>
      <c r="F1082" s="4" t="n">
        <f aca="false">D1082*Varsayımlar!$B$3</f>
        <v>0.0269999125</v>
      </c>
      <c r="G1082" s="5" t="n">
        <f aca="false">G1081*(1+F1082)</f>
        <v>71312.9631976707</v>
      </c>
    </row>
    <row r="1083" customFormat="false" ht="15" hidden="false" customHeight="false" outlineLevel="0" collapsed="false">
      <c r="A1083" s="3" t="n">
        <v>45843</v>
      </c>
      <c r="B1083" s="10" t="n">
        <v>5.3E-007</v>
      </c>
      <c r="C1083" s="5" t="n">
        <f aca="false">C1082*(1+B1083)</f>
        <v>18915.7043487197</v>
      </c>
      <c r="D1083" s="10" t="n">
        <v>0.00725463</v>
      </c>
      <c r="E1083" s="5" t="n">
        <f aca="false">E1082*(1+D1083)</f>
        <v>36753.7025619888</v>
      </c>
      <c r="F1083" s="4" t="n">
        <f aca="false">D1083*Varsayımlar!$B$3</f>
        <v>0.0090682875</v>
      </c>
      <c r="G1083" s="5" t="n">
        <f aca="false">G1082*(1+F1083)</f>
        <v>71959.6496504241</v>
      </c>
    </row>
    <row r="1084" customFormat="false" ht="15" hidden="false" customHeight="false" outlineLevel="0" collapsed="false">
      <c r="A1084" s="3" t="n">
        <v>45844</v>
      </c>
      <c r="B1084" s="10" t="n">
        <v>-0.01548431</v>
      </c>
      <c r="C1084" s="5" t="n">
        <f aca="false">C1083*(1+B1084)</f>
        <v>18622.8077187158</v>
      </c>
      <c r="D1084" s="10" t="n">
        <v>-0.02038657</v>
      </c>
      <c r="E1084" s="5" t="n">
        <f aca="false">E1083*(1+D1084)</f>
        <v>36004.4206319496</v>
      </c>
      <c r="F1084" s="4" t="n">
        <f aca="false">D1084*Varsayımlar!$B$3</f>
        <v>-0.0254832125</v>
      </c>
      <c r="G1084" s="5" t="n">
        <f aca="false">G1083*(1+F1084)</f>
        <v>70125.8866069568</v>
      </c>
    </row>
    <row r="1085" customFormat="false" ht="15" hidden="false" customHeight="false" outlineLevel="0" collapsed="false">
      <c r="A1085" s="3" t="n">
        <v>45845</v>
      </c>
      <c r="B1085" s="10" t="n">
        <v>-0.01129341</v>
      </c>
      <c r="C1085" s="5" t="n">
        <f aca="false">C1084*(1+B1085)</f>
        <v>18412.4927157972</v>
      </c>
      <c r="D1085" s="10" t="n">
        <v>-0.00782206</v>
      </c>
      <c r="E1085" s="5" t="n">
        <f aca="false">E1084*(1+D1085)</f>
        <v>35722.7918935013</v>
      </c>
      <c r="F1085" s="4" t="n">
        <f aca="false">D1085*Varsayımlar!$B$3</f>
        <v>-0.009777575</v>
      </c>
      <c r="G1085" s="5" t="n">
        <f aca="false">G1084*(1+F1085)</f>
        <v>69440.2254912158</v>
      </c>
    </row>
    <row r="1086" customFormat="false" ht="15" hidden="false" customHeight="false" outlineLevel="0" collapsed="false">
      <c r="A1086" s="3" t="n">
        <v>45846</v>
      </c>
      <c r="B1086" s="10" t="n">
        <v>-0.00459564</v>
      </c>
      <c r="C1086" s="5" t="n">
        <f aca="false">C1085*(1+B1086)</f>
        <v>18327.8755277727</v>
      </c>
      <c r="D1086" s="10" t="n">
        <v>-0.00171516</v>
      </c>
      <c r="E1086" s="5" t="n">
        <f aca="false">E1085*(1+D1086)</f>
        <v>35661.5215897572</v>
      </c>
      <c r="F1086" s="4" t="n">
        <f aca="false">D1086*Varsayımlar!$B$3</f>
        <v>-0.00214395</v>
      </c>
      <c r="G1086" s="5" t="n">
        <f aca="false">G1085*(1+F1086)</f>
        <v>69291.3491197739</v>
      </c>
    </row>
    <row r="1087" customFormat="false" ht="15" hidden="false" customHeight="false" outlineLevel="0" collapsed="false">
      <c r="A1087" s="3" t="n">
        <v>45847</v>
      </c>
      <c r="B1087" s="10" t="n">
        <v>-0.01880582</v>
      </c>
      <c r="C1087" s="5" t="n">
        <f aca="false">C1086*(1+B1087)</f>
        <v>17983.204799615</v>
      </c>
      <c r="D1087" s="10" t="n">
        <v>-0.03064381</v>
      </c>
      <c r="E1087" s="5" t="n">
        <f aca="false">E1086*(1+D1087)</f>
        <v>34568.7166978498</v>
      </c>
      <c r="F1087" s="4" t="n">
        <f aca="false">D1087*Varsayımlar!$B$3</f>
        <v>-0.0383047625</v>
      </c>
      <c r="G1087" s="5" t="n">
        <f aca="false">G1086*(1+F1087)</f>
        <v>66637.1604484364</v>
      </c>
    </row>
    <row r="1088" customFormat="false" ht="15" hidden="false" customHeight="false" outlineLevel="0" collapsed="false">
      <c r="A1088" s="3" t="n">
        <v>45848</v>
      </c>
      <c r="B1088" s="10" t="n">
        <v>0.02423676</v>
      </c>
      <c r="C1088" s="5" t="n">
        <f aca="false">C1087*(1+B1088)</f>
        <v>18419.0594183742</v>
      </c>
      <c r="D1088" s="10" t="n">
        <v>0.02814728</v>
      </c>
      <c r="E1088" s="5" t="n">
        <f aca="false">E1087*(1+D1088)</f>
        <v>35541.7320459848</v>
      </c>
      <c r="F1088" s="4" t="n">
        <f aca="false">D1088*Varsayımlar!$B$3</f>
        <v>0.0351841</v>
      </c>
      <c r="G1088" s="5" t="n">
        <f aca="false">G1087*(1+F1088)</f>
        <v>68981.7289653702</v>
      </c>
    </row>
    <row r="1089" customFormat="false" ht="15" hidden="false" customHeight="false" outlineLevel="0" collapsed="false">
      <c r="A1089" s="3" t="n">
        <v>45849</v>
      </c>
      <c r="B1089" s="10" t="n">
        <v>0.01457353</v>
      </c>
      <c r="C1089" s="5" t="n">
        <f aca="false">C1088*(1+B1089)</f>
        <v>18687.4901333796</v>
      </c>
      <c r="D1089" s="10" t="n">
        <v>0.03740881</v>
      </c>
      <c r="E1089" s="5" t="n">
        <f aca="false">E1088*(1+D1089)</f>
        <v>36871.305947164</v>
      </c>
      <c r="F1089" s="4" t="n">
        <f aca="false">D1089*Varsayımlar!$B$3</f>
        <v>0.0467610125</v>
      </c>
      <c r="G1089" s="5" t="n">
        <f aca="false">G1088*(1+F1089)</f>
        <v>72207.3844557915</v>
      </c>
    </row>
    <row r="1090" customFormat="false" ht="15" hidden="false" customHeight="false" outlineLevel="0" collapsed="false">
      <c r="A1090" s="3" t="n">
        <v>45850</v>
      </c>
      <c r="B1090" s="10" t="n">
        <v>0.00310673</v>
      </c>
      <c r="C1090" s="5" t="n">
        <f aca="false">C1089*(1+B1090)</f>
        <v>18745.5471196017</v>
      </c>
      <c r="D1090" s="10" t="n">
        <v>-0.00111966</v>
      </c>
      <c r="E1090" s="5" t="n">
        <f aca="false">E1089*(1+D1090)</f>
        <v>36830.0226207472</v>
      </c>
      <c r="F1090" s="4" t="n">
        <f aca="false">D1090*Varsayımlar!$B$3</f>
        <v>-0.001399575</v>
      </c>
      <c r="G1090" s="5" t="n">
        <f aca="false">G1089*(1+F1090)</f>
        <v>72106.3248056918</v>
      </c>
    </row>
    <row r="1091" customFormat="false" ht="15" hidden="false" customHeight="false" outlineLevel="0" collapsed="false">
      <c r="A1091" s="3" t="n">
        <v>45851</v>
      </c>
      <c r="B1091" s="10" t="n">
        <v>0.00223236</v>
      </c>
      <c r="C1091" s="5" t="n">
        <f aca="false">C1090*(1+B1091)</f>
        <v>18787.3939291696</v>
      </c>
      <c r="D1091" s="10" t="n">
        <v>0.00314043</v>
      </c>
      <c r="E1091" s="5" t="n">
        <f aca="false">E1090*(1+D1091)</f>
        <v>36945.6847286861</v>
      </c>
      <c r="F1091" s="4" t="n">
        <f aca="false">D1091*Varsayımlar!$B$3</f>
        <v>0.0039255375</v>
      </c>
      <c r="G1091" s="5" t="n">
        <f aca="false">G1090*(1+F1091)</f>
        <v>72389.3808877037</v>
      </c>
    </row>
    <row r="1092" customFormat="false" ht="15" hidden="false" customHeight="false" outlineLevel="0" collapsed="false">
      <c r="A1092" s="3" t="n">
        <v>45852</v>
      </c>
      <c r="B1092" s="10" t="n">
        <v>0.0161387</v>
      </c>
      <c r="C1092" s="5" t="n">
        <f aca="false">C1091*(1+B1092)</f>
        <v>19090.5980435743</v>
      </c>
      <c r="D1092" s="10" t="n">
        <v>0.02515171</v>
      </c>
      <c r="E1092" s="5" t="n">
        <f aca="false">E1091*(1+D1092)</f>
        <v>37874.9318767334</v>
      </c>
      <c r="F1092" s="4" t="n">
        <f aca="false">D1092*Varsayımlar!$B$3</f>
        <v>0.0314396375</v>
      </c>
      <c r="G1092" s="5" t="n">
        <f aca="false">G1091*(1+F1092)</f>
        <v>74665.2767816625</v>
      </c>
    </row>
    <row r="1093" customFormat="false" ht="15" hidden="false" customHeight="false" outlineLevel="0" collapsed="false">
      <c r="A1093" s="3" t="n">
        <v>45853</v>
      </c>
      <c r="B1093" s="10" t="n">
        <v>-0.01378906</v>
      </c>
      <c r="C1093" s="5" t="n">
        <f aca="false">C1092*(1+B1093)</f>
        <v>18827.3566417156</v>
      </c>
      <c r="D1093" s="10" t="n">
        <v>-0.01920433</v>
      </c>
      <c r="E1093" s="5" t="n">
        <f aca="false">E1092*(1+D1093)</f>
        <v>37147.5691862451</v>
      </c>
      <c r="F1093" s="4" t="n">
        <f aca="false">D1093*Varsayımlar!$B$3</f>
        <v>-0.0240054125</v>
      </c>
      <c r="G1093" s="5" t="n">
        <f aca="false">G1092*(1+F1093)</f>
        <v>72872.906013092</v>
      </c>
    </row>
    <row r="1094" customFormat="false" ht="15" hidden="false" customHeight="false" outlineLevel="0" collapsed="false">
      <c r="A1094" s="3" t="n">
        <v>45854</v>
      </c>
      <c r="B1094" s="10" t="n">
        <v>-0.0121333</v>
      </c>
      <c r="C1094" s="5" t="n">
        <f aca="false">C1093*(1+B1094)</f>
        <v>18598.9186753746</v>
      </c>
      <c r="D1094" s="10" t="n">
        <v>-0.024932</v>
      </c>
      <c r="E1094" s="5" t="n">
        <f aca="false">E1093*(1+D1094)</f>
        <v>36221.4059912936</v>
      </c>
      <c r="F1094" s="4" t="n">
        <f aca="false">D1094*Varsayımlar!$B$3</f>
        <v>-0.031165</v>
      </c>
      <c r="G1094" s="5" t="n">
        <f aca="false">G1093*(1+F1094)</f>
        <v>70601.821897194</v>
      </c>
    </row>
    <row r="1095" customFormat="false" ht="15" hidden="false" customHeight="false" outlineLevel="0" collapsed="false">
      <c r="A1095" s="3" t="n">
        <v>45855</v>
      </c>
      <c r="B1095" s="10" t="n">
        <v>-0.01441347</v>
      </c>
      <c r="C1095" s="5" t="n">
        <f aca="false">C1094*(1+B1095)</f>
        <v>18330.8437190147</v>
      </c>
      <c r="D1095" s="10" t="n">
        <v>-0.02339544</v>
      </c>
      <c r="E1095" s="5" t="n">
        <f aca="false">E1094*(1+D1095)</f>
        <v>35373.9902607087</v>
      </c>
      <c r="F1095" s="4" t="n">
        <f aca="false">D1095*Varsayımlar!$B$3</f>
        <v>-0.0292443</v>
      </c>
      <c r="G1095" s="5" t="n">
        <f aca="false">G1094*(1+F1095)</f>
        <v>68537.1210370859</v>
      </c>
    </row>
    <row r="1096" customFormat="false" ht="15" hidden="false" customHeight="false" outlineLevel="0" collapsed="false">
      <c r="A1096" s="3" t="n">
        <v>45856</v>
      </c>
      <c r="B1096" s="10" t="n">
        <v>-0.00388221</v>
      </c>
      <c r="C1096" s="5" t="n">
        <f aca="false">C1095*(1+B1096)</f>
        <v>18259.6795342203</v>
      </c>
      <c r="D1096" s="10" t="n">
        <v>0.0002682</v>
      </c>
      <c r="E1096" s="5" t="n">
        <f aca="false">E1095*(1+D1096)</f>
        <v>35383.4775648966</v>
      </c>
      <c r="F1096" s="4" t="n">
        <f aca="false">D1096*Varsayımlar!$B$3</f>
        <v>0.00033525</v>
      </c>
      <c r="G1096" s="5" t="n">
        <f aca="false">G1095*(1+F1096)</f>
        <v>68560.0981069136</v>
      </c>
    </row>
    <row r="1097" customFormat="false" ht="15" hidden="false" customHeight="false" outlineLevel="0" collapsed="false">
      <c r="A1097" s="3" t="n">
        <v>45857</v>
      </c>
      <c r="B1097" s="10" t="n">
        <v>-0.00932225</v>
      </c>
      <c r="C1097" s="5" t="n">
        <f aca="false">C1096*(1+B1097)</f>
        <v>18089.4582366824</v>
      </c>
      <c r="D1097" s="10" t="n">
        <v>-0.01328206</v>
      </c>
      <c r="E1097" s="5" t="n">
        <f aca="false">E1096*(1+D1097)</f>
        <v>34913.512092871</v>
      </c>
      <c r="F1097" s="4" t="n">
        <f aca="false">D1097*Varsayımlar!$B$3</f>
        <v>-0.016602575</v>
      </c>
      <c r="G1097" s="5" t="n">
        <f aca="false">G1096*(1+F1097)</f>
        <v>67421.8239360862</v>
      </c>
    </row>
    <row r="1098" customFormat="false" ht="15" hidden="false" customHeight="false" outlineLevel="0" collapsed="false">
      <c r="A1098" s="3" t="n">
        <v>45858</v>
      </c>
      <c r="B1098" s="10" t="n">
        <v>-0.01200443</v>
      </c>
      <c r="C1098" s="5" t="n">
        <f aca="false">C1097*(1+B1098)</f>
        <v>17872.3046015422</v>
      </c>
      <c r="D1098" s="10" t="n">
        <v>-0.00714293</v>
      </c>
      <c r="E1098" s="5" t="n">
        <f aca="false">E1097*(1+D1098)</f>
        <v>34664.1273199375</v>
      </c>
      <c r="F1098" s="4" t="n">
        <f aca="false">D1098*Varsayımlar!$B$3</f>
        <v>-0.0089286625</v>
      </c>
      <c r="G1098" s="5" t="n">
        <f aca="false">G1097*(1+F1098)</f>
        <v>66819.8372250265</v>
      </c>
    </row>
    <row r="1099" customFormat="false" ht="15" hidden="false" customHeight="false" outlineLevel="0" collapsed="false">
      <c r="A1099" s="3" t="n">
        <v>45859</v>
      </c>
      <c r="B1099" s="10" t="n">
        <v>0.00421859</v>
      </c>
      <c r="C1099" s="5" t="n">
        <f aca="false">C1098*(1+B1099)</f>
        <v>17947.7005270113</v>
      </c>
      <c r="D1099" s="10" t="n">
        <v>-0.00072339</v>
      </c>
      <c r="E1099" s="5" t="n">
        <f aca="false">E1098*(1+D1099)</f>
        <v>34639.0516368755</v>
      </c>
      <c r="F1099" s="4" t="n">
        <f aca="false">D1099*Varsayımlar!$B$3</f>
        <v>-0.0009042375</v>
      </c>
      <c r="G1099" s="5" t="n">
        <f aca="false">G1098*(1+F1099)</f>
        <v>66759.4162224637</v>
      </c>
    </row>
    <row r="1100" customFormat="false" ht="15" hidden="false" customHeight="false" outlineLevel="0" collapsed="false">
      <c r="A1100" s="3" t="n">
        <v>45860</v>
      </c>
      <c r="B1100" s="10" t="n">
        <v>0.00029713</v>
      </c>
      <c r="C1100" s="5" t="n">
        <f aca="false">C1099*(1+B1100)</f>
        <v>17953.0333272688</v>
      </c>
      <c r="D1100" s="10" t="n">
        <v>-0.00449572</v>
      </c>
      <c r="E1100" s="5" t="n">
        <f aca="false">E1099*(1+D1100)</f>
        <v>34483.3241596506</v>
      </c>
      <c r="F1100" s="4" t="n">
        <f aca="false">D1100*Varsayımlar!$B$3</f>
        <v>-0.00561965</v>
      </c>
      <c r="G1100" s="5" t="n">
        <f aca="false">G1099*(1+F1100)</f>
        <v>66384.2516690891</v>
      </c>
    </row>
    <row r="1101" customFormat="false" ht="15" hidden="false" customHeight="false" outlineLevel="0" collapsed="false">
      <c r="A1101" s="3" t="n">
        <v>45861</v>
      </c>
      <c r="B1101" s="10" t="n">
        <v>0.02204693</v>
      </c>
      <c r="C1101" s="5" t="n">
        <f aca="false">C1100*(1+B1101)</f>
        <v>18348.8425963228</v>
      </c>
      <c r="D1101" s="10" t="n">
        <v>0.03070194</v>
      </c>
      <c r="E1101" s="5" t="n">
        <f aca="false">E1100*(1+D1101)</f>
        <v>35542.0291090007</v>
      </c>
      <c r="F1101" s="4" t="n">
        <f aca="false">D1101*Varsayımlar!$B$3</f>
        <v>0.038377425</v>
      </c>
      <c r="G1101" s="5" t="n">
        <f aca="false">G1100*(1+F1101)</f>
        <v>68931.9083087007</v>
      </c>
    </row>
    <row r="1102" customFormat="false" ht="15" hidden="false" customHeight="false" outlineLevel="0" collapsed="false">
      <c r="A1102" s="3" t="n">
        <v>45862</v>
      </c>
      <c r="B1102" s="10" t="n">
        <v>0.01335566</v>
      </c>
      <c r="C1102" s="5" t="n">
        <f aca="false">C1101*(1+B1102)</f>
        <v>18593.9034994328</v>
      </c>
      <c r="D1102" s="10" t="n">
        <v>0.00905523</v>
      </c>
      <c r="E1102" s="5" t="n">
        <f aca="false">E1101*(1+D1102)</f>
        <v>35863.8703572494</v>
      </c>
      <c r="F1102" s="4" t="n">
        <f aca="false">D1102*Varsayımlar!$B$3</f>
        <v>0.0113190375</v>
      </c>
      <c r="G1102" s="5" t="n">
        <f aca="false">G1101*(1+F1102)</f>
        <v>69712.1511637935</v>
      </c>
    </row>
    <row r="1103" customFormat="false" ht="15" hidden="false" customHeight="false" outlineLevel="0" collapsed="false">
      <c r="A1103" s="3" t="n">
        <v>45863</v>
      </c>
      <c r="B1103" s="10" t="n">
        <v>0.01070649</v>
      </c>
      <c r="C1103" s="5" t="n">
        <f aca="false">C1102*(1+B1103)</f>
        <v>18792.9789413105</v>
      </c>
      <c r="D1103" s="10" t="n">
        <v>0.01448242</v>
      </c>
      <c r="E1103" s="5" t="n">
        <f aca="false">E1102*(1+D1103)</f>
        <v>36383.2659905886</v>
      </c>
      <c r="F1103" s="4" t="n">
        <f aca="false">D1103*Varsayımlar!$B$3</f>
        <v>0.018103025</v>
      </c>
      <c r="G1103" s="5" t="n">
        <f aca="false">G1102*(1+F1103)</f>
        <v>70974.1519791154</v>
      </c>
    </row>
    <row r="1104" customFormat="false" ht="15" hidden="false" customHeight="false" outlineLevel="0" collapsed="false">
      <c r="A1104" s="3" t="n">
        <v>45864</v>
      </c>
      <c r="B1104" s="10" t="n">
        <v>-0.00286144</v>
      </c>
      <c r="C1104" s="5" t="n">
        <f aca="false">C1103*(1+B1104)</f>
        <v>18739.2039596486</v>
      </c>
      <c r="D1104" s="10" t="n">
        <v>-0.0078111</v>
      </c>
      <c r="E1104" s="5" t="n">
        <f aca="false">E1103*(1+D1104)</f>
        <v>36099.0726616096</v>
      </c>
      <c r="F1104" s="4" t="n">
        <f aca="false">D1104*Varsayımlar!$B$3</f>
        <v>-0.009763875</v>
      </c>
      <c r="G1104" s="5" t="n">
        <f aca="false">G1103*(1+F1104)</f>
        <v>70281.1692309603</v>
      </c>
    </row>
    <row r="1105" customFormat="false" ht="15" hidden="false" customHeight="false" outlineLevel="0" collapsed="false">
      <c r="A1105" s="3" t="n">
        <v>45865</v>
      </c>
      <c r="B1105" s="10" t="n">
        <v>-0.01368377</v>
      </c>
      <c r="C1105" s="5" t="n">
        <f aca="false">C1104*(1+B1105)</f>
        <v>18482.7810026817</v>
      </c>
      <c r="D1105" s="10" t="n">
        <v>-0.01649205</v>
      </c>
      <c r="E1105" s="5" t="n">
        <f aca="false">E1104*(1+D1105)</f>
        <v>35503.7249503207</v>
      </c>
      <c r="F1105" s="4" t="n">
        <f aca="false">D1105*Varsayımlar!$B$3</f>
        <v>-0.0206150625</v>
      </c>
      <c r="G1105" s="5" t="n">
        <f aca="false">G1104*(1+F1105)</f>
        <v>68832.318534691</v>
      </c>
    </row>
    <row r="1106" customFormat="false" ht="15" hidden="false" customHeight="false" outlineLevel="0" collapsed="false">
      <c r="A1106" s="3" t="n">
        <v>45866</v>
      </c>
      <c r="B1106" s="10" t="n">
        <v>0.01493778</v>
      </c>
      <c r="C1106" s="5" t="n">
        <f aca="false">C1105*(1+B1106)</f>
        <v>18758.8727190879</v>
      </c>
      <c r="D1106" s="10" t="n">
        <v>0.01416587</v>
      </c>
      <c r="E1106" s="5" t="n">
        <f aca="false">E1105*(1+D1106)</f>
        <v>36006.6661024827</v>
      </c>
      <c r="F1106" s="4" t="n">
        <f aca="false">D1106*Varsayımlar!$B$3</f>
        <v>0.0177073375</v>
      </c>
      <c r="G1106" s="5" t="n">
        <f aca="false">G1105*(1+F1106)</f>
        <v>70051.1556298923</v>
      </c>
    </row>
    <row r="1107" customFormat="false" ht="15" hidden="false" customHeight="false" outlineLevel="0" collapsed="false">
      <c r="A1107" s="3" t="n">
        <v>45867</v>
      </c>
      <c r="B1107" s="10" t="n">
        <v>0.0124791</v>
      </c>
      <c r="C1107" s="5" t="n">
        <f aca="false">C1106*(1+B1107)</f>
        <v>18992.9665676367</v>
      </c>
      <c r="D1107" s="10" t="n">
        <v>-0.01198522</v>
      </c>
      <c r="E1107" s="5" t="n">
        <f aca="false">E1106*(1+D1107)</f>
        <v>35575.1182877779</v>
      </c>
      <c r="F1107" s="4" t="n">
        <f aca="false">D1107*Varsayımlar!$B$3</f>
        <v>-0.014981525</v>
      </c>
      <c r="G1107" s="5" t="n">
        <f aca="false">G1106*(1+F1107)</f>
        <v>69001.6824905442</v>
      </c>
    </row>
    <row r="1108" customFormat="false" ht="15" hidden="false" customHeight="false" outlineLevel="0" collapsed="false">
      <c r="A1108" s="3" t="n">
        <v>45868</v>
      </c>
      <c r="B1108" s="10" t="n">
        <v>0.00101267</v>
      </c>
      <c r="C1108" s="5" t="n">
        <f aca="false">C1107*(1+B1108)</f>
        <v>19012.2001750908</v>
      </c>
      <c r="D1108" s="10" t="n">
        <v>0.0078732</v>
      </c>
      <c r="E1108" s="5" t="n">
        <f aca="false">E1107*(1+D1108)</f>
        <v>35855.2083090812</v>
      </c>
      <c r="F1108" s="4" t="n">
        <f aca="false">D1108*Varsayımlar!$B$3</f>
        <v>0.0098415</v>
      </c>
      <c r="G1108" s="5" t="n">
        <f aca="false">G1107*(1+F1108)</f>
        <v>69680.7625487749</v>
      </c>
    </row>
    <row r="1109" customFormat="false" ht="15" hidden="false" customHeight="false" outlineLevel="0" collapsed="false">
      <c r="A1109" s="3" t="n">
        <v>45869</v>
      </c>
      <c r="B1109" s="10" t="n">
        <v>-0.01036289</v>
      </c>
      <c r="C1109" s="5" t="n">
        <f aca="false">C1108*(1+B1109)</f>
        <v>18815.1788360183</v>
      </c>
      <c r="D1109" s="10" t="n">
        <v>-0.02458192</v>
      </c>
      <c r="E1109" s="5" t="n">
        <f aca="false">E1108*(1+D1109)</f>
        <v>34973.818446844</v>
      </c>
      <c r="F1109" s="4" t="n">
        <f aca="false">D1109*Varsayımlar!$B$3</f>
        <v>-0.0307274</v>
      </c>
      <c r="G1109" s="5" t="n">
        <f aca="false">G1108*(1+F1109)</f>
        <v>67539.6538856337</v>
      </c>
    </row>
    <row r="1110" customFormat="false" ht="15" hidden="false" customHeight="false" outlineLevel="0" collapsed="false">
      <c r="A1110" s="3" t="n">
        <v>45870</v>
      </c>
      <c r="B1110" s="10" t="n">
        <v>0.00302415</v>
      </c>
      <c r="C1110" s="5" t="n">
        <f aca="false">C1109*(1+B1110)</f>
        <v>18872.0787590953</v>
      </c>
      <c r="D1110" s="10" t="n">
        <v>0.00802646</v>
      </c>
      <c r="E1110" s="5" t="n">
        <f aca="false">E1109*(1+D1110)</f>
        <v>35254.5344016549</v>
      </c>
      <c r="F1110" s="4" t="n">
        <f aca="false">D1110*Varsayımlar!$B$3</f>
        <v>0.010033075</v>
      </c>
      <c r="G1110" s="5" t="n">
        <f aca="false">G1109*(1+F1110)</f>
        <v>68217.2842985423</v>
      </c>
    </row>
    <row r="1111" customFormat="false" ht="15" hidden="false" customHeight="false" outlineLevel="0" collapsed="false">
      <c r="A1111" s="3" t="n">
        <v>45871</v>
      </c>
      <c r="B1111" s="10" t="n">
        <v>-0.00443669</v>
      </c>
      <c r="C1111" s="5" t="n">
        <f aca="false">C1110*(1+B1111)</f>
        <v>18788.3491959856</v>
      </c>
      <c r="D1111" s="10" t="n">
        <v>-0.00887017</v>
      </c>
      <c r="E1111" s="5" t="n">
        <f aca="false">E1110*(1+D1111)</f>
        <v>34941.8206882413</v>
      </c>
      <c r="F1111" s="4" t="n">
        <f aca="false">D1111*Varsayımlar!$B$3</f>
        <v>-0.0110877125</v>
      </c>
      <c r="G1111" s="5" t="n">
        <f aca="false">G1110*(1+F1111)</f>
        <v>67460.9106627093</v>
      </c>
    </row>
    <row r="1112" customFormat="false" ht="15" hidden="false" customHeight="false" outlineLevel="0" collapsed="false">
      <c r="A1112" s="3" t="n">
        <v>45872</v>
      </c>
      <c r="B1112" s="10" t="n">
        <v>0.00661994</v>
      </c>
      <c r="C1112" s="5" t="n">
        <f aca="false">C1111*(1+B1112)</f>
        <v>18912.726940362</v>
      </c>
      <c r="D1112" s="10" t="n">
        <v>0.00555399</v>
      </c>
      <c r="E1112" s="5" t="n">
        <f aca="false">E1111*(1+D1112)</f>
        <v>35135.8872109256</v>
      </c>
      <c r="F1112" s="4" t="n">
        <f aca="false">D1112*Varsayımlar!$B$3</f>
        <v>0.0069424875</v>
      </c>
      <c r="G1112" s="5" t="n">
        <f aca="false">G1111*(1+F1112)</f>
        <v>67929.2571917237</v>
      </c>
    </row>
    <row r="1113" customFormat="false" ht="15" hidden="false" customHeight="false" outlineLevel="0" collapsed="false">
      <c r="A1113" s="3" t="n">
        <v>45873</v>
      </c>
      <c r="B1113" s="10" t="n">
        <v>0.0086224</v>
      </c>
      <c r="C1113" s="5" t="n">
        <f aca="false">C1112*(1+B1113)</f>
        <v>19075.8000371326</v>
      </c>
      <c r="D1113" s="10" t="n">
        <v>0.02567435</v>
      </c>
      <c r="E1113" s="5" t="n">
        <f aca="false">E1112*(1+D1113)</f>
        <v>36037.9782767395</v>
      </c>
      <c r="F1113" s="4" t="n">
        <f aca="false">D1113*Varsayımlar!$B$3</f>
        <v>0.0320929375</v>
      </c>
      <c r="G1113" s="5" t="n">
        <f aca="false">G1112*(1+F1113)</f>
        <v>70109.3065971992</v>
      </c>
    </row>
    <row r="1114" customFormat="false" ht="15" hidden="false" customHeight="false" outlineLevel="0" collapsed="false">
      <c r="A1114" s="3" t="n">
        <v>45874</v>
      </c>
      <c r="B1114" s="10" t="n">
        <v>-0.00122964</v>
      </c>
      <c r="C1114" s="5" t="n">
        <f aca="false">C1113*(1+B1114)</f>
        <v>19052.343670375</v>
      </c>
      <c r="D1114" s="10" t="n">
        <v>-0.00684563</v>
      </c>
      <c r="E1114" s="5" t="n">
        <f aca="false">E1113*(1+D1114)</f>
        <v>35791.2756115089</v>
      </c>
      <c r="F1114" s="4" t="n">
        <f aca="false">D1114*Varsayımlar!$B$3</f>
        <v>-0.0085570375</v>
      </c>
      <c r="G1114" s="5" t="n">
        <f aca="false">G1113*(1+F1114)</f>
        <v>69509.3786315479</v>
      </c>
    </row>
    <row r="1115" customFormat="false" ht="15" hidden="false" customHeight="false" outlineLevel="0" collapsed="false">
      <c r="A1115" s="3" t="n">
        <v>45875</v>
      </c>
      <c r="B1115" s="10" t="n">
        <v>-0.00086755</v>
      </c>
      <c r="C1115" s="5" t="n">
        <f aca="false">C1114*(1+B1115)</f>
        <v>19035.8148096237</v>
      </c>
      <c r="D1115" s="10" t="n">
        <v>-0.00570834</v>
      </c>
      <c r="E1115" s="5" t="n">
        <f aca="false">E1114*(1+D1115)</f>
        <v>35586.9668412847</v>
      </c>
      <c r="F1115" s="4" t="n">
        <f aca="false">D1115*Varsayımlar!$B$3</f>
        <v>-0.007135425</v>
      </c>
      <c r="G1115" s="5" t="n">
        <f aca="false">G1114*(1+F1115)</f>
        <v>69013.3996735259</v>
      </c>
    </row>
    <row r="1116" customFormat="false" ht="15" hidden="false" customHeight="false" outlineLevel="0" collapsed="false">
      <c r="A1116" s="3" t="n">
        <v>45876</v>
      </c>
      <c r="B1116" s="10" t="n">
        <v>-0.01411022</v>
      </c>
      <c r="C1116" s="5" t="n">
        <f aca="false">C1115*(1+B1116)</f>
        <v>18767.2152747807</v>
      </c>
      <c r="D1116" s="10" t="n">
        <v>-0.0062523</v>
      </c>
      <c r="E1116" s="5" t="n">
        <f aca="false">E1115*(1+D1116)</f>
        <v>35364.4664485029</v>
      </c>
      <c r="F1116" s="4" t="n">
        <f aca="false">D1116*Varsayımlar!$B$3</f>
        <v>-0.007815375</v>
      </c>
      <c r="G1116" s="5" t="n">
        <f aca="false">G1115*(1+F1116)</f>
        <v>68474.0340750524</v>
      </c>
    </row>
    <row r="1117" customFormat="false" ht="15" hidden="false" customHeight="false" outlineLevel="0" collapsed="false">
      <c r="A1117" s="3" t="n">
        <v>45877</v>
      </c>
      <c r="B1117" s="10" t="n">
        <v>0.00438167</v>
      </c>
      <c r="C1117" s="5" t="n">
        <f aca="false">C1116*(1+B1117)</f>
        <v>18849.4470189337</v>
      </c>
      <c r="D1117" s="10" t="n">
        <v>-0.00093089</v>
      </c>
      <c r="E1117" s="5" t="n">
        <f aca="false">E1116*(1+D1117)</f>
        <v>35331.5460203307</v>
      </c>
      <c r="F1117" s="4" t="n">
        <f aca="false">D1117*Varsayımlar!$B$3</f>
        <v>-0.0011636125</v>
      </c>
      <c r="G1117" s="5" t="n">
        <f aca="false">G1116*(1+F1117)</f>
        <v>68394.3568330773</v>
      </c>
    </row>
    <row r="1118" customFormat="false" ht="15" hidden="false" customHeight="false" outlineLevel="0" collapsed="false">
      <c r="A1118" s="3" t="n">
        <v>45878</v>
      </c>
      <c r="B1118" s="10" t="n">
        <v>-0.00453217</v>
      </c>
      <c r="C1118" s="5" t="n">
        <f aca="false">C1117*(1+B1118)</f>
        <v>18764.0181206379</v>
      </c>
      <c r="D1118" s="10" t="n">
        <v>0.01041529</v>
      </c>
      <c r="E1118" s="5" t="n">
        <f aca="false">E1117*(1+D1118)</f>
        <v>35699.5343182807</v>
      </c>
      <c r="F1118" s="4" t="n">
        <f aca="false">D1118*Varsayımlar!$B$3</f>
        <v>0.0130191125</v>
      </c>
      <c r="G1118" s="5" t="n">
        <f aca="false">G1117*(1+F1118)</f>
        <v>69284.7906590523</v>
      </c>
    </row>
    <row r="1119" customFormat="false" ht="15" hidden="false" customHeight="false" outlineLevel="0" collapsed="false">
      <c r="A1119" s="3" t="n">
        <v>45879</v>
      </c>
      <c r="B1119" s="10" t="n">
        <v>0.00570916</v>
      </c>
      <c r="C1119" s="5" t="n">
        <f aca="false">C1118*(1+B1119)</f>
        <v>18871.1449023316</v>
      </c>
      <c r="D1119" s="10" t="n">
        <v>0.01423097</v>
      </c>
      <c r="E1119" s="5" t="n">
        <f aca="false">E1118*(1+D1119)</f>
        <v>36207.5733201782</v>
      </c>
      <c r="F1119" s="4" t="n">
        <f aca="false">D1119*Varsayımlar!$B$3</f>
        <v>0.0177887125</v>
      </c>
      <c r="G1119" s="5" t="n">
        <f aca="false">G1118*(1+F1119)</f>
        <v>70517.2778807088</v>
      </c>
    </row>
    <row r="1120" customFormat="false" ht="15" hidden="false" customHeight="false" outlineLevel="0" collapsed="false">
      <c r="A1120" s="3" t="n">
        <v>45880</v>
      </c>
      <c r="B1120" s="10" t="n">
        <v>-0.00425953</v>
      </c>
      <c r="C1120" s="5" t="n">
        <f aca="false">C1119*(1+B1120)</f>
        <v>18790.7626944857</v>
      </c>
      <c r="D1120" s="10" t="n">
        <v>0.00425066</v>
      </c>
      <c r="E1120" s="5" t="n">
        <f aca="false">E1119*(1+D1120)</f>
        <v>36361.4794037873</v>
      </c>
      <c r="F1120" s="4" t="n">
        <f aca="false">D1120*Varsayımlar!$B$3</f>
        <v>0.005313325</v>
      </c>
      <c r="G1120" s="5" t="n">
        <f aca="false">G1119*(1+F1120)</f>
        <v>70891.9590962043</v>
      </c>
    </row>
    <row r="1121" customFormat="false" ht="15" hidden="false" customHeight="false" outlineLevel="0" collapsed="false">
      <c r="A1121" s="3" t="n">
        <v>45881</v>
      </c>
      <c r="B1121" s="10" t="n">
        <v>-0.01888563</v>
      </c>
      <c r="C1121" s="5" t="n">
        <f aca="false">C1120*(1+B1121)</f>
        <v>18435.8873028199</v>
      </c>
      <c r="D1121" s="10" t="n">
        <v>-0.01932506</v>
      </c>
      <c r="E1121" s="5" t="n">
        <f aca="false">E1120*(1+D1121)</f>
        <v>35658.7916326204</v>
      </c>
      <c r="F1121" s="4" t="n">
        <f aca="false">D1121*Varsayımlar!$B$3</f>
        <v>-0.024156325</v>
      </c>
      <c r="G1121" s="5" t="n">
        <f aca="false">G1120*(1+F1121)</f>
        <v>69179.4698923897</v>
      </c>
    </row>
    <row r="1122" customFormat="false" ht="15" hidden="false" customHeight="false" outlineLevel="0" collapsed="false">
      <c r="A1122" s="3" t="n">
        <v>45882</v>
      </c>
      <c r="B1122" s="10" t="n">
        <v>-0.00870615</v>
      </c>
      <c r="C1122" s="5" t="n">
        <f aca="false">C1121*(1+B1122)</f>
        <v>18275.3817025784</v>
      </c>
      <c r="D1122" s="10" t="n">
        <v>-0.00404476</v>
      </c>
      <c r="E1122" s="5" t="n">
        <f aca="false">E1121*(1+D1122)</f>
        <v>35514.5603785764</v>
      </c>
      <c r="F1122" s="4" t="n">
        <f aca="false">D1122*Varsayımlar!$B$3</f>
        <v>-0.00505595</v>
      </c>
      <c r="G1122" s="5" t="n">
        <f aca="false">G1121*(1+F1122)</f>
        <v>68829.7019515873</v>
      </c>
    </row>
    <row r="1123" customFormat="false" ht="15" hidden="false" customHeight="false" outlineLevel="0" collapsed="false">
      <c r="A1123" s="3" t="n">
        <v>45883</v>
      </c>
      <c r="B1123" s="10" t="n">
        <v>0.00983965</v>
      </c>
      <c r="C1123" s="5" t="n">
        <f aca="false">C1122*(1+B1123)</f>
        <v>18455.2050621482</v>
      </c>
      <c r="D1123" s="10" t="n">
        <v>0.01918318</v>
      </c>
      <c r="E1123" s="5" t="n">
        <f aca="false">E1122*(1+D1123)</f>
        <v>36195.8425829395</v>
      </c>
      <c r="F1123" s="4" t="n">
        <f aca="false">D1123*Varsayımlar!$B$3</f>
        <v>0.023978975</v>
      </c>
      <c r="G1123" s="5" t="n">
        <f aca="false">G1122*(1+F1123)</f>
        <v>70480.1676539419</v>
      </c>
    </row>
    <row r="1124" customFormat="false" ht="15" hidden="false" customHeight="false" outlineLevel="0" collapsed="false">
      <c r="A1124" s="3" t="n">
        <v>45884</v>
      </c>
      <c r="B1124" s="10" t="n">
        <v>-0.00159486</v>
      </c>
      <c r="C1124" s="5" t="n">
        <f aca="false">C1123*(1+B1124)</f>
        <v>18425.7715938028</v>
      </c>
      <c r="D1124" s="10" t="n">
        <v>-0.00974411</v>
      </c>
      <c r="E1124" s="5" t="n">
        <f aca="false">E1123*(1+D1124)</f>
        <v>35843.1463112687</v>
      </c>
      <c r="F1124" s="4" t="n">
        <f aca="false">D1124*Varsayımlar!$B$3</f>
        <v>-0.0121801375</v>
      </c>
      <c r="G1124" s="5" t="n">
        <f aca="false">G1123*(1+F1124)</f>
        <v>69621.7095208938</v>
      </c>
    </row>
    <row r="1125" customFormat="false" ht="15" hidden="false" customHeight="false" outlineLevel="0" collapsed="false">
      <c r="A1125" s="3" t="n">
        <v>45885</v>
      </c>
      <c r="B1125" s="10" t="n">
        <v>-0.00015047</v>
      </c>
      <c r="C1125" s="5" t="n">
        <f aca="false">C1124*(1+B1125)</f>
        <v>18422.9990679511</v>
      </c>
      <c r="D1125" s="10" t="n">
        <v>-0.0011561</v>
      </c>
      <c r="E1125" s="5" t="n">
        <f aca="false">E1124*(1+D1125)</f>
        <v>35801.7080498182</v>
      </c>
      <c r="F1125" s="4" t="n">
        <f aca="false">D1125*Varsayımlar!$B$3</f>
        <v>-0.001445125</v>
      </c>
      <c r="G1125" s="5" t="n">
        <f aca="false">G1124*(1+F1125)</f>
        <v>69521.0974479224</v>
      </c>
    </row>
    <row r="1126" customFormat="false" ht="15" hidden="false" customHeight="false" outlineLevel="0" collapsed="false">
      <c r="A1126" s="3" t="n">
        <v>45886</v>
      </c>
      <c r="B1126" s="10" t="n">
        <v>-0.0057366</v>
      </c>
      <c r="C1126" s="5" t="n">
        <f aca="false">C1125*(1+B1126)</f>
        <v>18317.3136914978</v>
      </c>
      <c r="D1126" s="10" t="n">
        <v>-0.00143836</v>
      </c>
      <c r="E1126" s="5" t="n">
        <f aca="false">E1125*(1+D1126)</f>
        <v>35750.2123050277</v>
      </c>
      <c r="F1126" s="4" t="n">
        <f aca="false">D1126*Varsayımlar!$B$3</f>
        <v>-0.00179795</v>
      </c>
      <c r="G1126" s="5" t="n">
        <f aca="false">G1125*(1+F1126)</f>
        <v>69396.1019907659</v>
      </c>
    </row>
    <row r="1127" customFormat="false" ht="15" hidden="false" customHeight="false" outlineLevel="0" collapsed="false">
      <c r="A1127" s="3" t="n">
        <v>45887</v>
      </c>
      <c r="B1127" s="10" t="n">
        <v>0.00489278</v>
      </c>
      <c r="C1127" s="5" t="n">
        <f aca="false">C1126*(1+B1127)</f>
        <v>18406.9362775813</v>
      </c>
      <c r="D1127" s="10" t="n">
        <v>7.089E-005</v>
      </c>
      <c r="E1127" s="5" t="n">
        <f aca="false">E1126*(1+D1127)</f>
        <v>35752.746637578</v>
      </c>
      <c r="F1127" s="4" t="n">
        <f aca="false">D1127*Varsayımlar!$B$3</f>
        <v>8.86125E-005</v>
      </c>
      <c r="G1127" s="5" t="n">
        <f aca="false">G1126*(1+F1127)</f>
        <v>69402.2513528536</v>
      </c>
    </row>
    <row r="1128" customFormat="false" ht="15" hidden="false" customHeight="false" outlineLevel="0" collapsed="false">
      <c r="A1128" s="3" t="n">
        <v>45888</v>
      </c>
      <c r="B1128" s="10" t="n">
        <v>0.01048068</v>
      </c>
      <c r="C1128" s="5" t="n">
        <f aca="false">C1127*(1+B1128)</f>
        <v>18599.8534864871</v>
      </c>
      <c r="D1128" s="10" t="n">
        <v>0.01641665</v>
      </c>
      <c r="E1128" s="5" t="n">
        <f aca="false">E1127*(1+D1128)</f>
        <v>36339.6869656658</v>
      </c>
      <c r="F1128" s="4" t="n">
        <f aca="false">D1128*Varsayımlar!$B$3</f>
        <v>0.0205208125</v>
      </c>
      <c r="G1128" s="5" t="n">
        <f aca="false">G1127*(1+F1128)</f>
        <v>70826.4419399433</v>
      </c>
    </row>
    <row r="1129" customFormat="false" ht="15" hidden="false" customHeight="false" outlineLevel="0" collapsed="false">
      <c r="A1129" s="3" t="n">
        <v>45889</v>
      </c>
      <c r="B1129" s="10" t="n">
        <v>-0.00017301</v>
      </c>
      <c r="C1129" s="5" t="n">
        <f aca="false">C1128*(1+B1129)</f>
        <v>18596.6355258354</v>
      </c>
      <c r="D1129" s="10" t="n">
        <v>-0.0005215</v>
      </c>
      <c r="E1129" s="5" t="n">
        <f aca="false">E1128*(1+D1129)</f>
        <v>36320.7358189132</v>
      </c>
      <c r="F1129" s="4" t="n">
        <f aca="false">D1129*Varsayımlar!$B$3</f>
        <v>-0.000651875</v>
      </c>
      <c r="G1129" s="5" t="n">
        <f aca="false">G1128*(1+F1129)</f>
        <v>70780.2719531037</v>
      </c>
    </row>
    <row r="1130" customFormat="false" ht="15" hidden="false" customHeight="false" outlineLevel="0" collapsed="false">
      <c r="A1130" s="3" t="n">
        <v>45890</v>
      </c>
      <c r="B1130" s="10" t="n">
        <v>0.00413838</v>
      </c>
      <c r="C1130" s="5" t="n">
        <f aca="false">C1129*(1+B1130)</f>
        <v>18673.5954703628</v>
      </c>
      <c r="D1130" s="10" t="n">
        <v>0.01023361</v>
      </c>
      <c r="E1130" s="5" t="n">
        <f aca="false">E1129*(1+D1130)</f>
        <v>36692.428064197</v>
      </c>
      <c r="F1130" s="4" t="n">
        <f aca="false">D1130*Varsayımlar!$B$3</f>
        <v>0.0127920125</v>
      </c>
      <c r="G1130" s="5" t="n">
        <f aca="false">G1129*(1+F1130)</f>
        <v>71685.6940766813</v>
      </c>
    </row>
    <row r="1131" customFormat="false" ht="15" hidden="false" customHeight="false" outlineLevel="0" collapsed="false">
      <c r="A1131" s="3" t="n">
        <v>45891</v>
      </c>
      <c r="B1131" s="10" t="n">
        <v>-0.01216307</v>
      </c>
      <c r="C1131" s="5" t="n">
        <f aca="false">C1130*(1+B1131)</f>
        <v>18446.4672215051</v>
      </c>
      <c r="D1131" s="10" t="n">
        <v>-0.01453884</v>
      </c>
      <c r="E1131" s="5" t="n">
        <f aca="false">E1130*(1+D1131)</f>
        <v>36158.9627233601</v>
      </c>
      <c r="F1131" s="4" t="n">
        <f aca="false">D1131*Varsayımlar!$B$3</f>
        <v>-0.01817355</v>
      </c>
      <c r="G1131" s="5" t="n">
        <f aca="false">G1130*(1+F1131)</f>
        <v>70382.910531094</v>
      </c>
    </row>
    <row r="1132" customFormat="false" ht="15" hidden="false" customHeight="false" outlineLevel="0" collapsed="false">
      <c r="A1132" s="3" t="n">
        <v>45892</v>
      </c>
      <c r="B1132" s="10" t="n">
        <v>-0.004489</v>
      </c>
      <c r="C1132" s="5" t="n">
        <f aca="false">C1131*(1+B1132)</f>
        <v>18363.6610301477</v>
      </c>
      <c r="D1132" s="10" t="n">
        <v>-0.00580497</v>
      </c>
      <c r="E1132" s="5" t="n">
        <f aca="false">E1131*(1+D1132)</f>
        <v>35949.0610295199</v>
      </c>
      <c r="F1132" s="4" t="n">
        <f aca="false">D1132*Varsayımlar!$B$3</f>
        <v>-0.0072562125</v>
      </c>
      <c r="G1132" s="5" t="n">
        <f aca="false">G1131*(1+F1132)</f>
        <v>69872.1971759119</v>
      </c>
    </row>
    <row r="1133" customFormat="false" ht="15" hidden="false" customHeight="false" outlineLevel="0" collapsed="false">
      <c r="A1133" s="3" t="n">
        <v>45893</v>
      </c>
      <c r="B1133" s="10" t="n">
        <v>0.00836331</v>
      </c>
      <c r="C1133" s="5" t="n">
        <f aca="false">C1132*(1+B1133)</f>
        <v>18517.2420200778</v>
      </c>
      <c r="D1133" s="10" t="n">
        <v>0.01749114</v>
      </c>
      <c r="E1133" s="5" t="n">
        <f aca="false">E1132*(1+D1133)</f>
        <v>36577.8510888557</v>
      </c>
      <c r="F1133" s="4" t="n">
        <f aca="false">D1133*Varsayımlar!$B$3</f>
        <v>0.021863925</v>
      </c>
      <c r="G1133" s="5" t="n">
        <f aca="false">G1132*(1+F1133)</f>
        <v>71399.8776545512</v>
      </c>
    </row>
    <row r="1134" customFormat="false" ht="15" hidden="false" customHeight="false" outlineLevel="0" collapsed="false">
      <c r="A1134" s="3" t="n">
        <v>45894</v>
      </c>
      <c r="B1134" s="10" t="n">
        <v>0.0226764</v>
      </c>
      <c r="C1134" s="5" t="n">
        <f aca="false">C1133*(1+B1134)</f>
        <v>18937.1464070219</v>
      </c>
      <c r="D1134" s="10" t="n">
        <v>0.02874041</v>
      </c>
      <c r="E1134" s="5" t="n">
        <f aca="false">E1133*(1+D1134)</f>
        <v>37629.1135260684</v>
      </c>
      <c r="F1134" s="4" t="n">
        <f aca="false">D1134*Varsayımlar!$B$3</f>
        <v>0.0359255125</v>
      </c>
      <c r="G1134" s="5" t="n">
        <f aca="false">G1133*(1+F1134)</f>
        <v>73964.9548517283</v>
      </c>
    </row>
    <row r="1135" customFormat="false" ht="15" hidden="false" customHeight="false" outlineLevel="0" collapsed="false">
      <c r="A1135" s="3" t="n">
        <v>45895</v>
      </c>
      <c r="B1135" s="10" t="n">
        <v>-0.01214301</v>
      </c>
      <c r="C1135" s="5" t="n">
        <f aca="false">C1134*(1+B1135)</f>
        <v>18707.1924488299</v>
      </c>
      <c r="D1135" s="10" t="n">
        <v>-0.02256977</v>
      </c>
      <c r="E1135" s="5" t="n">
        <f aca="false">E1134*(1+D1135)</f>
        <v>36779.8330884811</v>
      </c>
      <c r="F1135" s="4" t="n">
        <f aca="false">D1135*Varsayımlar!$B$3</f>
        <v>-0.0282122125</v>
      </c>
      <c r="G1135" s="5" t="n">
        <f aca="false">G1134*(1+F1135)</f>
        <v>71878.2398278984</v>
      </c>
    </row>
    <row r="1136" customFormat="false" ht="15" hidden="false" customHeight="false" outlineLevel="0" collapsed="false">
      <c r="A1136" s="3" t="n">
        <v>45896</v>
      </c>
      <c r="B1136" s="10" t="n">
        <v>-0.00697423</v>
      </c>
      <c r="C1136" s="5" t="n">
        <f aca="false">C1135*(1+B1136)</f>
        <v>18576.7241860375</v>
      </c>
      <c r="D1136" s="10" t="n">
        <v>-0.01125983</v>
      </c>
      <c r="E1136" s="5" t="n">
        <f aca="false">E1135*(1+D1136)</f>
        <v>36365.6984204765</v>
      </c>
      <c r="F1136" s="4" t="n">
        <f aca="false">D1136*Varsayımlar!$B$3</f>
        <v>-0.0140747875</v>
      </c>
      <c r="G1136" s="5" t="n">
        <f aca="false">G1135*(1+F1136)</f>
        <v>70866.5688764467</v>
      </c>
    </row>
    <row r="1137" customFormat="false" ht="15" hidden="false" customHeight="false" outlineLevel="0" collapsed="false">
      <c r="A1137" s="3" t="n">
        <v>45897</v>
      </c>
      <c r="B1137" s="10" t="n">
        <v>-0.01138578</v>
      </c>
      <c r="C1137" s="5" t="n">
        <f aca="false">C1136*(1+B1137)</f>
        <v>18365.2136913346</v>
      </c>
      <c r="D1137" s="10" t="n">
        <v>-0.01023398</v>
      </c>
      <c r="E1137" s="5" t="n">
        <f aca="false">E1136*(1+D1137)</f>
        <v>35993.5325901553</v>
      </c>
      <c r="F1137" s="4" t="n">
        <f aca="false">D1137*Varsayımlar!$B$3</f>
        <v>-0.012792475</v>
      </c>
      <c r="G1137" s="5" t="n">
        <f aca="false">G1136*(1+F1137)</f>
        <v>69960.010065759</v>
      </c>
    </row>
    <row r="1138" customFormat="false" ht="15" hidden="false" customHeight="false" outlineLevel="0" collapsed="false">
      <c r="A1138" s="3" t="n">
        <v>45898</v>
      </c>
      <c r="B1138" s="10" t="n">
        <v>-0.00164083</v>
      </c>
      <c r="C1138" s="5" t="n">
        <f aca="false">C1137*(1+B1138)</f>
        <v>18335.0794977535</v>
      </c>
      <c r="D1138" s="10" t="n">
        <v>0.00583512</v>
      </c>
      <c r="E1138" s="5" t="n">
        <f aca="false">E1137*(1+D1138)</f>
        <v>36203.5591720428</v>
      </c>
      <c r="F1138" s="4" t="n">
        <f aca="false">D1138*Varsayımlar!$B$3</f>
        <v>0.0072939</v>
      </c>
      <c r="G1138" s="5" t="n">
        <f aca="false">G1137*(1+F1138)</f>
        <v>70470.2913831776</v>
      </c>
    </row>
    <row r="1139" customFormat="false" ht="15" hidden="false" customHeight="false" outlineLevel="0" collapsed="false">
      <c r="A1139" s="3" t="n">
        <v>45899</v>
      </c>
      <c r="B1139" s="10" t="n">
        <v>0.01298277</v>
      </c>
      <c r="C1139" s="5" t="n">
        <f aca="false">C1138*(1+B1139)</f>
        <v>18573.1196178045</v>
      </c>
      <c r="D1139" s="10" t="n">
        <v>0.0084228</v>
      </c>
      <c r="E1139" s="5" t="n">
        <f aca="false">E1138*(1+D1139)</f>
        <v>36508.494510237</v>
      </c>
      <c r="F1139" s="4" t="n">
        <f aca="false">D1139*Varsayımlar!$B$3</f>
        <v>0.0105285</v>
      </c>
      <c r="G1139" s="5" t="n">
        <f aca="false">G1138*(1+F1139)</f>
        <v>71212.2378460054</v>
      </c>
    </row>
    <row r="1140" customFormat="false" ht="15" hidden="false" customHeight="false" outlineLevel="0" collapsed="false">
      <c r="A1140" s="3" t="n">
        <v>45900</v>
      </c>
      <c r="B1140" s="10" t="n">
        <v>-0.00047036</v>
      </c>
      <c r="C1140" s="5" t="n">
        <f aca="false">C1139*(1+B1140)</f>
        <v>18564.3835652611</v>
      </c>
      <c r="D1140" s="10" t="n">
        <v>0.00961191</v>
      </c>
      <c r="E1140" s="5" t="n">
        <f aca="false">E1139*(1+D1140)</f>
        <v>36859.4108737049</v>
      </c>
      <c r="F1140" s="4" t="n">
        <f aca="false">D1140*Varsayımlar!$B$3</f>
        <v>0.0120148875</v>
      </c>
      <c r="G1140" s="5" t="n">
        <f aca="false">G1139*(1+F1140)</f>
        <v>72067.8448723484</v>
      </c>
    </row>
    <row r="1141" customFormat="false" ht="15" hidden="false" customHeight="false" outlineLevel="0" collapsed="false">
      <c r="A1141" s="3" t="n">
        <v>45901</v>
      </c>
      <c r="B1141" s="10" t="n">
        <v>-0.02399419</v>
      </c>
      <c r="C1141" s="5" t="n">
        <f aca="false">C1140*(1+B1141)</f>
        <v>18118.9462187633</v>
      </c>
      <c r="D1141" s="10" t="n">
        <v>-0.03739119</v>
      </c>
      <c r="E1141" s="5" t="n">
        <f aca="false">E1140*(1+D1141)</f>
        <v>35481.1936384382</v>
      </c>
      <c r="F1141" s="4" t="n">
        <f aca="false">D1141*Varsayımlar!$B$3</f>
        <v>-0.0467389875</v>
      </c>
      <c r="G1141" s="5" t="n">
        <f aca="false">G1140*(1+F1141)</f>
        <v>68699.4667717078</v>
      </c>
    </row>
    <row r="1142" customFormat="false" ht="15" hidden="false" customHeight="false" outlineLevel="0" collapsed="false">
      <c r="A1142" s="3" t="n">
        <v>45902</v>
      </c>
      <c r="B1142" s="10" t="n">
        <v>-0.01112218</v>
      </c>
      <c r="C1142" s="5" t="n">
        <f aca="false">C1141*(1+B1142)</f>
        <v>17917.4240375079</v>
      </c>
      <c r="D1142" s="10" t="n">
        <v>-0.01949846</v>
      </c>
      <c r="E1142" s="5" t="n">
        <f aca="false">E1141*(1+D1142)</f>
        <v>34789.3650035268</v>
      </c>
      <c r="F1142" s="4" t="n">
        <f aca="false">D1142*Varsayımlar!$B$3</f>
        <v>-0.024373075</v>
      </c>
      <c r="G1142" s="5" t="n">
        <f aca="false">G1141*(1+F1142)</f>
        <v>67025.0495156209</v>
      </c>
    </row>
    <row r="1143" customFormat="false" ht="15" hidden="false" customHeight="false" outlineLevel="0" collapsed="false">
      <c r="A1143" s="3" t="n">
        <v>45903</v>
      </c>
      <c r="B1143" s="10" t="n">
        <v>-0.00585239</v>
      </c>
      <c r="C1143" s="5" t="n">
        <f aca="false">C1142*(1+B1143)</f>
        <v>17812.5642842451</v>
      </c>
      <c r="D1143" s="10" t="n">
        <v>-0.00690498</v>
      </c>
      <c r="E1143" s="5" t="n">
        <f aca="false">E1142*(1+D1143)</f>
        <v>34549.1451339648</v>
      </c>
      <c r="F1143" s="4" t="n">
        <f aca="false">D1143*Varsayımlar!$B$3</f>
        <v>-0.008631225</v>
      </c>
      <c r="G1143" s="5" t="n">
        <f aca="false">G1142*(1+F1143)</f>
        <v>66446.5412326155</v>
      </c>
    </row>
    <row r="1144" customFormat="false" ht="15" hidden="false" customHeight="false" outlineLevel="0" collapsed="false">
      <c r="A1144" s="3" t="n">
        <v>45904</v>
      </c>
      <c r="B1144" s="10" t="n">
        <v>-0.00529735</v>
      </c>
      <c r="C1144" s="5" t="n">
        <f aca="false">C1143*(1+B1144)</f>
        <v>17718.2048968339</v>
      </c>
      <c r="D1144" s="10" t="n">
        <v>-0.00623415</v>
      </c>
      <c r="E1144" s="5" t="n">
        <f aca="false">E1143*(1+D1144)</f>
        <v>34333.7605808279</v>
      </c>
      <c r="F1144" s="4" t="n">
        <f aca="false">D1144*Varsayımlar!$B$3</f>
        <v>-0.0077926875</v>
      </c>
      <c r="G1144" s="5" t="n">
        <f aca="false">G1143*(1+F1144)</f>
        <v>65928.7441013338</v>
      </c>
    </row>
    <row r="1145" customFormat="false" ht="15" hidden="false" customHeight="false" outlineLevel="0" collapsed="false">
      <c r="A1145" s="3" t="n">
        <v>45905</v>
      </c>
      <c r="B1145" s="10" t="n">
        <v>0.01042937</v>
      </c>
      <c r="C1145" s="5" t="n">
        <f aca="false">C1144*(1+B1145)</f>
        <v>17902.9946114388</v>
      </c>
      <c r="D1145" s="10" t="n">
        <v>0.00471101</v>
      </c>
      <c r="E1145" s="5" t="n">
        <f aca="false">E1144*(1+D1145)</f>
        <v>34495.5072702617</v>
      </c>
      <c r="F1145" s="4" t="n">
        <f aca="false">D1145*Varsayımlar!$B$3</f>
        <v>0.0058887625</v>
      </c>
      <c r="G1145" s="5" t="n">
        <f aca="false">G1144*(1+F1145)</f>
        <v>66316.9828172699</v>
      </c>
    </row>
    <row r="1146" customFormat="false" ht="15" hidden="false" customHeight="false" outlineLevel="0" collapsed="false">
      <c r="A1146" s="3" t="n">
        <v>45906</v>
      </c>
      <c r="B1146" s="10" t="n">
        <v>0.00538292</v>
      </c>
      <c r="C1146" s="5" t="n">
        <f aca="false">C1145*(1+B1146)</f>
        <v>17999.3649991926</v>
      </c>
      <c r="D1146" s="10" t="n">
        <v>0.01891215</v>
      </c>
      <c r="E1146" s="5" t="n">
        <f aca="false">E1145*(1+D1146)</f>
        <v>35147.891478083</v>
      </c>
      <c r="F1146" s="4" t="n">
        <f aca="false">D1146*Varsayımlar!$B$3</f>
        <v>0.0236401875</v>
      </c>
      <c r="G1146" s="5" t="n">
        <f aca="false">G1145*(1+F1146)</f>
        <v>67884.7287255044</v>
      </c>
    </row>
    <row r="1147" customFormat="false" ht="15" hidden="false" customHeight="false" outlineLevel="0" collapsed="false">
      <c r="A1147" s="3" t="n">
        <v>45907</v>
      </c>
      <c r="B1147" s="10" t="n">
        <v>0.00118481</v>
      </c>
      <c r="C1147" s="5" t="n">
        <f aca="false">C1146*(1+B1147)</f>
        <v>18020.6908268373</v>
      </c>
      <c r="D1147" s="10" t="n">
        <v>0.00742323</v>
      </c>
      <c r="E1147" s="5" t="n">
        <f aca="false">E1146*(1+D1147)</f>
        <v>35408.8023605399</v>
      </c>
      <c r="F1147" s="4" t="n">
        <f aca="false">D1147*Varsayımlar!$B$3</f>
        <v>0.0092790375</v>
      </c>
      <c r="G1147" s="5" t="n">
        <f aca="false">G1146*(1+F1147)</f>
        <v>68514.6336690257</v>
      </c>
    </row>
    <row r="1148" customFormat="false" ht="15" hidden="false" customHeight="false" outlineLevel="0" collapsed="false">
      <c r="A1148" s="3" t="n">
        <v>45908</v>
      </c>
      <c r="B1148" s="10" t="n">
        <v>-0.02308097</v>
      </c>
      <c r="C1148" s="5" t="n">
        <f aca="false">C1147*(1+B1148)</f>
        <v>17604.7558024838</v>
      </c>
      <c r="D1148" s="10" t="n">
        <v>-0.02738632</v>
      </c>
      <c r="E1148" s="5" t="n">
        <f aca="false">E1147*(1+D1148)</f>
        <v>34439.0855682774</v>
      </c>
      <c r="F1148" s="4" t="n">
        <f aca="false">D1148*Varsayımlar!$B$3</f>
        <v>-0.0342329</v>
      </c>
      <c r="G1148" s="5" t="n">
        <f aca="false">G1147*(1+F1148)</f>
        <v>66169.1790660973</v>
      </c>
    </row>
    <row r="1149" customFormat="false" ht="15" hidden="false" customHeight="false" outlineLevel="0" collapsed="false">
      <c r="A1149" s="3" t="n">
        <v>45909</v>
      </c>
      <c r="B1149" s="10" t="n">
        <v>0.00497601</v>
      </c>
      <c r="C1149" s="5" t="n">
        <f aca="false">C1148*(1+B1149)</f>
        <v>17692.3572434045</v>
      </c>
      <c r="D1149" s="10" t="n">
        <v>-0.00067234</v>
      </c>
      <c r="E1149" s="5" t="n">
        <f aca="false">E1148*(1+D1149)</f>
        <v>34415.9307934864</v>
      </c>
      <c r="F1149" s="4" t="n">
        <f aca="false">D1149*Varsayımlar!$B$3</f>
        <v>-0.000840425</v>
      </c>
      <c r="G1149" s="5" t="n">
        <f aca="false">G1148*(1+F1149)</f>
        <v>66113.5688337807</v>
      </c>
    </row>
    <row r="1150" customFormat="false" ht="15" hidden="false" customHeight="false" outlineLevel="0" collapsed="false">
      <c r="A1150" s="3" t="n">
        <v>45910</v>
      </c>
      <c r="B1150" s="10" t="n">
        <v>-0.01918515</v>
      </c>
      <c r="C1150" s="5" t="n">
        <f aca="false">C1149*(1+B1150)</f>
        <v>17352.9267158362</v>
      </c>
      <c r="D1150" s="10" t="n">
        <v>-0.01542547</v>
      </c>
      <c r="E1150" s="5" t="n">
        <f aca="false">E1149*(1+D1150)</f>
        <v>33885.0488855094</v>
      </c>
      <c r="F1150" s="4" t="n">
        <f aca="false">D1150*Varsayımlar!$B$3</f>
        <v>-0.0192818375</v>
      </c>
      <c r="G1150" s="5" t="n">
        <f aca="false">G1149*(1+F1150)</f>
        <v>64838.7777429826</v>
      </c>
    </row>
    <row r="1151" customFormat="false" ht="15" hidden="false" customHeight="false" outlineLevel="0" collapsed="false">
      <c r="A1151" s="3" t="n">
        <v>45911</v>
      </c>
      <c r="B1151" s="10" t="n">
        <v>0.01128759</v>
      </c>
      <c r="C1151" s="5" t="n">
        <f aca="false">C1150*(1+B1151)</f>
        <v>17548.7994379046</v>
      </c>
      <c r="D1151" s="10" t="n">
        <v>-0.00126105</v>
      </c>
      <c r="E1151" s="5" t="n">
        <f aca="false">E1150*(1+D1151)</f>
        <v>33842.3181446123</v>
      </c>
      <c r="F1151" s="4" t="n">
        <f aca="false">D1151*Varsayımlar!$B$3</f>
        <v>-0.0015763125</v>
      </c>
      <c r="G1151" s="5" t="n">
        <f aca="false">G1150*(1+F1151)</f>
        <v>64736.5715671416</v>
      </c>
    </row>
    <row r="1152" customFormat="false" ht="15" hidden="false" customHeight="false" outlineLevel="0" collapsed="false">
      <c r="A1152" s="3" t="n">
        <v>45912</v>
      </c>
      <c r="B1152" s="10" t="n">
        <v>-0.01176653</v>
      </c>
      <c r="C1152" s="5" t="n">
        <f aca="false">C1151*(1+B1152)</f>
        <v>17342.3109628545</v>
      </c>
      <c r="D1152" s="10" t="n">
        <v>0.01102315</v>
      </c>
      <c r="E1152" s="5" t="n">
        <f aca="false">E1151*(1+D1152)</f>
        <v>34215.3670938681</v>
      </c>
      <c r="F1152" s="4" t="n">
        <f aca="false">D1152*Varsayımlar!$B$3</f>
        <v>0.0137789375</v>
      </c>
      <c r="G1152" s="5" t="n">
        <f aca="false">G1151*(1+F1152)</f>
        <v>65628.5727407296</v>
      </c>
    </row>
    <row r="1153" customFormat="false" ht="15" hidden="false" customHeight="false" outlineLevel="0" collapsed="false">
      <c r="A1153" s="3" t="n">
        <v>45913</v>
      </c>
      <c r="B1153" s="10" t="n">
        <v>-0.00204503</v>
      </c>
      <c r="C1153" s="5" t="n">
        <f aca="false">C1152*(1+B1153)</f>
        <v>17306.8454166662</v>
      </c>
      <c r="D1153" s="10" t="n">
        <v>-0.00668168</v>
      </c>
      <c r="E1153" s="5" t="n">
        <f aca="false">E1152*(1+D1153)</f>
        <v>33986.7509598643</v>
      </c>
      <c r="F1153" s="4" t="n">
        <f aca="false">D1153*Varsayımlar!$B$3</f>
        <v>-0.0083521</v>
      </c>
      <c r="G1153" s="5" t="n">
        <f aca="false">G1152*(1+F1153)</f>
        <v>65080.4363383417</v>
      </c>
    </row>
    <row r="1154" customFormat="false" ht="15" hidden="false" customHeight="false" outlineLevel="0" collapsed="false">
      <c r="A1154" s="3" t="n">
        <v>45914</v>
      </c>
      <c r="B1154" s="10" t="n">
        <v>0.01022134</v>
      </c>
      <c r="C1154" s="5" t="n">
        <f aca="false">C1153*(1+B1154)</f>
        <v>17483.7445679973</v>
      </c>
      <c r="D1154" s="10" t="n">
        <v>0.01745923</v>
      </c>
      <c r="E1154" s="5" t="n">
        <f aca="false">E1153*(1+D1154)</f>
        <v>34580.1334618253</v>
      </c>
      <c r="F1154" s="4" t="n">
        <f aca="false">D1154*Varsayımlar!$B$3</f>
        <v>0.0218240375</v>
      </c>
      <c r="G1154" s="5" t="n">
        <f aca="false">G1153*(1+F1154)</f>
        <v>66500.7542215061</v>
      </c>
    </row>
    <row r="1155" customFormat="false" ht="15" hidden="false" customHeight="false" outlineLevel="0" collapsed="false">
      <c r="A1155" s="3" t="n">
        <v>45915</v>
      </c>
      <c r="B1155" s="10" t="n">
        <v>0.00562332</v>
      </c>
      <c r="C1155" s="5" t="n">
        <f aca="false">C1154*(1+B1155)</f>
        <v>17582.0612585015</v>
      </c>
      <c r="D1155" s="10" t="n">
        <v>0.01378408</v>
      </c>
      <c r="E1155" s="5" t="n">
        <f aca="false">E1154*(1+D1155)</f>
        <v>35056.7887878738</v>
      </c>
      <c r="F1155" s="4" t="n">
        <f aca="false">D1155*Varsayımlar!$B$3</f>
        <v>0.0172301</v>
      </c>
      <c r="G1155" s="5" t="n">
        <f aca="false">G1154*(1+F1155)</f>
        <v>67646.568866818</v>
      </c>
    </row>
    <row r="1156" customFormat="false" ht="15" hidden="false" customHeight="false" outlineLevel="0" collapsed="false">
      <c r="A1156" s="3" t="n">
        <v>45916</v>
      </c>
      <c r="B1156" s="10" t="n">
        <v>-0.00093647</v>
      </c>
      <c r="C1156" s="5" t="n">
        <f aca="false">C1155*(1+B1156)</f>
        <v>17565.5961855947</v>
      </c>
      <c r="D1156" s="10" t="n">
        <v>-0.00161828</v>
      </c>
      <c r="E1156" s="5" t="n">
        <f aca="false">E1155*(1+D1156)</f>
        <v>35000.0570877142</v>
      </c>
      <c r="F1156" s="4" t="n">
        <f aca="false">D1156*Varsayımlar!$B$3</f>
        <v>-0.00202285</v>
      </c>
      <c r="G1156" s="5" t="n">
        <f aca="false">G1155*(1+F1156)</f>
        <v>67509.7300049858</v>
      </c>
    </row>
    <row r="1157" customFormat="false" ht="15" hidden="false" customHeight="false" outlineLevel="0" collapsed="false">
      <c r="A1157" s="3" t="n">
        <v>45917</v>
      </c>
      <c r="B1157" s="10" t="n">
        <v>-0.0042415</v>
      </c>
      <c r="C1157" s="5" t="n">
        <f aca="false">C1156*(1+B1157)</f>
        <v>17491.0917093735</v>
      </c>
      <c r="D1157" s="10" t="n">
        <v>0.01665087</v>
      </c>
      <c r="E1157" s="5" t="n">
        <f aca="false">E1156*(1+D1157)</f>
        <v>35582.8384882743</v>
      </c>
      <c r="F1157" s="4" t="n">
        <f aca="false">D1157*Varsayımlar!$B$3</f>
        <v>0.0208135875</v>
      </c>
      <c r="G1157" s="5" t="n">
        <f aca="false">G1156*(1+F1157)</f>
        <v>68914.8496775459</v>
      </c>
    </row>
    <row r="1158" customFormat="false" ht="15" hidden="false" customHeight="false" outlineLevel="0" collapsed="false">
      <c r="A1158" s="3" t="n">
        <v>45918</v>
      </c>
      <c r="B1158" s="10" t="n">
        <v>0.0059851</v>
      </c>
      <c r="C1158" s="5" t="n">
        <f aca="false">C1157*(1+B1158)</f>
        <v>17595.7776423633</v>
      </c>
      <c r="D1158" s="10" t="n">
        <v>-0.00841624</v>
      </c>
      <c r="E1158" s="5" t="n">
        <f aca="false">E1157*(1+D1158)</f>
        <v>35283.3647796757</v>
      </c>
      <c r="F1158" s="4" t="n">
        <f aca="false">D1158*Varsayımlar!$B$3</f>
        <v>-0.0105203</v>
      </c>
      <c r="G1158" s="5" t="n">
        <f aca="false">G1157*(1+F1158)</f>
        <v>68189.8447844832</v>
      </c>
    </row>
    <row r="1159" customFormat="false" ht="15" hidden="false" customHeight="false" outlineLevel="0" collapsed="false">
      <c r="A1159" s="3" t="n">
        <v>45919</v>
      </c>
      <c r="B1159" s="10" t="n">
        <v>0.00543325</v>
      </c>
      <c r="C1159" s="5" t="n">
        <f aca="false">C1158*(1+B1159)</f>
        <v>17691.3799012387</v>
      </c>
      <c r="D1159" s="10" t="n">
        <v>0.00708946</v>
      </c>
      <c r="E1159" s="5" t="n">
        <f aca="false">E1158*(1+D1159)</f>
        <v>35533.5047829467</v>
      </c>
      <c r="F1159" s="4" t="n">
        <f aca="false">D1159*Varsayımlar!$B$3</f>
        <v>0.008861825</v>
      </c>
      <c r="G1159" s="5" t="n">
        <f aca="false">G1158*(1+F1159)</f>
        <v>68794.1312557405</v>
      </c>
    </row>
    <row r="1160" customFormat="false" ht="15" hidden="false" customHeight="false" outlineLevel="0" collapsed="false">
      <c r="A1160" s="3" t="n">
        <v>45920</v>
      </c>
      <c r="B1160" s="10" t="n">
        <v>0.01205218</v>
      </c>
      <c r="C1160" s="5" t="n">
        <f aca="false">C1159*(1+B1160)</f>
        <v>17904.5995962568</v>
      </c>
      <c r="D1160" s="10" t="n">
        <v>0.01123285</v>
      </c>
      <c r="E1160" s="5" t="n">
        <f aca="false">E1159*(1+D1160)</f>
        <v>35932.6473121478</v>
      </c>
      <c r="F1160" s="4" t="n">
        <f aca="false">D1160*Varsayımlar!$B$3</f>
        <v>0.0140410625</v>
      </c>
      <c r="G1160" s="5" t="n">
        <f aca="false">G1159*(1+F1160)</f>
        <v>69760.0739523355</v>
      </c>
    </row>
    <row r="1161" customFormat="false" ht="15" hidden="false" customHeight="false" outlineLevel="0" collapsed="false">
      <c r="A1161" s="3" t="n">
        <v>45921</v>
      </c>
      <c r="B1161" s="10" t="n">
        <v>-0.00232836</v>
      </c>
      <c r="C1161" s="5" t="n">
        <f aca="false">C1160*(1+B1161)</f>
        <v>17862.9112427408</v>
      </c>
      <c r="D1161" s="10" t="n">
        <v>-0.00427378</v>
      </c>
      <c r="E1161" s="5" t="n">
        <f aca="false">E1160*(1+D1161)</f>
        <v>35779.0790827181</v>
      </c>
      <c r="F1161" s="4" t="n">
        <f aca="false">D1161*Varsayımlar!$B$3</f>
        <v>-0.005342225</v>
      </c>
      <c r="G1161" s="5" t="n">
        <f aca="false">G1160*(1+F1161)</f>
        <v>69387.3999412655</v>
      </c>
    </row>
    <row r="1162" customFormat="false" ht="15" hidden="false" customHeight="false" outlineLevel="0" collapsed="false">
      <c r="A1162" s="3" t="n">
        <v>45922</v>
      </c>
      <c r="B1162" s="10" t="n">
        <v>-0.00165408</v>
      </c>
      <c r="C1162" s="5" t="n">
        <f aca="false">C1161*(1+B1162)</f>
        <v>17833.3645585124</v>
      </c>
      <c r="D1162" s="10" t="n">
        <v>0.0098405</v>
      </c>
      <c r="E1162" s="5" t="n">
        <f aca="false">E1161*(1+D1162)</f>
        <v>36131.1631104316</v>
      </c>
      <c r="F1162" s="4" t="n">
        <f aca="false">D1162*Varsayımlar!$B$3</f>
        <v>0.012300625</v>
      </c>
      <c r="G1162" s="5" t="n">
        <f aca="false">G1161*(1+F1162)</f>
        <v>70240.9083276681</v>
      </c>
    </row>
    <row r="1163" customFormat="false" ht="15" hidden="false" customHeight="false" outlineLevel="0" collapsed="false">
      <c r="A1163" s="3" t="n">
        <v>45923</v>
      </c>
      <c r="B1163" s="10" t="n">
        <v>0.00938705</v>
      </c>
      <c r="C1163" s="5" t="n">
        <f aca="false">C1162*(1+B1163)</f>
        <v>18000.7672432914</v>
      </c>
      <c r="D1163" s="10" t="n">
        <v>0.00869687</v>
      </c>
      <c r="E1163" s="5" t="n">
        <f aca="false">E1162*(1+D1163)</f>
        <v>36445.3911389518</v>
      </c>
      <c r="F1163" s="4" t="n">
        <f aca="false">D1163*Varsayımlar!$B$3</f>
        <v>0.0108710875</v>
      </c>
      <c r="G1163" s="5" t="n">
        <f aca="false">G1162*(1+F1163)</f>
        <v>71004.5033881776</v>
      </c>
    </row>
    <row r="1164" customFormat="false" ht="15" hidden="false" customHeight="false" outlineLevel="0" collapsed="false">
      <c r="A1164" s="3" t="n">
        <v>45924</v>
      </c>
      <c r="B1164" s="10" t="n">
        <v>-0.00647841</v>
      </c>
      <c r="C1164" s="5" t="n">
        <f aca="false">C1163*(1+B1164)</f>
        <v>17884.1508927748</v>
      </c>
      <c r="D1164" s="10" t="n">
        <v>0.0007015</v>
      </c>
      <c r="E1164" s="5" t="n">
        <f aca="false">E1163*(1+D1164)</f>
        <v>36470.9575808358</v>
      </c>
      <c r="F1164" s="4" t="n">
        <f aca="false">D1164*Varsayımlar!$B$3</f>
        <v>0.000876875</v>
      </c>
      <c r="G1164" s="5" t="n">
        <f aca="false">G1163*(1+F1164)</f>
        <v>71066.7654620861</v>
      </c>
    </row>
    <row r="1165" customFormat="false" ht="15" hidden="false" customHeight="false" outlineLevel="0" collapsed="false">
      <c r="A1165" s="3" t="n">
        <v>45925</v>
      </c>
      <c r="B1165" s="10" t="n">
        <v>-0.01088221</v>
      </c>
      <c r="C1165" s="5" t="n">
        <f aca="false">C1164*(1+B1165)</f>
        <v>17689.5318070879</v>
      </c>
      <c r="D1165" s="10" t="n">
        <v>-0.00686763</v>
      </c>
      <c r="E1165" s="5" t="n">
        <f aca="false">E1164*(1+D1165)</f>
        <v>36220.4885384249</v>
      </c>
      <c r="F1165" s="4" t="n">
        <f aca="false">D1165*Varsayımlar!$B$3</f>
        <v>-0.0085845375</v>
      </c>
      <c r="G1165" s="5" t="n">
        <f aca="false">G1164*(1+F1165)</f>
        <v>70456.6901489731</v>
      </c>
    </row>
    <row r="1166" customFormat="false" ht="15" hidden="false" customHeight="false" outlineLevel="0" collapsed="false">
      <c r="A1166" s="3" t="n">
        <v>45926</v>
      </c>
      <c r="B1166" s="10" t="n">
        <v>0.01372764</v>
      </c>
      <c r="C1166" s="5" t="n">
        <f aca="false">C1165*(1+B1166)</f>
        <v>17932.3673315042</v>
      </c>
      <c r="D1166" s="10" t="n">
        <v>0.01815614</v>
      </c>
      <c r="E1166" s="5" t="n">
        <f aca="false">E1165*(1+D1166)</f>
        <v>36878.1127991969</v>
      </c>
      <c r="F1166" s="4" t="n">
        <f aca="false">D1166*Varsayımlar!$B$3</f>
        <v>0.022695175</v>
      </c>
      <c r="G1166" s="5" t="n">
        <f aca="false">G1165*(1+F1166)</f>
        <v>72055.7170618249</v>
      </c>
    </row>
    <row r="1167" customFormat="false" ht="15" hidden="false" customHeight="false" outlineLevel="0" collapsed="false">
      <c r="A1167" s="3" t="n">
        <v>45927</v>
      </c>
      <c r="B1167" s="10" t="n">
        <v>-0.0024473</v>
      </c>
      <c r="C1167" s="5" t="n">
        <f aca="false">C1166*(1+B1167)</f>
        <v>17888.4814489338</v>
      </c>
      <c r="D1167" s="10" t="n">
        <v>-0.00646055</v>
      </c>
      <c r="E1167" s="5" t="n">
        <f aca="false">E1166*(1+D1167)</f>
        <v>36639.8599075521</v>
      </c>
      <c r="F1167" s="4" t="n">
        <f aca="false">D1167*Varsayımlar!$B$3</f>
        <v>-0.0080756875</v>
      </c>
      <c r="G1167" s="5" t="n">
        <f aca="false">G1166*(1+F1167)</f>
        <v>71473.8176082451</v>
      </c>
    </row>
    <row r="1168" customFormat="false" ht="15" hidden="false" customHeight="false" outlineLevel="0" collapsed="false">
      <c r="A1168" s="3" t="n">
        <v>45928</v>
      </c>
      <c r="B1168" s="10" t="n">
        <v>0.00458238</v>
      </c>
      <c r="C1168" s="5" t="n">
        <f aca="false">C1167*(1+B1168)</f>
        <v>17970.4532685558</v>
      </c>
      <c r="D1168" s="10" t="n">
        <v>0.00011925</v>
      </c>
      <c r="E1168" s="5" t="n">
        <f aca="false">E1167*(1+D1168)</f>
        <v>36644.229210846</v>
      </c>
      <c r="F1168" s="4" t="n">
        <f aca="false">D1168*Varsayımlar!$B$3</f>
        <v>0.0001490625</v>
      </c>
      <c r="G1168" s="5" t="n">
        <f aca="false">G1167*(1+F1168)</f>
        <v>71484.4716741824</v>
      </c>
    </row>
    <row r="1169" customFormat="false" ht="15" hidden="false" customHeight="false" outlineLevel="0" collapsed="false">
      <c r="A1169" s="3" t="n">
        <v>45929</v>
      </c>
      <c r="B1169" s="10" t="n">
        <v>0.00426983</v>
      </c>
      <c r="C1169" s="5" t="n">
        <f aca="false">C1168*(1+B1169)</f>
        <v>18047.1840490354</v>
      </c>
      <c r="D1169" s="10" t="n">
        <v>0.01585864</v>
      </c>
      <c r="E1169" s="5" t="n">
        <f aca="false">E1168*(1+D1169)</f>
        <v>37225.3568499783</v>
      </c>
      <c r="F1169" s="4" t="n">
        <f aca="false">D1169*Varsayımlar!$B$3</f>
        <v>0.0198233</v>
      </c>
      <c r="G1169" s="5" t="n">
        <f aca="false">G1168*(1+F1169)</f>
        <v>72901.5298015212</v>
      </c>
    </row>
    <row r="1170" customFormat="false" ht="15" hidden="false" customHeight="false" outlineLevel="0" collapsed="false">
      <c r="A1170" s="3" t="n">
        <v>45930</v>
      </c>
      <c r="B1170" s="10" t="n">
        <v>0.00765165</v>
      </c>
      <c r="C1170" s="5" t="n">
        <f aca="false">C1169*(1+B1170)</f>
        <v>18185.2747848642</v>
      </c>
      <c r="D1170" s="10" t="n">
        <v>0.02634798</v>
      </c>
      <c r="E1170" s="5" t="n">
        <f aca="false">E1169*(1+D1170)</f>
        <v>38206.1698077544</v>
      </c>
      <c r="F1170" s="4" t="n">
        <f aca="false">D1170*Varsayımlar!$B$3</f>
        <v>0.032934975</v>
      </c>
      <c r="G1170" s="5" t="n">
        <f aca="false">G1169*(1+F1170)</f>
        <v>75302.5398629961</v>
      </c>
    </row>
    <row r="1171" customFormat="false" ht="15" hidden="false" customHeight="false" outlineLevel="0" collapsed="false">
      <c r="A1171" s="3" t="n">
        <v>45931</v>
      </c>
      <c r="B1171" s="10" t="n">
        <v>0.00526845</v>
      </c>
      <c r="C1171" s="5" t="n">
        <f aca="false">C1170*(1+B1171)</f>
        <v>18281.0829958046</v>
      </c>
      <c r="D1171" s="10" t="n">
        <v>0.00802786</v>
      </c>
      <c r="E1171" s="5" t="n">
        <f aca="false">E1170*(1+D1171)</f>
        <v>38512.8835901073</v>
      </c>
      <c r="F1171" s="4" t="n">
        <f aca="false">D1171*Varsayımlar!$B$3</f>
        <v>0.010034825</v>
      </c>
      <c r="G1171" s="5" t="n">
        <f aca="false">G1170*(1+F1171)</f>
        <v>76058.1876725767</v>
      </c>
    </row>
    <row r="1172" customFormat="false" ht="15" hidden="false" customHeight="false" outlineLevel="0" collapsed="false">
      <c r="A1172" s="3" t="n">
        <v>45932</v>
      </c>
      <c r="B1172" s="10" t="n">
        <v>-0.02392851</v>
      </c>
      <c r="C1172" s="5" t="n">
        <f aca="false">C1171*(1+B1172)</f>
        <v>17843.6439185286</v>
      </c>
      <c r="D1172" s="10" t="n">
        <v>-0.02898035</v>
      </c>
      <c r="E1172" s="5" t="n">
        <f aca="false">E1171*(1+D1172)</f>
        <v>37396.7667441567</v>
      </c>
      <c r="F1172" s="4" t="n">
        <f aca="false">D1172*Varsayımlar!$B$3</f>
        <v>-0.0362254375</v>
      </c>
      <c r="G1172" s="5" t="n">
        <f aca="false">G1171*(1+F1172)</f>
        <v>73302.9465486805</v>
      </c>
    </row>
    <row r="1173" customFormat="false" ht="15" hidden="false" customHeight="false" outlineLevel="0" collapsed="false">
      <c r="A1173" s="3" t="n">
        <v>45933</v>
      </c>
      <c r="B1173" s="10" t="n">
        <v>-0.00094309</v>
      </c>
      <c r="C1173" s="5" t="n">
        <f aca="false">C1172*(1+B1173)</f>
        <v>17826.8157563855</v>
      </c>
      <c r="D1173" s="10" t="n">
        <v>0.0019994</v>
      </c>
      <c r="E1173" s="5" t="n">
        <f aca="false">E1172*(1+D1173)</f>
        <v>37471.537839585</v>
      </c>
      <c r="F1173" s="4" t="n">
        <f aca="false">D1173*Varsayımlar!$B$3</f>
        <v>0.00249925</v>
      </c>
      <c r="G1173" s="5" t="n">
        <f aca="false">G1172*(1+F1173)</f>
        <v>73486.1489378423</v>
      </c>
    </row>
    <row r="1174" customFormat="false" ht="15" hidden="false" customHeight="false" outlineLevel="0" collapsed="false">
      <c r="A1174" s="3" t="n">
        <v>45934</v>
      </c>
      <c r="B1174" s="10" t="n">
        <v>0.00862395</v>
      </c>
      <c r="C1174" s="5" t="n">
        <f aca="false">C1173*(1+B1174)</f>
        <v>17980.5533241278</v>
      </c>
      <c r="D1174" s="10" t="n">
        <v>0.01460666</v>
      </c>
      <c r="E1174" s="5" t="n">
        <f aca="false">E1173*(1+D1174)</f>
        <v>38018.871852485</v>
      </c>
      <c r="F1174" s="4" t="n">
        <f aca="false">D1174*Varsayımlar!$B$3</f>
        <v>0.018258325</v>
      </c>
      <c r="G1174" s="5" t="n">
        <f aca="false">G1173*(1+F1174)</f>
        <v>74827.8829281479</v>
      </c>
    </row>
    <row r="1175" customFormat="false" ht="15" hidden="false" customHeight="false" outlineLevel="0" collapsed="false">
      <c r="A1175" s="3" t="n">
        <v>45935</v>
      </c>
      <c r="B1175" s="10" t="n">
        <v>0.00311197</v>
      </c>
      <c r="C1175" s="5" t="n">
        <f aca="false">C1174*(1+B1175)</f>
        <v>18036.5082666559</v>
      </c>
      <c r="D1175" s="10" t="n">
        <v>0.00659592</v>
      </c>
      <c r="E1175" s="5" t="n">
        <f aca="false">E1174*(1+D1175)</f>
        <v>38269.6412897142</v>
      </c>
      <c r="F1175" s="4" t="n">
        <f aca="false">D1175*Varsayımlar!$B$3</f>
        <v>0.0082449</v>
      </c>
      <c r="G1175" s="5" t="n">
        <f aca="false">G1174*(1+F1175)</f>
        <v>75444.8313401022</v>
      </c>
    </row>
    <row r="1176" customFormat="false" ht="15" hidden="false" customHeight="false" outlineLevel="0" collapsed="false">
      <c r="A1176" s="3" t="n">
        <v>45936</v>
      </c>
      <c r="B1176" s="10" t="n">
        <v>-0.00369254</v>
      </c>
      <c r="C1176" s="5" t="n">
        <f aca="false">C1175*(1+B1176)</f>
        <v>17969.9077384209</v>
      </c>
      <c r="D1176" s="10" t="n">
        <v>-0.01177573</v>
      </c>
      <c r="E1176" s="5" t="n">
        <f aca="false">E1175*(1+D1176)</f>
        <v>37818.9883266897</v>
      </c>
      <c r="F1176" s="4" t="n">
        <f aca="false">D1176*Varsayımlar!$B$3</f>
        <v>-0.0147196625</v>
      </c>
      <c r="G1176" s="5" t="n">
        <f aca="false">G1175*(1+F1176)</f>
        <v>74334.3088854064</v>
      </c>
    </row>
    <row r="1177" customFormat="false" ht="15" hidden="false" customHeight="false" outlineLevel="0" collapsed="false">
      <c r="A1177" s="3" t="n">
        <v>45937</v>
      </c>
      <c r="B1177" s="10" t="n">
        <v>0.00557261</v>
      </c>
      <c r="C1177" s="5" t="n">
        <f aca="false">C1176*(1+B1177)</f>
        <v>18070.0470259831</v>
      </c>
      <c r="D1177" s="10" t="n">
        <v>0.00028222</v>
      </c>
      <c r="E1177" s="5" t="n">
        <f aca="false">E1176*(1+D1177)</f>
        <v>37829.6616015753</v>
      </c>
      <c r="F1177" s="4" t="n">
        <f aca="false">D1177*Varsayımlar!$B$3</f>
        <v>0.000352775</v>
      </c>
      <c r="G1177" s="5" t="n">
        <f aca="false">G1176*(1+F1177)</f>
        <v>74360.5321712235</v>
      </c>
    </row>
    <row r="1178" customFormat="false" ht="15" hidden="false" customHeight="false" outlineLevel="0" collapsed="false">
      <c r="A1178" s="3" t="n">
        <v>45938</v>
      </c>
      <c r="B1178" s="10" t="n">
        <v>0.02044439</v>
      </c>
      <c r="C1178" s="5" t="n">
        <f aca="false">C1177*(1+B1178)</f>
        <v>18439.4781147006</v>
      </c>
      <c r="D1178" s="10" t="n">
        <v>0.02188125</v>
      </c>
      <c r="E1178" s="5" t="n">
        <f aca="false">E1177*(1+D1178)</f>
        <v>38657.4218844947</v>
      </c>
      <c r="F1178" s="4" t="n">
        <f aca="false">D1178*Varsayımlar!$B$3</f>
        <v>0.0273515625</v>
      </c>
      <c r="G1178" s="5" t="n">
        <f aca="false">G1177*(1+F1178)</f>
        <v>76394.408914438</v>
      </c>
    </row>
    <row r="1179" customFormat="false" ht="15" hidden="false" customHeight="false" outlineLevel="0" collapsed="false">
      <c r="A1179" s="3" t="n">
        <v>45939</v>
      </c>
      <c r="B1179" s="10" t="n">
        <v>0.00739739</v>
      </c>
      <c r="C1179" s="5" t="n">
        <f aca="false">C1178*(1+B1179)</f>
        <v>18575.8821257115</v>
      </c>
      <c r="D1179" s="10" t="n">
        <v>0.02640841</v>
      </c>
      <c r="E1179" s="5" t="n">
        <f aca="false">E1178*(1+D1179)</f>
        <v>39678.3029311634</v>
      </c>
      <c r="F1179" s="4" t="n">
        <f aca="false">D1179*Varsayımlar!$B$3</f>
        <v>0.0330105125</v>
      </c>
      <c r="G1179" s="5" t="n">
        <f aca="false">G1178*(1+F1179)</f>
        <v>78916.2275048381</v>
      </c>
    </row>
    <row r="1180" customFormat="false" ht="15" hidden="false" customHeight="false" outlineLevel="0" collapsed="false">
      <c r="A1180" s="3" t="n">
        <v>45940</v>
      </c>
      <c r="B1180" s="10" t="n">
        <v>0.01859007</v>
      </c>
      <c r="C1180" s="5" t="n">
        <f aca="false">C1179*(1+B1180)</f>
        <v>18921.2090747403</v>
      </c>
      <c r="D1180" s="10" t="n">
        <v>0.02131689</v>
      </c>
      <c r="E1180" s="5" t="n">
        <f aca="false">E1179*(1+D1180)</f>
        <v>40524.1209501337</v>
      </c>
      <c r="F1180" s="4" t="n">
        <f aca="false">D1180*Varsayımlar!$B$3</f>
        <v>0.0266461125</v>
      </c>
      <c r="G1180" s="5" t="n">
        <f aca="false">G1179*(1+F1180)</f>
        <v>81019.0381810076</v>
      </c>
    </row>
    <row r="1181" customFormat="false" ht="15" hidden="false" customHeight="false" outlineLevel="0" collapsed="false">
      <c r="A1181" s="3" t="n">
        <v>45941</v>
      </c>
      <c r="B1181" s="10" t="n">
        <v>0.00446941</v>
      </c>
      <c r="C1181" s="5" t="n">
        <f aca="false">C1180*(1+B1181)</f>
        <v>19005.775715791</v>
      </c>
      <c r="D1181" s="10" t="n">
        <v>-0.00220097</v>
      </c>
      <c r="E1181" s="5" t="n">
        <f aca="false">E1180*(1+D1181)</f>
        <v>40434.9285756461</v>
      </c>
      <c r="F1181" s="4" t="n">
        <f aca="false">D1181*Varsayımlar!$B$3</f>
        <v>-0.0027512125</v>
      </c>
      <c r="G1181" s="5" t="n">
        <f aca="false">G1180*(1+F1181)</f>
        <v>80796.1375904261</v>
      </c>
    </row>
    <row r="1182" customFormat="false" ht="15" hidden="false" customHeight="false" outlineLevel="0" collapsed="false">
      <c r="A1182" s="3" t="n">
        <v>45942</v>
      </c>
      <c r="B1182" s="10" t="n">
        <v>0.01635734</v>
      </c>
      <c r="C1182" s="5" t="n">
        <f aca="false">C1181*(1+B1182)</f>
        <v>19316.6596511379</v>
      </c>
      <c r="D1182" s="10" t="n">
        <v>0.01405859</v>
      </c>
      <c r="E1182" s="5" t="n">
        <f aca="false">E1181*(1+D1182)</f>
        <v>41003.3866581704</v>
      </c>
      <c r="F1182" s="4" t="n">
        <f aca="false">D1182*Varsayımlar!$B$3</f>
        <v>0.0175732375</v>
      </c>
      <c r="G1182" s="5" t="n">
        <f aca="false">G1181*(1+F1182)</f>
        <v>82215.9873053853</v>
      </c>
    </row>
    <row r="1183" customFormat="false" ht="15" hidden="false" customHeight="false" outlineLevel="0" collapsed="false">
      <c r="A1183" s="3" t="n">
        <v>45943</v>
      </c>
      <c r="B1183" s="10" t="n">
        <v>0.0098087</v>
      </c>
      <c r="C1183" s="5" t="n">
        <f aca="false">C1182*(1+B1183)</f>
        <v>19506.1309706581</v>
      </c>
      <c r="D1183" s="10" t="n">
        <v>0.0087393</v>
      </c>
      <c r="E1183" s="5" t="n">
        <f aca="false">E1182*(1+D1183)</f>
        <v>41361.7275551922</v>
      </c>
      <c r="F1183" s="4" t="n">
        <f aca="false">D1183*Varsayımlar!$B$3</f>
        <v>0.010924125</v>
      </c>
      <c r="G1183" s="5" t="n">
        <f aca="false">G1182*(1+F1183)</f>
        <v>83114.1250277078</v>
      </c>
    </row>
    <row r="1184" customFormat="false" ht="15" hidden="false" customHeight="false" outlineLevel="0" collapsed="false">
      <c r="A1184" s="3" t="n">
        <v>45944</v>
      </c>
      <c r="B1184" s="10" t="n">
        <v>-0.00640781</v>
      </c>
      <c r="C1184" s="5" t="n">
        <f aca="false">C1183*(1+B1184)</f>
        <v>19381.139389563</v>
      </c>
      <c r="D1184" s="10" t="n">
        <v>-0.00410373</v>
      </c>
      <c r="E1184" s="5" t="n">
        <f aca="false">E1183*(1+D1184)</f>
        <v>41191.9901929721</v>
      </c>
      <c r="F1184" s="4" t="n">
        <f aca="false">D1184*Varsayımlar!$B$3</f>
        <v>-0.0051296625</v>
      </c>
      <c r="G1184" s="5" t="n">
        <f aca="false">G1183*(1+F1184)</f>
        <v>82687.7776173328</v>
      </c>
    </row>
    <row r="1185" customFormat="false" ht="15" hidden="false" customHeight="false" outlineLevel="0" collapsed="false">
      <c r="A1185" s="3" t="n">
        <v>45945</v>
      </c>
      <c r="B1185" s="10" t="n">
        <v>-0.00274189</v>
      </c>
      <c r="C1185" s="5" t="n">
        <f aca="false">C1184*(1+B1185)</f>
        <v>19327.9984372821</v>
      </c>
      <c r="D1185" s="10" t="n">
        <v>-0.01381752</v>
      </c>
      <c r="E1185" s="5" t="n">
        <f aca="false">E1184*(1+D1185)</f>
        <v>40622.8190446409</v>
      </c>
      <c r="F1185" s="4" t="n">
        <f aca="false">D1185*Varsayımlar!$B$3</f>
        <v>-0.0172719</v>
      </c>
      <c r="G1185" s="5" t="n">
        <f aca="false">G1184*(1+F1185)</f>
        <v>81259.602591104</v>
      </c>
    </row>
    <row r="1186" customFormat="false" ht="15" hidden="false" customHeight="false" outlineLevel="0" collapsed="false">
      <c r="A1186" s="3" t="n">
        <v>45946</v>
      </c>
      <c r="B1186" s="10" t="n">
        <v>-0.01092571</v>
      </c>
      <c r="C1186" s="5" t="n">
        <f aca="false">C1185*(1+B1186)</f>
        <v>19116.8263314759</v>
      </c>
      <c r="D1186" s="10" t="n">
        <v>-0.02650453</v>
      </c>
      <c r="E1186" s="5" t="n">
        <f aca="false">E1185*(1+D1186)</f>
        <v>39546.1303185876</v>
      </c>
      <c r="F1186" s="4" t="n">
        <f aca="false">D1186*Varsayımlar!$B$3</f>
        <v>-0.0331306625</v>
      </c>
      <c r="G1186" s="5" t="n">
        <f aca="false">G1185*(1+F1186)</f>
        <v>78567.418122774</v>
      </c>
    </row>
    <row r="1187" customFormat="false" ht="15" hidden="false" customHeight="false" outlineLevel="0" collapsed="false">
      <c r="A1187" s="3" t="n">
        <v>45947</v>
      </c>
      <c r="B1187" s="10" t="n">
        <v>0.00207912</v>
      </c>
      <c r="C1187" s="5" t="n">
        <f aca="false">C1186*(1+B1187)</f>
        <v>19156.5725074382</v>
      </c>
      <c r="D1187" s="10" t="n">
        <v>-0.00230934</v>
      </c>
      <c r="E1187" s="5" t="n">
        <f aca="false">E1186*(1+D1187)</f>
        <v>39454.8048579977</v>
      </c>
      <c r="F1187" s="4" t="n">
        <f aca="false">D1187*Varsayımlar!$B$3</f>
        <v>-0.002886675</v>
      </c>
      <c r="G1187" s="5" t="n">
        <f aca="false">G1186*(1+F1187)</f>
        <v>78340.6195210645</v>
      </c>
    </row>
    <row r="1188" customFormat="false" ht="15" hidden="false" customHeight="false" outlineLevel="0" collapsed="false">
      <c r="A1188" s="3" t="n">
        <v>45948</v>
      </c>
      <c r="B1188" s="10" t="n">
        <v>-0.00639057</v>
      </c>
      <c r="C1188" s="5" t="n">
        <f aca="false">C1187*(1+B1188)</f>
        <v>19034.1510898694</v>
      </c>
      <c r="D1188" s="10" t="n">
        <v>-0.00615239</v>
      </c>
      <c r="E1188" s="5" t="n">
        <f aca="false">E1187*(1+D1188)</f>
        <v>39212.0635111374</v>
      </c>
      <c r="F1188" s="4" t="n">
        <f aca="false">D1188*Varsayımlar!$B$3</f>
        <v>-0.0076904875</v>
      </c>
      <c r="G1188" s="5" t="n">
        <f aca="false">G1187*(1+F1188)</f>
        <v>77738.1419658955</v>
      </c>
    </row>
    <row r="1189" customFormat="false" ht="15" hidden="false" customHeight="false" outlineLevel="0" collapsed="false">
      <c r="A1189" s="3" t="n">
        <v>45949</v>
      </c>
      <c r="B1189" s="10" t="n">
        <v>0.00048507</v>
      </c>
      <c r="C1189" s="5" t="n">
        <f aca="false">C1188*(1+B1189)</f>
        <v>19043.3839855385</v>
      </c>
      <c r="D1189" s="10" t="n">
        <v>-0.00589697</v>
      </c>
      <c r="E1189" s="5" t="n">
        <f aca="false">E1188*(1+D1189)</f>
        <v>38980.8311489741</v>
      </c>
      <c r="F1189" s="4" t="n">
        <f aca="false">D1189*Varsayımlar!$B$3</f>
        <v>-0.0073712125</v>
      </c>
      <c r="G1189" s="5" t="n">
        <f aca="false">G1188*(1+F1189)</f>
        <v>77165.1176021097</v>
      </c>
    </row>
    <row r="1190" customFormat="false" ht="15" hidden="false" customHeight="false" outlineLevel="0" collapsed="false">
      <c r="A1190" s="3" t="n">
        <v>45950</v>
      </c>
      <c r="B1190" s="10" t="n">
        <v>-0.00441577</v>
      </c>
      <c r="C1190" s="5" t="n">
        <f aca="false">C1189*(1+B1190)</f>
        <v>18959.2927818367</v>
      </c>
      <c r="D1190" s="10" t="n">
        <v>0.00863289</v>
      </c>
      <c r="E1190" s="5" t="n">
        <f aca="false">E1189*(1+D1190)</f>
        <v>39317.3483763918</v>
      </c>
      <c r="F1190" s="4" t="n">
        <f aca="false">D1190*Varsayımlar!$B$3</f>
        <v>0.0107911125</v>
      </c>
      <c r="G1190" s="5" t="n">
        <f aca="false">G1189*(1+F1190)</f>
        <v>77997.8150672298</v>
      </c>
    </row>
    <row r="1191" customFormat="false" ht="15" hidden="false" customHeight="false" outlineLevel="0" collapsed="false">
      <c r="A1191" s="3" t="n">
        <v>45951</v>
      </c>
      <c r="B1191" s="10" t="n">
        <v>-0.00699307</v>
      </c>
      <c r="C1191" s="5" t="n">
        <f aca="false">C1190*(1+B1191)</f>
        <v>18826.7091202628</v>
      </c>
      <c r="D1191" s="10" t="n">
        <v>-0.00056922</v>
      </c>
      <c r="E1191" s="5" t="n">
        <f aca="false">E1190*(1+D1191)</f>
        <v>39294.968155349</v>
      </c>
      <c r="F1191" s="4" t="n">
        <f aca="false">D1191*Varsayımlar!$B$3</f>
        <v>-0.000711525</v>
      </c>
      <c r="G1191" s="5" t="n">
        <f aca="false">G1190*(1+F1191)</f>
        <v>77942.3176718641</v>
      </c>
    </row>
    <row r="1192" customFormat="false" ht="15" hidden="false" customHeight="false" outlineLevel="0" collapsed="false">
      <c r="A1192" s="3" t="n">
        <v>45952</v>
      </c>
      <c r="B1192" s="10" t="n">
        <v>-0.00924053</v>
      </c>
      <c r="C1192" s="5" t="n">
        <f aca="false">C1191*(1+B1192)</f>
        <v>18652.7403498358</v>
      </c>
      <c r="D1192" s="10" t="n">
        <v>-0.00788737</v>
      </c>
      <c r="E1192" s="5" t="n">
        <f aca="false">E1191*(1+D1192)</f>
        <v>38985.0342023695</v>
      </c>
      <c r="F1192" s="4" t="n">
        <f aca="false">D1192*Varsayımlar!$B$3</f>
        <v>-0.0098592125</v>
      </c>
      <c r="G1192" s="5" t="n">
        <f aca="false">G1191*(1+F1192)</f>
        <v>77173.8677991946</v>
      </c>
    </row>
    <row r="1193" customFormat="false" ht="15" hidden="false" customHeight="false" outlineLevel="0" collapsed="false">
      <c r="A1193" s="3" t="n">
        <v>45953</v>
      </c>
      <c r="B1193" s="10" t="n">
        <v>-0.00251221</v>
      </c>
      <c r="C1193" s="5" t="n">
        <f aca="false">C1192*(1+B1193)</f>
        <v>18605.8807490015</v>
      </c>
      <c r="D1193" s="10" t="n">
        <v>-0.00574635</v>
      </c>
      <c r="E1193" s="5" t="n">
        <f aca="false">E1192*(1+D1193)</f>
        <v>38761.0125510808</v>
      </c>
      <c r="F1193" s="4" t="n">
        <f aca="false">D1193*Varsayımlar!$B$3</f>
        <v>-0.0071829375</v>
      </c>
      <c r="G1193" s="5" t="n">
        <f aca="false">G1192*(1+F1193)</f>
        <v>76619.5327301598</v>
      </c>
    </row>
    <row r="1194" customFormat="false" ht="15" hidden="false" customHeight="false" outlineLevel="0" collapsed="false">
      <c r="A1194" s="3" t="n">
        <v>45954</v>
      </c>
      <c r="B1194" s="10" t="n">
        <v>0.00588995</v>
      </c>
      <c r="C1194" s="5" t="n">
        <f aca="false">C1193*(1+B1194)</f>
        <v>18715.4684563191</v>
      </c>
      <c r="D1194" s="10" t="n">
        <v>0.00886723</v>
      </c>
      <c r="E1194" s="5" t="n">
        <f aca="false">E1193*(1+D1194)</f>
        <v>39104.7153644041</v>
      </c>
      <c r="F1194" s="4" t="n">
        <f aca="false">D1194*Varsayımlar!$B$3</f>
        <v>0.0110840375</v>
      </c>
      <c r="G1194" s="5" t="n">
        <f aca="false">G1193*(1+F1194)</f>
        <v>77468.7865041733</v>
      </c>
    </row>
    <row r="1195" customFormat="false" ht="15" hidden="false" customHeight="false" outlineLevel="0" collapsed="false">
      <c r="A1195" s="3" t="n">
        <v>45955</v>
      </c>
      <c r="B1195" s="10" t="n">
        <v>-0.00533996</v>
      </c>
      <c r="C1195" s="5" t="n">
        <f aca="false">C1194*(1+B1195)</f>
        <v>18615.5286033811</v>
      </c>
      <c r="D1195" s="10" t="n">
        <v>-0.01422437</v>
      </c>
      <c r="E1195" s="5" t="n">
        <f aca="false">E1194*(1+D1195)</f>
        <v>38548.4754243161</v>
      </c>
      <c r="F1195" s="4" t="n">
        <f aca="false">D1195*Varsayımlar!$B$3</f>
        <v>-0.0177804625</v>
      </c>
      <c r="G1195" s="5" t="n">
        <f aca="false">G1194*(1+F1195)</f>
        <v>76091.3556508154</v>
      </c>
    </row>
    <row r="1196" customFormat="false" ht="15" hidden="false" customHeight="false" outlineLevel="0" collapsed="false">
      <c r="A1196" s="3" t="n">
        <v>45956</v>
      </c>
      <c r="B1196" s="10" t="n">
        <v>0.01377524</v>
      </c>
      <c r="C1196" s="5" t="n">
        <f aca="false">C1195*(1+B1196)</f>
        <v>18871.9619776195</v>
      </c>
      <c r="D1196" s="10" t="n">
        <v>0.00824958</v>
      </c>
      <c r="E1196" s="5" t="n">
        <f aca="false">E1195*(1+D1196)</f>
        <v>38866.484156207</v>
      </c>
      <c r="F1196" s="4" t="n">
        <f aca="false">D1196*Varsayımlar!$B$3</f>
        <v>0.010311975</v>
      </c>
      <c r="G1196" s="5" t="n">
        <f aca="false">G1195*(1+F1196)</f>
        <v>76876.0078080027</v>
      </c>
    </row>
    <row r="1197" customFormat="false" ht="15" hidden="false" customHeight="false" outlineLevel="0" collapsed="false">
      <c r="A1197" s="3" t="n">
        <v>45957</v>
      </c>
      <c r="B1197" s="10" t="n">
        <v>-0.0107234</v>
      </c>
      <c r="C1197" s="5" t="n">
        <f aca="false">C1196*(1+B1197)</f>
        <v>18669.5903805487</v>
      </c>
      <c r="D1197" s="10" t="n">
        <v>-0.02087757</v>
      </c>
      <c r="E1197" s="5" t="n">
        <f aca="false">E1196*(1+D1197)</f>
        <v>38055.0464125819</v>
      </c>
      <c r="F1197" s="4" t="n">
        <f aca="false">D1197*Varsayımlar!$B$3</f>
        <v>-0.0260969625</v>
      </c>
      <c r="G1197" s="5" t="n">
        <f aca="false">G1196*(1+F1197)</f>
        <v>74869.7775150875</v>
      </c>
    </row>
    <row r="1198" customFormat="false" ht="15" hidden="false" customHeight="false" outlineLevel="0" collapsed="false">
      <c r="A1198" s="3" t="n">
        <v>45958</v>
      </c>
      <c r="B1198" s="10" t="n">
        <v>-0.00496035</v>
      </c>
      <c r="C1198" s="5" t="n">
        <f aca="false">C1197*(1+B1198)</f>
        <v>18576.9826779046</v>
      </c>
      <c r="D1198" s="10" t="n">
        <v>-0.01192571</v>
      </c>
      <c r="E1198" s="5" t="n">
        <f aca="false">E1197*(1+D1198)</f>
        <v>37601.2129650289</v>
      </c>
      <c r="F1198" s="4" t="n">
        <f aca="false">D1198*Varsayımlar!$B$3</f>
        <v>-0.0149071375</v>
      </c>
      <c r="G1198" s="5" t="n">
        <f aca="false">G1197*(1+F1198)</f>
        <v>73753.6834470757</v>
      </c>
    </row>
    <row r="1199" customFormat="false" ht="15" hidden="false" customHeight="false" outlineLevel="0" collapsed="false">
      <c r="A1199" s="3" t="n">
        <v>45959</v>
      </c>
      <c r="B1199" s="10" t="n">
        <v>0.00895666</v>
      </c>
      <c r="C1199" s="5" t="n">
        <f aca="false">C1198*(1+B1199)</f>
        <v>18743.3703955764</v>
      </c>
      <c r="D1199" s="10" t="n">
        <v>0.01355342</v>
      </c>
      <c r="E1199" s="5" t="n">
        <f aca="false">E1198*(1+D1199)</f>
        <v>38110.8379968534</v>
      </c>
      <c r="F1199" s="4" t="n">
        <f aca="false">D1199*Varsayımlar!$B$3</f>
        <v>0.016941775</v>
      </c>
      <c r="G1199" s="5" t="n">
        <f aca="false">G1198*(1+F1199)</f>
        <v>75003.2017574573</v>
      </c>
    </row>
    <row r="1200" customFormat="false" ht="15" hidden="false" customHeight="false" outlineLevel="0" collapsed="false">
      <c r="A1200" s="3" t="n">
        <v>45960</v>
      </c>
      <c r="B1200" s="10" t="n">
        <v>-0.00198475</v>
      </c>
      <c r="C1200" s="5" t="n">
        <f aca="false">C1199*(1+B1200)</f>
        <v>18706.1694911838</v>
      </c>
      <c r="D1200" s="10" t="n">
        <v>-0.01190799</v>
      </c>
      <c r="E1200" s="5" t="n">
        <f aca="false">E1199*(1+D1200)</f>
        <v>37657.0145190953</v>
      </c>
      <c r="F1200" s="4" t="n">
        <f aca="false">D1200*Varsayımlar!$B$3</f>
        <v>-0.0148849875</v>
      </c>
      <c r="G1200" s="5" t="n">
        <f aca="false">G1199*(1+F1200)</f>
        <v>73886.7800368376</v>
      </c>
    </row>
    <row r="1201" customFormat="false" ht="15" hidden="false" customHeight="false" outlineLevel="0" collapsed="false">
      <c r="A1201" s="3" t="n">
        <v>45961</v>
      </c>
      <c r="B1201" s="10" t="n">
        <v>0.01957651</v>
      </c>
      <c r="C1201" s="5" t="n">
        <f aca="false">C1200*(1+B1201)</f>
        <v>19072.3710052897</v>
      </c>
      <c r="D1201" s="10" t="n">
        <v>0.01480874</v>
      </c>
      <c r="E1201" s="5" t="n">
        <f aca="false">E1200*(1+D1201)</f>
        <v>38214.6674562848</v>
      </c>
      <c r="F1201" s="4" t="n">
        <f aca="false">D1201*Varsayımlar!$B$3</f>
        <v>0.018510925</v>
      </c>
      <c r="G1201" s="5" t="n">
        <f aca="false">G1200*(1+F1201)</f>
        <v>75254.4926805909</v>
      </c>
    </row>
    <row r="1202" customFormat="false" ht="15" hidden="false" customHeight="false" outlineLevel="0" collapsed="false">
      <c r="A1202" s="3" t="n">
        <v>45962</v>
      </c>
      <c r="B1202" s="10" t="n">
        <v>0.01925933</v>
      </c>
      <c r="C1202" s="5" t="n">
        <f aca="false">C1201*(1+B1202)</f>
        <v>19439.692092363</v>
      </c>
      <c r="D1202" s="10" t="n">
        <v>0.00617427</v>
      </c>
      <c r="E1202" s="5" t="n">
        <f aca="false">E1201*(1+D1202)</f>
        <v>38450.6151311201</v>
      </c>
      <c r="F1202" s="4" t="n">
        <f aca="false">D1202*Varsayımlar!$B$3</f>
        <v>0.0077178375</v>
      </c>
      <c r="G1202" s="5" t="n">
        <f aca="false">G1201*(1+F1202)</f>
        <v>75835.2946262447</v>
      </c>
    </row>
    <row r="1203" customFormat="false" ht="15" hidden="false" customHeight="false" outlineLevel="0" collapsed="false">
      <c r="A1203" s="3" t="n">
        <v>45963</v>
      </c>
      <c r="B1203" s="10" t="n">
        <v>-0.00599776</v>
      </c>
      <c r="C1203" s="5" t="n">
        <f aca="false">C1202*(1+B1203)</f>
        <v>19323.0974847191</v>
      </c>
      <c r="D1203" s="10" t="n">
        <v>0.0012057</v>
      </c>
      <c r="E1203" s="5" t="n">
        <f aca="false">E1202*(1+D1203)</f>
        <v>38496.9750377837</v>
      </c>
      <c r="F1203" s="4" t="n">
        <f aca="false">D1203*Varsayımlar!$B$3</f>
        <v>0.001507125</v>
      </c>
      <c r="G1203" s="5" t="n">
        <f aca="false">G1202*(1+F1203)</f>
        <v>75949.5878946583</v>
      </c>
    </row>
    <row r="1204" customFormat="false" ht="15" hidden="false" customHeight="false" outlineLevel="0" collapsed="false">
      <c r="A1204" s="3" t="n">
        <v>45964</v>
      </c>
      <c r="B1204" s="10" t="n">
        <v>0.02094112</v>
      </c>
      <c r="C1204" s="5" t="n">
        <f aca="false">C1203*(1+B1204)</f>
        <v>19727.7447879183</v>
      </c>
      <c r="D1204" s="10" t="n">
        <v>0.02199426</v>
      </c>
      <c r="E1204" s="5" t="n">
        <f aca="false">E1203*(1+D1204)</f>
        <v>39343.6875159782</v>
      </c>
      <c r="F1204" s="4" t="n">
        <f aca="false">D1204*Varsayımlar!$B$3</f>
        <v>0.027492825</v>
      </c>
      <c r="G1204" s="5" t="n">
        <f aca="false">G1203*(1+F1204)</f>
        <v>78037.6566234682</v>
      </c>
    </row>
    <row r="1205" customFormat="false" ht="15" hidden="false" customHeight="false" outlineLevel="0" collapsed="false">
      <c r="A1205" s="3" t="n">
        <v>45965</v>
      </c>
      <c r="B1205" s="10" t="n">
        <v>0.01870564</v>
      </c>
      <c r="C1205" s="5" t="n">
        <f aca="false">C1204*(1+B1205)</f>
        <v>20096.764879933</v>
      </c>
      <c r="D1205" s="10" t="n">
        <v>0.02647557</v>
      </c>
      <c r="E1205" s="5" t="n">
        <f aca="false">E1204*(1+D1205)</f>
        <v>40385.3340688656</v>
      </c>
      <c r="F1205" s="4" t="n">
        <f aca="false">D1205*Varsayımlar!$B$3</f>
        <v>0.0330944625</v>
      </c>
      <c r="G1205" s="5" t="n">
        <f aca="false">G1204*(1+F1205)</f>
        <v>80620.2709241815</v>
      </c>
    </row>
    <row r="1206" customFormat="false" ht="15" hidden="false" customHeight="false" outlineLevel="0" collapsed="false">
      <c r="A1206" s="3" t="n">
        <v>45966</v>
      </c>
      <c r="B1206" s="10" t="n">
        <v>0.00796228</v>
      </c>
      <c r="C1206" s="5" t="n">
        <f aca="false">C1205*(1+B1206)</f>
        <v>20256.7809490012</v>
      </c>
      <c r="D1206" s="10" t="n">
        <v>0.01034409</v>
      </c>
      <c r="E1206" s="5" t="n">
        <f aca="false">E1205*(1+D1206)</f>
        <v>40803.083599154</v>
      </c>
      <c r="F1206" s="4" t="n">
        <f aca="false">D1206*Varsayımlar!$B$3</f>
        <v>0.0129301125</v>
      </c>
      <c r="G1206" s="5" t="n">
        <f aca="false">G1205*(1+F1206)</f>
        <v>81662.7000970116</v>
      </c>
    </row>
    <row r="1207" customFormat="false" ht="15" hidden="false" customHeight="false" outlineLevel="0" collapsed="false">
      <c r="A1207" s="3" t="n">
        <v>45967</v>
      </c>
      <c r="B1207" s="10" t="n">
        <v>0.0292926</v>
      </c>
      <c r="C1207" s="5" t="n">
        <f aca="false">C1206*(1+B1207)</f>
        <v>20850.1547306279</v>
      </c>
      <c r="D1207" s="10" t="n">
        <v>0.03517332</v>
      </c>
      <c r="E1207" s="5" t="n">
        <f aca="false">E1206*(1+D1207)</f>
        <v>42238.2635155738</v>
      </c>
      <c r="F1207" s="4" t="n">
        <f aca="false">D1207*Varsayımlar!$B$3</f>
        <v>0.04396665</v>
      </c>
      <c r="G1207" s="5" t="n">
        <f aca="false">G1206*(1+F1207)</f>
        <v>85253.1354502319</v>
      </c>
    </row>
    <row r="1208" customFormat="false" ht="15" hidden="false" customHeight="false" outlineLevel="0" collapsed="false">
      <c r="A1208" s="3" t="n">
        <v>45968</v>
      </c>
      <c r="B1208" s="10" t="n">
        <v>0.01392723</v>
      </c>
      <c r="C1208" s="5" t="n">
        <f aca="false">C1207*(1+B1208)</f>
        <v>21140.5396310969</v>
      </c>
      <c r="D1208" s="10" t="n">
        <v>0.02326184</v>
      </c>
      <c r="E1208" s="5" t="n">
        <f aca="false">E1207*(1+D1208)</f>
        <v>43220.8032433509</v>
      </c>
      <c r="F1208" s="4" t="n">
        <f aca="false">D1208*Varsayımlar!$B$3</f>
        <v>0.0290773</v>
      </c>
      <c r="G1208" s="5" t="n">
        <f aca="false">G1207*(1+F1208)</f>
        <v>87732.0664456589</v>
      </c>
    </row>
    <row r="1209" customFormat="false" ht="15" hidden="false" customHeight="false" outlineLevel="0" collapsed="false">
      <c r="A1209" s="3" t="n">
        <v>45969</v>
      </c>
      <c r="B1209" s="10" t="n">
        <v>-0.00770414</v>
      </c>
      <c r="C1209" s="5" t="n">
        <f aca="false">C1208*(1+B1209)</f>
        <v>20977.6699541034</v>
      </c>
      <c r="D1209" s="10" t="n">
        <v>-0.01108539</v>
      </c>
      <c r="E1209" s="5" t="n">
        <f aca="false">E1208*(1+D1209)</f>
        <v>42741.6837832851</v>
      </c>
      <c r="F1209" s="4" t="n">
        <f aca="false">D1209*Varsayımlar!$B$3</f>
        <v>-0.0138567375</v>
      </c>
      <c r="G1209" s="5" t="n">
        <f aca="false">G1208*(1+F1209)</f>
        <v>86516.3862305889</v>
      </c>
    </row>
    <row r="1210" customFormat="false" ht="15" hidden="false" customHeight="false" outlineLevel="0" collapsed="false">
      <c r="A1210" s="3" t="n">
        <v>45970</v>
      </c>
      <c r="B1210" s="10" t="n">
        <v>-0.01206176</v>
      </c>
      <c r="C1210" s="5" t="n">
        <f aca="false">C1209*(1+B1210)</f>
        <v>20724.6423337578</v>
      </c>
      <c r="D1210" s="10" t="n">
        <v>-0.0003992</v>
      </c>
      <c r="E1210" s="5" t="n">
        <f aca="false">E1209*(1+D1210)</f>
        <v>42724.6213031188</v>
      </c>
      <c r="F1210" s="4" t="n">
        <f aca="false">D1210*Varsayımlar!$B$3</f>
        <v>-0.000499</v>
      </c>
      <c r="G1210" s="5" t="n">
        <f aca="false">G1209*(1+F1210)</f>
        <v>86473.2145538598</v>
      </c>
    </row>
    <row r="1211" customFormat="false" ht="15" hidden="false" customHeight="false" outlineLevel="0" collapsed="false">
      <c r="A1211" s="3" t="n">
        <v>45971</v>
      </c>
      <c r="B1211" s="10" t="n">
        <v>-0.03371409</v>
      </c>
      <c r="C1211" s="5" t="n">
        <f aca="false">C1210*(1+B1211)</f>
        <v>20025.9298768997</v>
      </c>
      <c r="D1211" s="10" t="n">
        <v>-0.03180648</v>
      </c>
      <c r="E1211" s="5" t="n">
        <f aca="false">E1210*(1+D1211)</f>
        <v>41365.7014901336</v>
      </c>
      <c r="F1211" s="4" t="n">
        <f aca="false">D1211*Varsayımlar!$B$3</f>
        <v>-0.0397581</v>
      </c>
      <c r="G1211" s="5" t="n">
        <f aca="false">G1210*(1+F1211)</f>
        <v>83035.203842306</v>
      </c>
    </row>
    <row r="1212" customFormat="false" ht="15" hidden="false" customHeight="false" outlineLevel="0" collapsed="false">
      <c r="A1212" s="3" t="n">
        <v>45972</v>
      </c>
      <c r="B1212" s="10" t="n">
        <v>0.01573323</v>
      </c>
      <c r="C1212" s="5" t="n">
        <f aca="false">C1211*(1+B1212)</f>
        <v>20341.0024376168</v>
      </c>
      <c r="D1212" s="10" t="n">
        <v>0.00417234</v>
      </c>
      <c r="E1212" s="5" t="n">
        <f aca="false">E1211*(1+D1212)</f>
        <v>41538.293261089</v>
      </c>
      <c r="F1212" s="4" t="n">
        <f aca="false">D1212*Varsayımlar!$B$3</f>
        <v>0.005215425</v>
      </c>
      <c r="G1212" s="5" t="n">
        <f aca="false">G1211*(1+F1212)</f>
        <v>83468.2677203053</v>
      </c>
    </row>
    <row r="1213" customFormat="false" ht="15" hidden="false" customHeight="false" outlineLevel="0" collapsed="false">
      <c r="A1213" s="3" t="n">
        <v>45973</v>
      </c>
      <c r="B1213" s="10" t="n">
        <v>0.01342583</v>
      </c>
      <c r="C1213" s="5" t="n">
        <f aca="false">C1212*(1+B1213)</f>
        <v>20614.0972783738</v>
      </c>
      <c r="D1213" s="10" t="n">
        <v>0.00589979</v>
      </c>
      <c r="E1213" s="5" t="n">
        <f aca="false">E1212*(1+D1213)</f>
        <v>41783.3604682878</v>
      </c>
      <c r="F1213" s="4" t="n">
        <f aca="false">D1213*Varsayımlar!$B$3</f>
        <v>0.0073747375</v>
      </c>
      <c r="G1213" s="5" t="n">
        <f aca="false">G1212*(1+F1213)</f>
        <v>84083.8242843222</v>
      </c>
    </row>
    <row r="1214" customFormat="false" ht="15" hidden="false" customHeight="false" outlineLevel="0" collapsed="false">
      <c r="A1214" s="3" t="n">
        <v>45974</v>
      </c>
      <c r="B1214" s="10" t="n">
        <v>0.01929096</v>
      </c>
      <c r="C1214" s="5" t="n">
        <f aca="false">C1213*(1+B1214)</f>
        <v>21011.7630044071</v>
      </c>
      <c r="D1214" s="10" t="n">
        <v>0.01723058</v>
      </c>
      <c r="E1214" s="5" t="n">
        <f aca="false">E1213*(1+D1214)</f>
        <v>42503.3120035055</v>
      </c>
      <c r="F1214" s="4" t="n">
        <f aca="false">D1214*Varsayımlar!$B$3</f>
        <v>0.021538225</v>
      </c>
      <c r="G1214" s="5" t="n">
        <f aca="false">G1213*(1+F1214)</f>
        <v>85894.8406106184</v>
      </c>
    </row>
    <row r="1215" customFormat="false" ht="15" hidden="false" customHeight="false" outlineLevel="0" collapsed="false">
      <c r="A1215" s="3" t="n">
        <v>45975</v>
      </c>
      <c r="B1215" s="10" t="n">
        <v>0.01407221</v>
      </c>
      <c r="C1215" s="5" t="n">
        <f aca="false">C1214*(1+B1215)</f>
        <v>21307.4449458753</v>
      </c>
      <c r="D1215" s="10" t="n">
        <v>0.00390856</v>
      </c>
      <c r="E1215" s="5" t="n">
        <f aca="false">E1214*(1+D1215)</f>
        <v>42669.4387486699</v>
      </c>
      <c r="F1215" s="4" t="n">
        <f aca="false">D1215*Varsayımlar!$B$3</f>
        <v>0.0048857</v>
      </c>
      <c r="G1215" s="5" t="n">
        <f aca="false">G1214*(1+F1215)</f>
        <v>86314.4970333897</v>
      </c>
    </row>
    <row r="1216" customFormat="false" ht="15" hidden="false" customHeight="false" outlineLevel="0" collapsed="false">
      <c r="A1216" s="3" t="n">
        <v>45976</v>
      </c>
      <c r="B1216" s="10" t="n">
        <v>0.00171121</v>
      </c>
      <c r="C1216" s="5" t="n">
        <f aca="false">C1215*(1+B1216)</f>
        <v>21343.9064587411</v>
      </c>
      <c r="D1216" s="10" t="n">
        <v>-0.0009589</v>
      </c>
      <c r="E1216" s="5" t="n">
        <f aca="false">E1215*(1+D1216)</f>
        <v>42628.5230238538</v>
      </c>
      <c r="F1216" s="4" t="n">
        <f aca="false">D1216*Varsayımlar!$B$3</f>
        <v>-0.001198625</v>
      </c>
      <c r="G1216" s="5" t="n">
        <f aca="false">G1215*(1+F1216)</f>
        <v>86211.0383193831</v>
      </c>
    </row>
    <row r="1217" customFormat="false" ht="15" hidden="false" customHeight="false" outlineLevel="0" collapsed="false">
      <c r="A1217" s="3" t="n">
        <v>45977</v>
      </c>
      <c r="B1217" s="10" t="n">
        <v>0.03350263</v>
      </c>
      <c r="C1217" s="5" t="n">
        <f aca="false">C1216*(1+B1217)</f>
        <v>22058.983459583</v>
      </c>
      <c r="D1217" s="10" t="n">
        <v>0.06415715</v>
      </c>
      <c r="E1217" s="5" t="n">
        <f aca="false">E1216*(1+D1217)</f>
        <v>45363.4475697736</v>
      </c>
      <c r="F1217" s="4" t="n">
        <f aca="false">D1217*Varsayımlar!$B$3</f>
        <v>0.0801964375</v>
      </c>
      <c r="G1217" s="5" t="n">
        <f aca="false">G1216*(1+F1217)</f>
        <v>93124.8564657736</v>
      </c>
    </row>
    <row r="1218" customFormat="false" ht="15" hidden="false" customHeight="false" outlineLevel="0" collapsed="false">
      <c r="A1218" s="3" t="n">
        <v>45978</v>
      </c>
      <c r="B1218" s="10" t="n">
        <v>0.01046063</v>
      </c>
      <c r="C1218" s="5" t="n">
        <f aca="false">C1217*(1+B1218)</f>
        <v>22289.7343237298</v>
      </c>
      <c r="D1218" s="10" t="n">
        <v>0.00300303</v>
      </c>
      <c r="E1218" s="5" t="n">
        <f aca="false">E1217*(1+D1218)</f>
        <v>45499.6753637291</v>
      </c>
      <c r="F1218" s="4" t="n">
        <f aca="false">D1218*Varsayımlar!$B$3</f>
        <v>0.0037537875</v>
      </c>
      <c r="G1218" s="5" t="n">
        <f aca="false">G1217*(1+F1218)</f>
        <v>93474.4273879141</v>
      </c>
    </row>
    <row r="1219" customFormat="false" ht="15" hidden="false" customHeight="false" outlineLevel="0" collapsed="false">
      <c r="A1219" s="3" t="n">
        <v>45979</v>
      </c>
      <c r="B1219" s="10" t="n">
        <v>-0.00565227</v>
      </c>
      <c r="C1219" s="5" t="n">
        <f aca="false">C1218*(1+B1219)</f>
        <v>22163.7467271038</v>
      </c>
      <c r="D1219" s="10" t="n">
        <v>-0.00906178</v>
      </c>
      <c r="E1219" s="5" t="n">
        <f aca="false">E1218*(1+D1219)</f>
        <v>45087.3673155116</v>
      </c>
      <c r="F1219" s="4" t="n">
        <f aca="false">D1219*Varsayımlar!$B$3</f>
        <v>-0.011327225</v>
      </c>
      <c r="G1219" s="5" t="n">
        <f aca="false">G1218*(1+F1219)</f>
        <v>92415.621517145</v>
      </c>
    </row>
    <row r="1220" customFormat="false" ht="15" hidden="false" customHeight="false" outlineLevel="0" collapsed="false">
      <c r="A1220" s="3" t="n">
        <v>45980</v>
      </c>
      <c r="B1220" s="10" t="n">
        <v>-0.00423999</v>
      </c>
      <c r="C1220" s="5" t="n">
        <f aca="false">C1219*(1+B1220)</f>
        <v>22069.7726626183</v>
      </c>
      <c r="D1220" s="10" t="n">
        <v>-0.00900767</v>
      </c>
      <c r="E1220" s="5" t="n">
        <f aca="false">E1219*(1+D1220)</f>
        <v>44681.2351895646</v>
      </c>
      <c r="F1220" s="4" t="n">
        <f aca="false">D1220*Varsayımlar!$B$3</f>
        <v>-0.0112595875</v>
      </c>
      <c r="G1220" s="5" t="n">
        <f aca="false">G1219*(1+F1220)</f>
        <v>91375.0597403059</v>
      </c>
    </row>
    <row r="1221" customFormat="false" ht="15" hidden="false" customHeight="false" outlineLevel="0" collapsed="false">
      <c r="A1221" s="3" t="n">
        <v>45981</v>
      </c>
      <c r="B1221" s="10" t="n">
        <v>-0.01036586</v>
      </c>
      <c r="C1221" s="5" t="n">
        <f aca="false">C1220*(1+B1221)</f>
        <v>21841.0004889658</v>
      </c>
      <c r="D1221" s="10" t="n">
        <v>0.00790173</v>
      </c>
      <c r="E1221" s="5" t="n">
        <f aca="false">E1220*(1+D1221)</f>
        <v>45034.2942460991</v>
      </c>
      <c r="F1221" s="4" t="n">
        <f aca="false">D1221*Varsayımlar!$B$3</f>
        <v>0.0098771625</v>
      </c>
      <c r="G1221" s="5" t="n">
        <f aca="false">G1220*(1+F1221)</f>
        <v>92277.5860538081</v>
      </c>
    </row>
    <row r="1222" customFormat="false" ht="15" hidden="false" customHeight="false" outlineLevel="0" collapsed="false">
      <c r="A1222" s="3" t="n">
        <v>45982</v>
      </c>
      <c r="B1222" s="10" t="n">
        <v>-0.00897343</v>
      </c>
      <c r="C1222" s="5" t="n">
        <f aca="false">C1221*(1+B1222)</f>
        <v>21645.0117999481</v>
      </c>
      <c r="D1222" s="10" t="n">
        <v>-0.01517637</v>
      </c>
      <c r="E1222" s="5" t="n">
        <f aca="false">E1221*(1+D1222)</f>
        <v>44350.8371339314</v>
      </c>
      <c r="F1222" s="4" t="n">
        <f aca="false">D1222*Varsayımlar!$B$3</f>
        <v>-0.0189704625</v>
      </c>
      <c r="G1222" s="5" t="n">
        <f aca="false">G1221*(1+F1222)</f>
        <v>90527.0375679838</v>
      </c>
    </row>
    <row r="1223" customFormat="false" ht="15" hidden="false" customHeight="false" outlineLevel="0" collapsed="false">
      <c r="A1223" s="3" t="n">
        <v>45983</v>
      </c>
      <c r="B1223" s="10" t="n">
        <v>-0.02238577</v>
      </c>
      <c r="C1223" s="5" t="n">
        <f aca="false">C1222*(1+B1223)</f>
        <v>21160.4715441472</v>
      </c>
      <c r="D1223" s="10" t="n">
        <v>-0.02439494</v>
      </c>
      <c r="E1223" s="5" t="n">
        <f aca="false">E1222*(1+D1223)</f>
        <v>43268.9011230994</v>
      </c>
      <c r="F1223" s="4" t="n">
        <f aca="false">D1223*Varsayımlar!$B$3</f>
        <v>-0.030493675</v>
      </c>
      <c r="G1223" s="5" t="n">
        <f aca="false">G1222*(1+F1223)</f>
        <v>87766.5355056729</v>
      </c>
    </row>
    <row r="1224" customFormat="false" ht="15" hidden="false" customHeight="false" outlineLevel="0" collapsed="false">
      <c r="A1224" s="3" t="n">
        <v>45984</v>
      </c>
      <c r="B1224" s="10" t="n">
        <v>0.02391338</v>
      </c>
      <c r="C1224" s="5" t="n">
        <f aca="false">C1223*(1+B1224)</f>
        <v>21666.4899411616</v>
      </c>
      <c r="D1224" s="10" t="n">
        <v>0.04507881</v>
      </c>
      <c r="E1224" s="5" t="n">
        <f aca="false">E1223*(1+D1224)</f>
        <v>45219.4116957364</v>
      </c>
      <c r="F1224" s="4" t="n">
        <f aca="false">D1224*Varsayımlar!$B$3</f>
        <v>0.0563485125</v>
      </c>
      <c r="G1224" s="5" t="n">
        <f aca="false">G1223*(1+F1224)</f>
        <v>92712.049228696</v>
      </c>
    </row>
    <row r="1225" customFormat="false" ht="15" hidden="false" customHeight="false" outlineLevel="0" collapsed="false">
      <c r="A1225" s="3" t="n">
        <v>45985</v>
      </c>
      <c r="B1225" s="10" t="n">
        <v>-0.01265804</v>
      </c>
      <c r="C1225" s="5" t="n">
        <f aca="false">C1224*(1+B1225)</f>
        <v>21392.2346448267</v>
      </c>
      <c r="D1225" s="10" t="n">
        <v>0.00084991</v>
      </c>
      <c r="E1225" s="5" t="n">
        <f aca="false">E1224*(1+D1225)</f>
        <v>45257.8441259307</v>
      </c>
      <c r="F1225" s="4" t="n">
        <f aca="false">D1225*Varsayımlar!$B$3</f>
        <v>0.0010623875</v>
      </c>
      <c r="G1225" s="5" t="n">
        <f aca="false">G1224*(1+F1225)</f>
        <v>92810.545350896</v>
      </c>
    </row>
    <row r="1226" customFormat="false" ht="15" hidden="false" customHeight="false" outlineLevel="0" collapsed="false">
      <c r="A1226" s="3" t="n">
        <v>45986</v>
      </c>
      <c r="B1226" s="10" t="n">
        <v>0.00058134</v>
      </c>
      <c r="C1226" s="5" t="n">
        <f aca="false">C1225*(1+B1226)</f>
        <v>21404.6708065152</v>
      </c>
      <c r="D1226" s="10" t="n">
        <v>-0.00657335</v>
      </c>
      <c r="E1226" s="5" t="n">
        <f aca="false">E1225*(1+D1226)</f>
        <v>44960.3484762455</v>
      </c>
      <c r="F1226" s="4" t="n">
        <f aca="false">D1226*Varsayımlar!$B$3</f>
        <v>-0.0082166875</v>
      </c>
      <c r="G1226" s="5" t="n">
        <f aca="false">G1225*(1+F1226)</f>
        <v>92047.9501030431</v>
      </c>
    </row>
    <row r="1227" customFormat="false" ht="15" hidden="false" customHeight="false" outlineLevel="0" collapsed="false">
      <c r="A1227" s="3" t="n">
        <v>45987</v>
      </c>
      <c r="B1227" s="10" t="n">
        <v>0.01280378</v>
      </c>
      <c r="C1227" s="5" t="n">
        <f aca="false">C1226*(1+B1227)</f>
        <v>21678.7315024942</v>
      </c>
      <c r="D1227" s="10" t="n">
        <v>0.01913944</v>
      </c>
      <c r="E1227" s="5" t="n">
        <f aca="false">E1226*(1+D1227)</f>
        <v>45820.8643682857</v>
      </c>
      <c r="F1227" s="4" t="n">
        <f aca="false">D1227*Varsayımlar!$B$3</f>
        <v>0.0239243</v>
      </c>
      <c r="G1227" s="5" t="n">
        <f aca="false">G1226*(1+F1227)</f>
        <v>94250.1328756933</v>
      </c>
    </row>
    <row r="1228" customFormat="false" ht="15" hidden="false" customHeight="false" outlineLevel="0" collapsed="false">
      <c r="A1228" s="3" t="n">
        <v>45988</v>
      </c>
      <c r="B1228" s="10" t="n">
        <v>-0.0104425</v>
      </c>
      <c r="C1228" s="5" t="n">
        <f aca="false">C1227*(1+B1228)</f>
        <v>21452.3513487794</v>
      </c>
      <c r="D1228" s="10" t="n">
        <v>-0.00922743</v>
      </c>
      <c r="E1228" s="5" t="n">
        <f aca="false">E1227*(1+D1228)</f>
        <v>45398.0555497878</v>
      </c>
      <c r="F1228" s="4" t="n">
        <f aca="false">D1228*Varsayımlar!$B$3</f>
        <v>-0.0115342875</v>
      </c>
      <c r="G1228" s="5" t="n">
        <f aca="false">G1227*(1+F1228)</f>
        <v>93163.0247461919</v>
      </c>
    </row>
    <row r="1229" customFormat="false" ht="15" hidden="false" customHeight="false" outlineLevel="0" collapsed="false">
      <c r="A1229" s="3" t="n">
        <v>45989</v>
      </c>
      <c r="B1229" s="10" t="n">
        <v>0.00313583</v>
      </c>
      <c r="C1229" s="5" t="n">
        <f aca="false">C1228*(1+B1229)</f>
        <v>21519.6222757095</v>
      </c>
      <c r="D1229" s="10" t="n">
        <v>-0.00291182</v>
      </c>
      <c r="E1229" s="5" t="n">
        <f aca="false">E1228*(1+D1229)</f>
        <v>45265.8645836769</v>
      </c>
      <c r="F1229" s="4" t="n">
        <f aca="false">D1229*Varsayımlar!$B$3</f>
        <v>-0.003639775</v>
      </c>
      <c r="G1229" s="5" t="n">
        <f aca="false">G1228*(1+F1229)</f>
        <v>92823.9322977963</v>
      </c>
    </row>
    <row r="1230" customFormat="false" ht="15" hidden="false" customHeight="false" outlineLevel="0" collapsed="false">
      <c r="A1230" s="3" t="n">
        <v>45990</v>
      </c>
      <c r="B1230" s="10" t="n">
        <v>-0.00028738</v>
      </c>
      <c r="C1230" s="5" t="n">
        <f aca="false">C1229*(1+B1230)</f>
        <v>21513.4379666599</v>
      </c>
      <c r="D1230" s="10" t="n">
        <v>0.02406747</v>
      </c>
      <c r="E1230" s="5" t="n">
        <f aca="false">E1229*(1+D1230)</f>
        <v>46355.2994215686</v>
      </c>
      <c r="F1230" s="4" t="n">
        <f aca="false">D1230*Varsayımlar!$B$3</f>
        <v>0.0300843375</v>
      </c>
      <c r="G1230" s="5" t="n">
        <f aca="false">G1229*(1+F1230)</f>
        <v>95616.4788051203</v>
      </c>
    </row>
    <row r="1231" customFormat="false" ht="15" hidden="false" customHeight="false" outlineLevel="0" collapsed="false">
      <c r="A1231" s="3" t="n">
        <v>45991</v>
      </c>
      <c r="B1231" s="10" t="n">
        <v>0.00099934</v>
      </c>
      <c r="C1231" s="5" t="n">
        <f aca="false">C1230*(1+B1231)</f>
        <v>21534.9372057575</v>
      </c>
      <c r="D1231" s="10" t="n">
        <v>0.02591731</v>
      </c>
      <c r="E1231" s="5" t="n">
        <f aca="false">E1230*(1+D1231)</f>
        <v>47556.7040868202</v>
      </c>
      <c r="F1231" s="4" t="n">
        <f aca="false">D1231*Varsayımlar!$B$3</f>
        <v>0.0323966375</v>
      </c>
      <c r="G1231" s="5" t="n">
        <f aca="false">G1230*(1+F1231)</f>
        <v>98714.1312079962</v>
      </c>
    </row>
    <row r="1232" customFormat="false" ht="15" hidden="false" customHeight="false" outlineLevel="0" collapsed="false">
      <c r="A1232" s="3" t="n">
        <v>45992</v>
      </c>
      <c r="B1232" s="10" t="n">
        <v>0.01912841</v>
      </c>
      <c r="C1232" s="5" t="n">
        <f aca="false">C1231*(1+B1232)</f>
        <v>21946.8663139534</v>
      </c>
      <c r="D1232" s="10" t="n">
        <v>0.02239689</v>
      </c>
      <c r="E1232" s="5" t="n">
        <f aca="false">E1231*(1+D1232)</f>
        <v>48621.8263570152</v>
      </c>
      <c r="F1232" s="4" t="n">
        <f aca="false">D1232*Varsayımlar!$B$3</f>
        <v>0.0279961125</v>
      </c>
      <c r="G1232" s="5" t="n">
        <f aca="false">G1231*(1+F1232)</f>
        <v>101477.743130635</v>
      </c>
    </row>
    <row r="1233" customFormat="false" ht="15" hidden="false" customHeight="false" outlineLevel="0" collapsed="false">
      <c r="A1233" s="3" t="n">
        <v>45993</v>
      </c>
      <c r="B1233" s="10" t="n">
        <v>-0.01862859</v>
      </c>
      <c r="C1233" s="5" t="n">
        <f aca="false">C1232*(1+B1233)</f>
        <v>21538.027139606</v>
      </c>
      <c r="D1233" s="10" t="n">
        <v>-0.0154035</v>
      </c>
      <c r="E1233" s="5" t="n">
        <f aca="false">E1232*(1+D1233)</f>
        <v>47872.880054725</v>
      </c>
      <c r="F1233" s="4" t="n">
        <f aca="false">D1233*Varsayımlar!$B$3</f>
        <v>-0.019254375</v>
      </c>
      <c r="G1233" s="5" t="n">
        <f aca="false">G1232*(1+F1233)</f>
        <v>99523.8526102441</v>
      </c>
    </row>
    <row r="1234" customFormat="false" ht="15" hidden="false" customHeight="false" outlineLevel="0" collapsed="false">
      <c r="A1234" s="3" t="n">
        <v>45994</v>
      </c>
      <c r="B1234" s="10" t="n">
        <v>-0.01033073</v>
      </c>
      <c r="C1234" s="5" t="n">
        <f aca="false">C1233*(1+B1234)</f>
        <v>21315.5235964941</v>
      </c>
      <c r="D1234" s="10" t="n">
        <v>-0.0137428</v>
      </c>
      <c r="E1234" s="5" t="n">
        <f aca="false">E1233*(1+D1234)</f>
        <v>47214.9726387089</v>
      </c>
      <c r="F1234" s="4" t="n">
        <f aca="false">D1234*Varsayımlar!$B$3</f>
        <v>-0.0171785</v>
      </c>
      <c r="G1234" s="5" t="n">
        <f aca="false">G1233*(1+F1234)</f>
        <v>97814.182108179</v>
      </c>
    </row>
    <row r="1235" customFormat="false" ht="15" hidden="false" customHeight="false" outlineLevel="0" collapsed="false">
      <c r="A1235" s="3" t="n">
        <v>45995</v>
      </c>
      <c r="B1235" s="10" t="n">
        <v>0.01490772</v>
      </c>
      <c r="C1235" s="5" t="n">
        <f aca="false">C1234*(1+B1235)</f>
        <v>21633.289453924</v>
      </c>
      <c r="D1235" s="10" t="n">
        <v>0.01045117</v>
      </c>
      <c r="E1235" s="5" t="n">
        <f aca="false">E1234*(1+D1235)</f>
        <v>47708.4243443014</v>
      </c>
      <c r="F1235" s="4" t="n">
        <f aca="false">D1235*Varsayımlar!$B$3</f>
        <v>0.0130639625</v>
      </c>
      <c r="G1235" s="5" t="n">
        <f aca="false">G1234*(1+F1235)</f>
        <v>99092.0229152085</v>
      </c>
    </row>
    <row r="1236" customFormat="false" ht="15" hidden="false" customHeight="false" outlineLevel="0" collapsed="false">
      <c r="A1236" s="3" t="n">
        <v>45996</v>
      </c>
      <c r="B1236" s="10" t="n">
        <v>0.02082484</v>
      </c>
      <c r="C1236" s="5" t="n">
        <f aca="false">C1235*(1+B1236)</f>
        <v>22083.7992454756</v>
      </c>
      <c r="D1236" s="10" t="n">
        <v>0.02574086</v>
      </c>
      <c r="E1236" s="5" t="n">
        <f aca="false">E1235*(1+D1236)</f>
        <v>48936.4802161686</v>
      </c>
      <c r="F1236" s="4" t="n">
        <f aca="false">D1236*Varsayımlar!$B$3</f>
        <v>0.032176075</v>
      </c>
      <c r="G1236" s="5" t="n">
        <f aca="false">G1235*(1+F1236)</f>
        <v>102280.41527643</v>
      </c>
    </row>
    <row r="1237" customFormat="false" ht="15" hidden="false" customHeight="false" outlineLevel="0" collapsed="false">
      <c r="A1237" s="3" t="n">
        <v>45997</v>
      </c>
      <c r="B1237" s="10" t="n">
        <v>0.04712142</v>
      </c>
      <c r="C1237" s="5" t="n">
        <f aca="false">C1236*(1+B1237)</f>
        <v>23124.4192249174</v>
      </c>
      <c r="D1237" s="10" t="n">
        <v>0.06247134</v>
      </c>
      <c r="E1237" s="5" t="n">
        <f aca="false">E1236*(1+D1237)</f>
        <v>51993.6077101562</v>
      </c>
      <c r="F1237" s="4" t="n">
        <f aca="false">D1237*Varsayımlar!$B$3</f>
        <v>0.078089175</v>
      </c>
      <c r="G1237" s="5" t="n">
        <f aca="false">G1236*(1+F1237)</f>
        <v>110267.408524024</v>
      </c>
    </row>
    <row r="1238" customFormat="false" ht="15" hidden="false" customHeight="false" outlineLevel="0" collapsed="false">
      <c r="A1238" s="3" t="n">
        <v>45998</v>
      </c>
      <c r="B1238" s="10" t="n">
        <v>-0.02076167</v>
      </c>
      <c r="C1238" s="5" t="n">
        <f aca="false">C1237*(1+B1238)</f>
        <v>22644.317664028</v>
      </c>
      <c r="D1238" s="10" t="n">
        <v>-0.02938267</v>
      </c>
      <c r="E1238" s="5" t="n">
        <f aca="false">E1237*(1+D1238)</f>
        <v>50465.8966926992</v>
      </c>
      <c r="F1238" s="4" t="n">
        <f aca="false">D1238*Varsayımlar!$B$3</f>
        <v>-0.0367283375</v>
      </c>
      <c r="G1238" s="5" t="n">
        <f aca="false">G1237*(1+F1238)</f>
        <v>106217.469928503</v>
      </c>
    </row>
    <row r="1239" customFormat="false" ht="15" hidden="false" customHeight="false" outlineLevel="0" collapsed="false">
      <c r="A1239" s="3" t="n">
        <v>45999</v>
      </c>
      <c r="B1239" s="10" t="n">
        <v>0.02521615</v>
      </c>
      <c r="C1239" s="5" t="n">
        <f aca="false">C1238*(1+B1239)</f>
        <v>23215.3201748918</v>
      </c>
      <c r="D1239" s="10" t="n">
        <v>0.02762302</v>
      </c>
      <c r="E1239" s="5" t="n">
        <f aca="false">E1238*(1+D1239)</f>
        <v>51859.9171663596</v>
      </c>
      <c r="F1239" s="4" t="n">
        <f aca="false">D1239*Varsayımlar!$B$3</f>
        <v>0.034528775</v>
      </c>
      <c r="G1239" s="5" t="n">
        <f aca="false">G1238*(1+F1239)</f>
        <v>109885.029048734</v>
      </c>
    </row>
    <row r="1240" customFormat="false" ht="15" hidden="false" customHeight="false" outlineLevel="0" collapsed="false">
      <c r="A1240" s="3" t="n">
        <v>46000</v>
      </c>
      <c r="B1240" s="10" t="n">
        <v>0.03202987</v>
      </c>
      <c r="C1240" s="5" t="n">
        <f aca="false">C1239*(1+B1240)</f>
        <v>23958.9038621019</v>
      </c>
      <c r="D1240" s="10" t="n">
        <v>0.06473963</v>
      </c>
      <c r="E1240" s="5" t="n">
        <f aca="false">E1239*(1+D1240)</f>
        <v>55217.3090155404</v>
      </c>
      <c r="F1240" s="4" t="n">
        <f aca="false">D1240*Varsayımlar!$B$3</f>
        <v>0.0809245375</v>
      </c>
      <c r="G1240" s="5" t="n">
        <f aca="false">G1239*(1+F1240)</f>
        <v>118777.424202676</v>
      </c>
    </row>
    <row r="1241" customFormat="false" ht="15" hidden="false" customHeight="false" outlineLevel="0" collapsed="false">
      <c r="A1241" s="3" t="n">
        <v>46001</v>
      </c>
      <c r="B1241" s="10" t="n">
        <v>0.00649719</v>
      </c>
      <c r="C1241" s="5" t="n">
        <f aca="false">C1240*(1+B1241)</f>
        <v>24114.5694126857</v>
      </c>
      <c r="D1241" s="10" t="n">
        <v>0.01984063</v>
      </c>
      <c r="E1241" s="5" t="n">
        <f aca="false">E1240*(1+D1241)</f>
        <v>56312.8552133134</v>
      </c>
      <c r="F1241" s="4" t="n">
        <f aca="false">D1241*Varsayımlar!$B$3</f>
        <v>0.0248007875</v>
      </c>
      <c r="G1241" s="5" t="n">
        <f aca="false">G1240*(1+F1241)</f>
        <v>121723.197860124</v>
      </c>
    </row>
    <row r="1242" customFormat="false" ht="15" hidden="false" customHeight="false" outlineLevel="0" collapsed="false">
      <c r="A1242" s="3" t="n">
        <v>46002</v>
      </c>
      <c r="B1242" s="10" t="n">
        <v>-0.00648967</v>
      </c>
      <c r="C1242" s="5" t="n">
        <f aca="false">C1241*(1+B1242)</f>
        <v>23958.0738150053</v>
      </c>
      <c r="D1242" s="10" t="n">
        <v>-0.00443212</v>
      </c>
      <c r="E1242" s="5" t="n">
        <f aca="false">E1241*(1+D1242)</f>
        <v>56063.2698814653</v>
      </c>
      <c r="F1242" s="4" t="n">
        <f aca="false">D1242*Varsayımlar!$B$3</f>
        <v>-0.00554015</v>
      </c>
      <c r="G1242" s="5" t="n">
        <f aca="false">G1241*(1+F1242)</f>
        <v>121048.8330855</v>
      </c>
    </row>
    <row r="1243" customFormat="false" ht="15" hidden="false" customHeight="false" outlineLevel="0" collapsed="false">
      <c r="A1243" s="3" t="n">
        <v>46003</v>
      </c>
      <c r="B1243" s="10" t="n">
        <v>0.00147291</v>
      </c>
      <c r="C1243" s="5" t="n">
        <f aca="false">C1242*(1+B1243)</f>
        <v>23993.3619015082</v>
      </c>
      <c r="D1243" s="10" t="n">
        <v>-0.00651992</v>
      </c>
      <c r="E1243" s="5" t="n">
        <f aca="false">E1242*(1+D1243)</f>
        <v>55697.7418468998</v>
      </c>
      <c r="F1243" s="4" t="n">
        <f aca="false">D1243*Varsayımlar!$B$3</f>
        <v>-0.0081499</v>
      </c>
      <c r="G1243" s="5" t="n">
        <f aca="false">G1242*(1+F1243)</f>
        <v>120062.297200736</v>
      </c>
    </row>
    <row r="1244" customFormat="false" ht="15" hidden="false" customHeight="false" outlineLevel="0" collapsed="false">
      <c r="A1244" s="3" t="n">
        <v>46004</v>
      </c>
      <c r="B1244" s="10" t="n">
        <v>-0.01793831</v>
      </c>
      <c r="C1244" s="5" t="n">
        <f aca="false">C1243*(1+B1244)</f>
        <v>23562.9615377767</v>
      </c>
      <c r="D1244" s="10" t="n">
        <v>-0.00937745</v>
      </c>
      <c r="E1244" s="5" t="n">
        <f aca="false">E1243*(1+D1244)</f>
        <v>55175.4390576175</v>
      </c>
      <c r="F1244" s="4" t="n">
        <f aca="false">D1244*Varsayımlar!$B$3</f>
        <v>-0.0117218125</v>
      </c>
      <c r="G1244" s="5" t="n">
        <f aca="false">G1243*(1+F1244)</f>
        <v>118654.94946463</v>
      </c>
    </row>
    <row r="1245" customFormat="false" ht="15" hidden="false" customHeight="false" outlineLevel="0" collapsed="false">
      <c r="A1245" s="3" t="n">
        <v>46005</v>
      </c>
      <c r="B1245" s="10" t="n">
        <v>0.01244166</v>
      </c>
      <c r="C1245" s="5" t="n">
        <f aca="false">C1244*(1+B1245)</f>
        <v>23856.1238938228</v>
      </c>
      <c r="D1245" s="10" t="n">
        <v>0.0289284</v>
      </c>
      <c r="E1245" s="5" t="n">
        <f aca="false">E1244*(1+D1245)</f>
        <v>56771.5762288519</v>
      </c>
      <c r="F1245" s="4" t="n">
        <f aca="false">D1245*Varsayımlar!$B$3</f>
        <v>0.0361605</v>
      </c>
      <c r="G1245" s="5" t="n">
        <f aca="false">G1244*(1+F1245)</f>
        <v>122945.571764745</v>
      </c>
    </row>
    <row r="1246" customFormat="false" ht="15" hidden="false" customHeight="false" outlineLevel="0" collapsed="false">
      <c r="A1246" s="3" t="n">
        <v>46006</v>
      </c>
      <c r="B1246" s="10" t="n">
        <v>0.00224714</v>
      </c>
      <c r="C1246" s="5" t="n">
        <f aca="false">C1245*(1+B1246)</f>
        <v>23909.7319440696</v>
      </c>
      <c r="D1246" s="10" t="n">
        <v>0.00908142</v>
      </c>
      <c r="E1246" s="5" t="n">
        <f aca="false">E1245*(1+D1246)</f>
        <v>57287.1427566482</v>
      </c>
      <c r="F1246" s="4" t="n">
        <f aca="false">D1246*Varsayımlar!$B$3</f>
        <v>0.011351775</v>
      </c>
      <c r="G1246" s="5" t="n">
        <f aca="false">G1245*(1+F1246)</f>
        <v>124341.222232665</v>
      </c>
    </row>
    <row r="1247" customFormat="false" ht="15" hidden="false" customHeight="false" outlineLevel="0" collapsed="false">
      <c r="A1247" s="3" t="n">
        <v>46007</v>
      </c>
      <c r="B1247" s="10" t="n">
        <v>-0.00618735</v>
      </c>
      <c r="C1247" s="5" t="n">
        <f aca="false">C1246*(1+B1247)</f>
        <v>23761.7940641254</v>
      </c>
      <c r="D1247" s="10" t="n">
        <v>-0.01910248</v>
      </c>
      <c r="E1247" s="5" t="n">
        <f aca="false">E1246*(1+D1247)</f>
        <v>56192.8162578821</v>
      </c>
      <c r="F1247" s="4" t="n">
        <f aca="false">D1247*Varsayımlar!$B$3</f>
        <v>-0.0238781</v>
      </c>
      <c r="G1247" s="5" t="n">
        <f aca="false">G1246*(1+F1247)</f>
        <v>121372.190094071</v>
      </c>
    </row>
    <row r="1248" customFormat="false" ht="15" hidden="false" customHeight="false" outlineLevel="0" collapsed="false">
      <c r="A1248" s="3" t="n">
        <v>46008</v>
      </c>
      <c r="B1248" s="10" t="n">
        <v>0.02458308</v>
      </c>
      <c r="C1248" s="5" t="n">
        <f aca="false">C1247*(1+B1248)</f>
        <v>24345.9321485474</v>
      </c>
      <c r="D1248" s="10" t="n">
        <v>0.03645114</v>
      </c>
      <c r="E1248" s="5" t="n">
        <f aca="false">E1247*(1+D1248)</f>
        <v>58241.1084702925</v>
      </c>
      <c r="F1248" s="4" t="n">
        <f aca="false">D1248*Varsayımlar!$B$3</f>
        <v>0.045563925</v>
      </c>
      <c r="G1248" s="5" t="n">
        <f aca="false">G1247*(1+F1248)</f>
        <v>126902.383460603</v>
      </c>
    </row>
    <row r="1249" customFormat="false" ht="15" hidden="false" customHeight="false" outlineLevel="0" collapsed="false">
      <c r="A1249" s="3" t="n">
        <v>46009</v>
      </c>
      <c r="B1249" s="10" t="n">
        <v>0.00858427</v>
      </c>
      <c r="C1249" s="5" t="n">
        <f aca="false">C1248*(1+B1249)</f>
        <v>24554.9242035122</v>
      </c>
      <c r="D1249" s="10" t="n">
        <v>0.00872386</v>
      </c>
      <c r="E1249" s="5" t="n">
        <f aca="false">E1248*(1+D1249)</f>
        <v>58749.1957468321</v>
      </c>
      <c r="F1249" s="4" t="n">
        <f aca="false">D1249*Varsayımlar!$B$3</f>
        <v>0.010904825</v>
      </c>
      <c r="G1249" s="5" t="n">
        <f aca="false">G1248*(1+F1249)</f>
        <v>128286.231744324</v>
      </c>
    </row>
    <row r="1250" customFormat="false" ht="15" hidden="false" customHeight="false" outlineLevel="0" collapsed="false">
      <c r="A1250" s="3" t="n">
        <v>46010</v>
      </c>
      <c r="B1250" s="10" t="n">
        <v>-0.00669966</v>
      </c>
      <c r="C1250" s="5" t="n">
        <f aca="false">C1249*(1+B1250)</f>
        <v>24390.4145600229</v>
      </c>
      <c r="D1250" s="10" t="n">
        <v>0.00106533</v>
      </c>
      <c r="E1250" s="5" t="n">
        <f aca="false">E1249*(1+D1250)</f>
        <v>58811.7830275371</v>
      </c>
      <c r="F1250" s="4" t="n">
        <f aca="false">D1250*Varsayımlar!$B$3</f>
        <v>0.0013316625</v>
      </c>
      <c r="G1250" s="5" t="n">
        <f aca="false">G1249*(1+F1250)</f>
        <v>128457.065708404</v>
      </c>
    </row>
    <row r="1251" customFormat="false" ht="15" hidden="false" customHeight="false" outlineLevel="0" collapsed="false">
      <c r="A1251" s="3" t="n">
        <v>46011</v>
      </c>
      <c r="B1251" s="10" t="n">
        <v>0.00310694</v>
      </c>
      <c r="C1251" s="5" t="n">
        <f aca="false">C1250*(1+B1251)</f>
        <v>24466.194114636</v>
      </c>
      <c r="D1251" s="10" t="n">
        <v>0.01123006</v>
      </c>
      <c r="E1251" s="5" t="n">
        <f aca="false">E1250*(1+D1251)</f>
        <v>59472.2428796433</v>
      </c>
      <c r="F1251" s="4" t="n">
        <f aca="false">D1251*Varsayımlar!$B$3</f>
        <v>0.014037575</v>
      </c>
      <c r="G1251" s="5" t="n">
        <f aca="false">G1250*(1+F1251)</f>
        <v>130260.291402566</v>
      </c>
    </row>
    <row r="1252" customFormat="false" ht="15" hidden="false" customHeight="false" outlineLevel="0" collapsed="false">
      <c r="A1252" s="3" t="n">
        <v>46012</v>
      </c>
      <c r="B1252" s="10" t="n">
        <v>-0.00611211</v>
      </c>
      <c r="C1252" s="5" t="n">
        <f aca="false">C1251*(1+B1252)</f>
        <v>24316.654044926</v>
      </c>
      <c r="D1252" s="10" t="n">
        <v>-0.03165711</v>
      </c>
      <c r="E1252" s="5" t="n">
        <f aca="false">E1251*(1+D1252)</f>
        <v>57589.5235448557</v>
      </c>
      <c r="F1252" s="4" t="n">
        <f aca="false">D1252*Varsayımlar!$B$3</f>
        <v>-0.0395713875</v>
      </c>
      <c r="G1252" s="5" t="n">
        <f aca="false">G1251*(1+F1252)</f>
        <v>125105.710935612</v>
      </c>
    </row>
    <row r="1253" customFormat="false" ht="15" hidden="false" customHeight="false" outlineLevel="0" collapsed="false">
      <c r="A1253" s="3" t="n">
        <v>46013</v>
      </c>
      <c r="B1253" s="10" t="n">
        <v>0.00392568</v>
      </c>
      <c r="C1253" s="5" t="n">
        <f aca="false">C1252*(1+B1253)</f>
        <v>24412.1134473771</v>
      </c>
      <c r="D1253" s="10" t="n">
        <v>-0.00794606</v>
      </c>
      <c r="E1253" s="5" t="n">
        <f aca="false">E1252*(1+D1253)</f>
        <v>57131.9137353969</v>
      </c>
      <c r="F1253" s="4" t="n">
        <f aca="false">D1253*Varsayımlar!$B$3</f>
        <v>-0.009932575</v>
      </c>
      <c r="G1253" s="5" t="n">
        <f aca="false">G1252*(1+F1253)</f>
        <v>123863.089078816</v>
      </c>
    </row>
    <row r="1254" customFormat="false" ht="15" hidden="false" customHeight="false" outlineLevel="0" collapsed="false">
      <c r="A1254" s="3" t="n">
        <v>46014</v>
      </c>
      <c r="B1254" s="10" t="n">
        <v>0.05057219</v>
      </c>
      <c r="C1254" s="5" t="n">
        <f aca="false">C1253*(1+B1254)</f>
        <v>25646.6874869394</v>
      </c>
      <c r="D1254" s="10" t="n">
        <v>0.0574098</v>
      </c>
      <c r="E1254" s="5" t="n">
        <f aca="false">E1253*(1+D1254)</f>
        <v>60411.8454765633</v>
      </c>
      <c r="F1254" s="4" t="n">
        <f aca="false">D1254*Varsayımlar!$B$3</f>
        <v>0.07176225</v>
      </c>
      <c r="G1254" s="5" t="n">
        <f aca="false">G1253*(1+F1254)</f>
        <v>132751.783043062</v>
      </c>
    </row>
    <row r="1255" customFormat="false" ht="15" hidden="false" customHeight="false" outlineLevel="0" collapsed="false">
      <c r="A1255" s="3" t="n">
        <v>46015</v>
      </c>
      <c r="B1255" s="10" t="n">
        <v>0.01893366</v>
      </c>
      <c r="C1255" s="5" t="n">
        <f aca="false">C1254*(1+B1255)</f>
        <v>26132.2731479433</v>
      </c>
      <c r="D1255" s="10" t="n">
        <v>0.04311338</v>
      </c>
      <c r="E1255" s="5" t="n">
        <f aca="false">E1254*(1+D1255)</f>
        <v>63016.4043270956</v>
      </c>
      <c r="F1255" s="4" t="n">
        <f aca="false">D1255*Varsayımlar!$B$3</f>
        <v>0.053891725</v>
      </c>
      <c r="G1255" s="5" t="n">
        <f aca="false">G1254*(1+F1255)</f>
        <v>139906.005628079</v>
      </c>
    </row>
    <row r="1256" customFormat="false" ht="15" hidden="false" customHeight="false" outlineLevel="0" collapsed="false">
      <c r="A1256" s="3" t="n">
        <v>46016</v>
      </c>
      <c r="B1256" s="10" t="n">
        <v>0.00724078</v>
      </c>
      <c r="C1256" s="5" t="n">
        <f aca="false">C1255*(1+B1256)</f>
        <v>26321.4911887075</v>
      </c>
      <c r="D1256" s="10" t="n">
        <v>0.01482746</v>
      </c>
      <c r="E1256" s="5" t="n">
        <f aca="false">E1255*(1+D1256)</f>
        <v>63950.7775415995</v>
      </c>
      <c r="F1256" s="4" t="n">
        <f aca="false">D1256*Varsayımlar!$B$3</f>
        <v>0.018534325</v>
      </c>
      <c r="G1256" s="5" t="n">
        <f aca="false">G1255*(1+F1256)</f>
        <v>142499.069005841</v>
      </c>
    </row>
    <row r="1257" customFormat="false" ht="15" hidden="false" customHeight="false" outlineLevel="0" collapsed="false">
      <c r="A1257" s="3" t="n">
        <v>46017</v>
      </c>
      <c r="B1257" s="10" t="n">
        <v>-0.0047079</v>
      </c>
      <c r="C1257" s="5" t="n">
        <f aca="false">C1256*(1+B1257)</f>
        <v>26197.5722403402</v>
      </c>
      <c r="D1257" s="10" t="n">
        <v>-0.01270444</v>
      </c>
      <c r="E1257" s="5" t="n">
        <f aca="false">E1256*(1+D1257)</f>
        <v>63138.3187253689</v>
      </c>
      <c r="F1257" s="4" t="n">
        <f aca="false">D1257*Varsayımlar!$B$3</f>
        <v>-0.01588055</v>
      </c>
      <c r="G1257" s="5" t="n">
        <f aca="false">G1256*(1+F1257)</f>
        <v>140236.10541554</v>
      </c>
    </row>
    <row r="1258" customFormat="false" ht="15" hidden="false" customHeight="false" outlineLevel="0" collapsed="false">
      <c r="A1258" s="3" t="n">
        <v>46018</v>
      </c>
      <c r="B1258" s="10" t="n">
        <v>0.00400942</v>
      </c>
      <c r="C1258" s="5" t="n">
        <f aca="false">C1257*(1+B1258)</f>
        <v>26302.6093104321</v>
      </c>
      <c r="D1258" s="10" t="n">
        <v>0.01000415</v>
      </c>
      <c r="E1258" s="5" t="n">
        <f aca="false">E1257*(1+D1258)</f>
        <v>63769.9639366453</v>
      </c>
      <c r="F1258" s="4" t="n">
        <f aca="false">D1258*Varsayımlar!$B$3</f>
        <v>0.0125051875</v>
      </c>
      <c r="G1258" s="5" t="n">
        <f aca="false">G1257*(1+F1258)</f>
        <v>141989.784208032</v>
      </c>
    </row>
    <row r="1259" customFormat="false" ht="15" hidden="false" customHeight="false" outlineLevel="0" collapsed="false">
      <c r="A1259" s="3" t="n">
        <v>46019</v>
      </c>
      <c r="B1259" s="10" t="n">
        <v>-0.00597689</v>
      </c>
      <c r="C1259" s="5" t="n">
        <f aca="false">C1258*(1+B1259)</f>
        <v>26145.4015078706</v>
      </c>
      <c r="D1259" s="10" t="n">
        <v>0.00797724</v>
      </c>
      <c r="E1259" s="5" t="n">
        <f aca="false">E1258*(1+D1259)</f>
        <v>64278.6722437593</v>
      </c>
      <c r="F1259" s="4" t="n">
        <f aca="false">D1259*Varsayımlar!$B$3</f>
        <v>0.00997155</v>
      </c>
      <c r="G1259" s="5" t="n">
        <f aca="false">G1258*(1+F1259)</f>
        <v>143405.642440751</v>
      </c>
    </row>
    <row r="1260" customFormat="false" ht="15" hidden="false" customHeight="false" outlineLevel="0" collapsed="false">
      <c r="A1260" s="3" t="n">
        <v>46020</v>
      </c>
      <c r="B1260" s="10" t="n">
        <v>0.03675084</v>
      </c>
      <c r="C1260" s="5" t="n">
        <f aca="false">C1259*(1+B1260)</f>
        <v>27106.2669754221</v>
      </c>
      <c r="D1260" s="10" t="n">
        <v>0.07664329</v>
      </c>
      <c r="E1260" s="5" t="n">
        <f aca="false">E1259*(1+D1260)</f>
        <v>69205.2011613526</v>
      </c>
      <c r="F1260" s="4" t="n">
        <f aca="false">D1260*Varsayımlar!$B$3</f>
        <v>0.0958041125</v>
      </c>
      <c r="G1260" s="5" t="n">
        <f aca="false">G1259*(1+F1260)</f>
        <v>157144.49274228</v>
      </c>
    </row>
    <row r="1261" customFormat="false" ht="15" hidden="false" customHeight="false" outlineLevel="0" collapsed="false">
      <c r="A1261" s="3" t="n">
        <v>46021</v>
      </c>
      <c r="B1261" s="10" t="n">
        <v>-0.01487112</v>
      </c>
      <c r="C1261" s="5" t="n">
        <f aca="false">C1260*(1+B1261)</f>
        <v>26703.1664264786</v>
      </c>
      <c r="D1261" s="10" t="n">
        <v>-0.01457815</v>
      </c>
      <c r="E1261" s="5" t="n">
        <f aca="false">E1260*(1+D1261)</f>
        <v>68196.3173580423</v>
      </c>
      <c r="F1261" s="4" t="n">
        <f aca="false">D1261*Varsayımlar!$B$3</f>
        <v>-0.0182226875</v>
      </c>
      <c r="G1261" s="5" t="n">
        <f aca="false">G1260*(1+F1261)</f>
        <v>154280.897758691</v>
      </c>
    </row>
    <row r="1262" customFormat="false" ht="15" hidden="false" customHeight="false" outlineLevel="0" collapsed="false">
      <c r="A1262" s="3" t="n">
        <v>46022</v>
      </c>
      <c r="B1262" s="10" t="n">
        <v>-0.00713393</v>
      </c>
      <c r="C1262" s="5" t="n">
        <f aca="false">C1261*(1+B1262)</f>
        <v>26512.6679064138</v>
      </c>
      <c r="D1262" s="10" t="n">
        <v>0.03286851</v>
      </c>
      <c r="E1262" s="5" t="n">
        <f aca="false">E1261*(1+D1262)</f>
        <v>70437.8286970883</v>
      </c>
      <c r="F1262" s="4" t="n">
        <f aca="false">D1262*Varsayımlar!$B$3</f>
        <v>0.0410856375</v>
      </c>
      <c r="G1262" s="5" t="n">
        <f aca="false">G1261*(1+F1262)</f>
        <v>160619.626797179</v>
      </c>
    </row>
    <row r="1263" customFormat="false" ht="15" hidden="false" customHeight="false" outlineLevel="0" collapsed="false">
      <c r="A1263" s="3" t="n">
        <v>46023</v>
      </c>
      <c r="B1263" s="10" t="n">
        <v>-0.02435821</v>
      </c>
      <c r="C1263" s="5" t="n">
        <f aca="false">C1262*(1+B1263)</f>
        <v>25866.8667738891</v>
      </c>
      <c r="D1263" s="10" t="n">
        <v>-0.01403372</v>
      </c>
      <c r="E1263" s="5" t="n">
        <f aca="false">E1262*(1+D1263)</f>
        <v>69449.3239317453</v>
      </c>
      <c r="F1263" s="4" t="n">
        <f aca="false">D1263*Varsayımlar!$B$3</f>
        <v>-0.01754215</v>
      </c>
      <c r="G1263" s="5" t="n">
        <f aca="false">G1262*(1+F1263)</f>
        <v>157802.013210959</v>
      </c>
    </row>
    <row r="1264" customFormat="false" ht="15" hidden="false" customHeight="false" outlineLevel="0" collapsed="false">
      <c r="A1264" s="3" t="n">
        <v>46024</v>
      </c>
      <c r="B1264" s="10" t="n">
        <v>-0.03824588</v>
      </c>
      <c r="C1264" s="5" t="n">
        <f aca="false">C1263*(1+B1264)</f>
        <v>24877.5656912789</v>
      </c>
      <c r="D1264" s="10" t="n">
        <v>-0.01897907</v>
      </c>
      <c r="E1264" s="5" t="n">
        <f aca="false">E1263*(1+D1264)</f>
        <v>68131.2403513921</v>
      </c>
      <c r="F1264" s="4" t="n">
        <f aca="false">D1264*Varsayımlar!$B$3</f>
        <v>-0.0237238375</v>
      </c>
      <c r="G1264" s="5" t="n">
        <f aca="false">G1263*(1+F1264)</f>
        <v>154058.343892369</v>
      </c>
    </row>
    <row r="1265" customFormat="false" ht="15" hidden="false" customHeight="false" outlineLevel="0" collapsed="false">
      <c r="A1265" s="3" t="n">
        <v>46025</v>
      </c>
      <c r="B1265" s="10" t="n">
        <v>0.01520569</v>
      </c>
      <c r="C1265" s="5" t="n">
        <f aca="false">C1264*(1+B1265)</f>
        <v>25255.8462431351</v>
      </c>
      <c r="D1265" s="10" t="n">
        <v>-0.00285074</v>
      </c>
      <c r="E1265" s="5" t="n">
        <f aca="false">E1264*(1+D1265)</f>
        <v>67937.0158992728</v>
      </c>
      <c r="F1265" s="4" t="n">
        <f aca="false">D1265*Varsayımlar!$B$3</f>
        <v>-0.003563425</v>
      </c>
      <c r="G1265" s="5" t="n">
        <f aca="false">G1264*(1+F1265)</f>
        <v>153509.368538285</v>
      </c>
    </row>
    <row r="1266" customFormat="false" ht="15" hidden="false" customHeight="false" outlineLevel="0" collapsed="false">
      <c r="A1266" s="3" t="n">
        <v>46026</v>
      </c>
      <c r="B1266" s="10" t="n">
        <v>0.01331334</v>
      </c>
      <c r="C1266" s="5" t="n">
        <f aca="false">C1265*(1+B1266)</f>
        <v>25592.0859111577</v>
      </c>
      <c r="D1266" s="10" t="n">
        <v>0.00074281</v>
      </c>
      <c r="E1266" s="5" t="n">
        <f aca="false">E1265*(1+D1266)</f>
        <v>67987.4801940529</v>
      </c>
      <c r="F1266" s="4" t="n">
        <f aca="false">D1266*Varsayımlar!$B$3</f>
        <v>0.0009285125</v>
      </c>
      <c r="G1266" s="5" t="n">
        <f aca="false">G1265*(1+F1266)</f>
        <v>153651.90390584</v>
      </c>
    </row>
    <row r="1267" customFormat="false" ht="15" hidden="false" customHeight="false" outlineLevel="0" collapsed="false">
      <c r="A1267" s="3" t="n">
        <v>46027</v>
      </c>
      <c r="B1267" s="10" t="n">
        <v>-0.0185425</v>
      </c>
      <c r="C1267" s="5" t="n">
        <f aca="false">C1266*(1+B1267)</f>
        <v>25117.5446581501</v>
      </c>
      <c r="D1267" s="10" t="n">
        <v>0.02266325</v>
      </c>
      <c r="E1267" s="5" t="n">
        <f aca="false">E1266*(1+D1267)</f>
        <v>69528.2974545607</v>
      </c>
      <c r="F1267" s="4" t="n">
        <f aca="false">D1267*Varsayımlar!$B$3</f>
        <v>0.0283290625</v>
      </c>
      <c r="G1267" s="5" t="n">
        <f aca="false">G1266*(1+F1267)</f>
        <v>158004.718294832</v>
      </c>
    </row>
    <row r="1268" customFormat="false" ht="15" hidden="false" customHeight="false" outlineLevel="0" collapsed="false">
      <c r="A1268" s="3" t="n">
        <v>46028</v>
      </c>
      <c r="B1268" s="10" t="n">
        <v>0.00647839</v>
      </c>
      <c r="C1268" s="5" t="n">
        <f aca="false">C1267*(1+B1268)</f>
        <v>25280.265908288</v>
      </c>
      <c r="D1268" s="10" t="n">
        <v>0.0431504</v>
      </c>
      <c r="E1268" s="5" t="n">
        <f aca="false">E1267*(1+D1268)</f>
        <v>72528.471301044</v>
      </c>
      <c r="F1268" s="4" t="n">
        <f aca="false">D1268*Varsayımlar!$B$3</f>
        <v>0.053938</v>
      </c>
      <c r="G1268" s="5" t="n">
        <f aca="false">G1267*(1+F1268)</f>
        <v>166527.176790219</v>
      </c>
    </row>
    <row r="1269" customFormat="false" ht="15" hidden="false" customHeight="false" outlineLevel="0" collapsed="false">
      <c r="A1269" s="3" t="n">
        <v>46029</v>
      </c>
      <c r="B1269" s="10" t="n">
        <v>-0.0061611</v>
      </c>
      <c r="C1269" s="5" t="n">
        <f aca="false">C1268*(1+B1269)</f>
        <v>25124.5116620004</v>
      </c>
      <c r="D1269" s="10" t="n">
        <v>0.00064347</v>
      </c>
      <c r="E1269" s="5" t="n">
        <f aca="false">E1268*(1+D1269)</f>
        <v>72575.1411964721</v>
      </c>
      <c r="F1269" s="4" t="n">
        <f aca="false">D1269*Varsayımlar!$B$3</f>
        <v>0.0008043375</v>
      </c>
      <c r="G1269" s="5" t="n">
        <f aca="false">G1268*(1+F1269)</f>
        <v>166661.12084328</v>
      </c>
    </row>
    <row r="1270" customFormat="false" ht="15" hidden="false" customHeight="false" outlineLevel="0" collapsed="false">
      <c r="A1270" s="3" t="n">
        <v>46030</v>
      </c>
      <c r="B1270" s="10" t="n">
        <v>0.01375565</v>
      </c>
      <c r="C1270" s="5" t="n">
        <f aca="false">C1269*(1+B1270)</f>
        <v>25470.1156508438</v>
      </c>
      <c r="D1270" s="10" t="n">
        <v>0.01118215</v>
      </c>
      <c r="E1270" s="5" t="n">
        <f aca="false">E1269*(1+D1270)</f>
        <v>73386.6873116022</v>
      </c>
      <c r="F1270" s="4" t="n">
        <f aca="false">D1270*Varsayımlar!$B$3</f>
        <v>0.0139776875</v>
      </c>
      <c r="G1270" s="5" t="n">
        <f aca="false">G1269*(1+F1270)</f>
        <v>168990.657908827</v>
      </c>
    </row>
    <row r="1271" customFormat="false" ht="15" hidden="false" customHeight="false" outlineLevel="0" collapsed="false">
      <c r="A1271" s="3" t="n">
        <v>46031</v>
      </c>
      <c r="B1271" s="10" t="n">
        <v>0.01397296</v>
      </c>
      <c r="C1271" s="5" t="n">
        <f aca="false">C1270*(1+B1271)</f>
        <v>25826.0085580285</v>
      </c>
      <c r="D1271" s="10" t="n">
        <v>-0.008032</v>
      </c>
      <c r="E1271" s="5" t="n">
        <f aca="false">E1270*(1+D1271)</f>
        <v>72797.2454391155</v>
      </c>
      <c r="F1271" s="4" t="n">
        <f aca="false">D1271*Varsayımlar!$B$3</f>
        <v>-0.01004</v>
      </c>
      <c r="G1271" s="5" t="n">
        <f aca="false">G1270*(1+F1271)</f>
        <v>167293.991703423</v>
      </c>
    </row>
    <row r="1272" customFormat="false" ht="15" hidden="false" customHeight="false" outlineLevel="0" collapsed="false">
      <c r="A1272" s="3" t="n">
        <v>46032</v>
      </c>
      <c r="B1272" s="10" t="n">
        <v>-0.01750779</v>
      </c>
      <c r="C1272" s="5" t="n">
        <f aca="false">C1271*(1+B1272)</f>
        <v>25373.8522236563</v>
      </c>
      <c r="D1272" s="10" t="n">
        <v>-0.00385501</v>
      </c>
      <c r="E1272" s="5" t="n">
        <f aca="false">E1271*(1+D1272)</f>
        <v>72516.6113299752</v>
      </c>
      <c r="F1272" s="4" t="n">
        <f aca="false">D1272*Varsayımlar!$B$3</f>
        <v>-0.0048187625</v>
      </c>
      <c r="G1272" s="5" t="n">
        <f aca="false">G1271*(1+F1272)</f>
        <v>166487.841689727</v>
      </c>
    </row>
    <row r="1273" customFormat="false" ht="15" hidden="false" customHeight="false" outlineLevel="0" collapsed="false">
      <c r="A1273" s="3" t="n">
        <v>46033</v>
      </c>
      <c r="B1273" s="10" t="n">
        <v>-0.00073057</v>
      </c>
      <c r="C1273" s="5" t="n">
        <f aca="false">C1272*(1+B1273)</f>
        <v>25355.3148484373</v>
      </c>
      <c r="D1273" s="10" t="n">
        <v>0.03879997</v>
      </c>
      <c r="E1273" s="5" t="n">
        <f aca="false">E1272*(1+D1273)</f>
        <v>75330.2536740799</v>
      </c>
      <c r="F1273" s="4" t="n">
        <f aca="false">D1273*Varsayımlar!$B$3</f>
        <v>0.0484999625</v>
      </c>
      <c r="G1273" s="5" t="n">
        <f aca="false">G1272*(1+F1273)</f>
        <v>174562.495768385</v>
      </c>
    </row>
    <row r="1274" customFormat="false" ht="15" hidden="false" customHeight="false" outlineLevel="0" collapsed="false">
      <c r="A1274" s="3" t="n">
        <v>46034</v>
      </c>
      <c r="B1274" s="10" t="n">
        <v>-0.00880837</v>
      </c>
      <c r="C1274" s="5" t="n">
        <f aca="false">C1273*(1+B1274)</f>
        <v>25131.9758537857</v>
      </c>
      <c r="D1274" s="10" t="n">
        <v>0.01139873</v>
      </c>
      <c r="E1274" s="5" t="n">
        <f aca="false">E1273*(1+D1274)</f>
        <v>76188.9228965422</v>
      </c>
      <c r="F1274" s="4" t="n">
        <f aca="false">D1274*Varsayımlar!$B$3</f>
        <v>0.0142484125</v>
      </c>
      <c r="G1274" s="5" t="n">
        <f aca="false">G1273*(1+F1274)</f>
        <v>177049.734215122</v>
      </c>
    </row>
    <row r="1275" customFormat="false" ht="15" hidden="false" customHeight="false" outlineLevel="0" collapsed="false">
      <c r="A1275" s="3" t="n">
        <v>46035</v>
      </c>
      <c r="B1275" s="10" t="n">
        <v>-0.00438769</v>
      </c>
      <c r="C1275" s="5" t="n">
        <f aca="false">C1274*(1+B1275)</f>
        <v>25021.7045346518</v>
      </c>
      <c r="D1275" s="10" t="n">
        <v>-0.00052402</v>
      </c>
      <c r="E1275" s="5" t="n">
        <f aca="false">E1274*(1+D1275)</f>
        <v>76148.998377166</v>
      </c>
      <c r="F1275" s="4" t="n">
        <f aca="false">D1275*Varsayımlar!$B$3</f>
        <v>-0.000655025</v>
      </c>
      <c r="G1275" s="5" t="n">
        <f aca="false">G1274*(1+F1275)</f>
        <v>176933.762212968</v>
      </c>
    </row>
    <row r="1276" customFormat="false" ht="15" hidden="false" customHeight="false" outlineLevel="0" collapsed="false">
      <c r="A1276" s="3" t="n">
        <v>46036</v>
      </c>
      <c r="B1276" s="10" t="n">
        <v>0.01402965</v>
      </c>
      <c r="C1276" s="5" t="n">
        <f aca="false">C1275*(1+B1276)</f>
        <v>25372.7502916764</v>
      </c>
      <c r="D1276" s="10" t="n">
        <v>0.02252646</v>
      </c>
      <c r="E1276" s="5" t="n">
        <f aca="false">E1275*(1+D1276)</f>
        <v>77864.3657431493</v>
      </c>
      <c r="F1276" s="4" t="n">
        <f aca="false">D1276*Varsayımlar!$B$3</f>
        <v>0.028158075</v>
      </c>
      <c r="G1276" s="5" t="n">
        <f aca="false">G1275*(1+F1276)</f>
        <v>181915.876359393</v>
      </c>
    </row>
    <row r="1277" customFormat="false" ht="15" hidden="false" customHeight="false" outlineLevel="0" collapsed="false">
      <c r="A1277" s="3" t="n">
        <v>46037</v>
      </c>
      <c r="B1277" s="10" t="n">
        <v>0.00423488</v>
      </c>
      <c r="C1277" s="5" t="n">
        <f aca="false">C1276*(1+B1277)</f>
        <v>25480.2008444316</v>
      </c>
      <c r="D1277" s="10" t="n">
        <v>0.0232735</v>
      </c>
      <c r="E1277" s="5" t="n">
        <f aca="false">E1276*(1+D1277)</f>
        <v>79676.5420592725</v>
      </c>
      <c r="F1277" s="4" t="n">
        <f aca="false">D1277*Varsayımlar!$B$3</f>
        <v>0.029091875</v>
      </c>
      <c r="G1277" s="5" t="n">
        <f aca="false">G1276*(1+F1277)</f>
        <v>187208.150294956</v>
      </c>
    </row>
    <row r="1278" customFormat="false" ht="15" hidden="false" customHeight="false" outlineLevel="0" collapsed="false">
      <c r="A1278" s="3" t="n">
        <v>46038</v>
      </c>
      <c r="B1278" s="10" t="n">
        <v>0.00936683</v>
      </c>
      <c r="C1278" s="5" t="n">
        <f aca="false">C1277*(1+B1278)</f>
        <v>25718.8695541073</v>
      </c>
      <c r="D1278" s="10" t="n">
        <v>0.02055941</v>
      </c>
      <c r="E1278" s="5" t="n">
        <f aca="false">E1277*(1+D1278)</f>
        <v>81314.6447548513</v>
      </c>
      <c r="F1278" s="4" t="n">
        <f aca="false">D1278*Varsayımlar!$B$3</f>
        <v>0.0256992625</v>
      </c>
      <c r="G1278" s="5" t="n">
        <f aca="false">G1277*(1+F1278)</f>
        <v>192019.261691525</v>
      </c>
    </row>
    <row r="1279" customFormat="false" ht="15" hidden="false" customHeight="false" outlineLevel="0" collapsed="false">
      <c r="A1279" s="3" t="n">
        <v>46039</v>
      </c>
      <c r="B1279" s="10" t="n">
        <v>-0.02809934</v>
      </c>
      <c r="C1279" s="5" t="n">
        <f aca="false">C1278*(1+B1279)</f>
        <v>24996.1862940908</v>
      </c>
      <c r="D1279" s="10" t="n">
        <v>-0.03981718</v>
      </c>
      <c r="E1279" s="5" t="n">
        <f aca="false">E1278*(1+D1279)</f>
        <v>78076.9249080113</v>
      </c>
      <c r="F1279" s="4" t="n">
        <f aca="false">D1279*Varsayımlar!$B$3</f>
        <v>-0.049771475</v>
      </c>
      <c r="G1279" s="5" t="n">
        <f aca="false">G1278*(1+F1279)</f>
        <v>182462.179808727</v>
      </c>
    </row>
    <row r="1280" customFormat="false" ht="15" hidden="false" customHeight="false" outlineLevel="0" collapsed="false">
      <c r="A1280" s="3" t="n">
        <v>46040</v>
      </c>
      <c r="B1280" s="10" t="n">
        <v>0.04545955</v>
      </c>
      <c r="C1280" s="5" t="n">
        <f aca="false">C1279*(1+B1280)</f>
        <v>26132.5016747363</v>
      </c>
      <c r="D1280" s="10" t="n">
        <v>0.05840333</v>
      </c>
      <c r="E1280" s="5" t="n">
        <f aca="false">E1279*(1+D1280)</f>
        <v>82636.8773187991</v>
      </c>
      <c r="F1280" s="4" t="n">
        <f aca="false">D1280*Varsayımlar!$B$3</f>
        <v>0.0730041625</v>
      </c>
      <c r="G1280" s="5" t="n">
        <f aca="false">G1279*(1+F1280)</f>
        <v>195782.678433588</v>
      </c>
    </row>
    <row r="1281" customFormat="false" ht="15" hidden="false" customHeight="false" outlineLevel="0" collapsed="false">
      <c r="A1281" s="3" t="n">
        <v>46041</v>
      </c>
      <c r="B1281" s="10" t="n">
        <v>0.01954709</v>
      </c>
      <c r="C1281" s="5" t="n">
        <f aca="false">C1280*(1+B1281)</f>
        <v>26643.3160368975</v>
      </c>
      <c r="D1281" s="10" t="n">
        <v>0.0424149</v>
      </c>
      <c r="E1281" s="5" t="n">
        <f aca="false">E1280*(1+D1281)</f>
        <v>86141.9122065882</v>
      </c>
      <c r="F1281" s="4" t="n">
        <f aca="false">D1281*Varsayımlar!$B$3</f>
        <v>0.053018625</v>
      </c>
      <c r="G1281" s="5" t="n">
        <f aca="false">G1280*(1+F1281)</f>
        <v>206162.806842953</v>
      </c>
    </row>
    <row r="1282" customFormat="false" ht="15" hidden="false" customHeight="false" outlineLevel="0" collapsed="false">
      <c r="A1282" s="3" t="n">
        <v>46042</v>
      </c>
      <c r="B1282" s="10" t="n">
        <v>0.02392054</v>
      </c>
      <c r="C1282" s="5" t="n">
        <f aca="false">C1281*(1+B1282)</f>
        <v>27280.6385438908</v>
      </c>
      <c r="D1282" s="10" t="n">
        <v>0.0390779</v>
      </c>
      <c r="E1282" s="5" t="n">
        <f aca="false">E1281*(1+D1282)</f>
        <v>89508.1572376061</v>
      </c>
      <c r="F1282" s="4" t="n">
        <f aca="false">D1282*Varsayımlar!$B$3</f>
        <v>0.048847375</v>
      </c>
      <c r="G1282" s="5" t="n">
        <f aca="false">G1281*(1+F1282)</f>
        <v>216233.318779864</v>
      </c>
    </row>
    <row r="1283" customFormat="false" ht="15" hidden="false" customHeight="false" outlineLevel="0" collapsed="false">
      <c r="A1283" s="3" t="n">
        <v>46043</v>
      </c>
      <c r="B1283" s="10" t="n">
        <v>0.01084249</v>
      </c>
      <c r="C1283" s="5" t="n">
        <f aca="false">C1282*(1+B1283)</f>
        <v>27576.4285944965</v>
      </c>
      <c r="D1283" s="10" t="n">
        <v>0.02668995</v>
      </c>
      <c r="E1283" s="5" t="n">
        <f aca="false">E1282*(1+D1283)</f>
        <v>91897.1254788699</v>
      </c>
      <c r="F1283" s="4" t="n">
        <f aca="false">D1283*Varsayımlar!$B$3</f>
        <v>0.0333624375</v>
      </c>
      <c r="G1283" s="5" t="n">
        <f aca="false">G1282*(1+F1283)</f>
        <v>223447.389363075</v>
      </c>
    </row>
    <row r="1284" customFormat="false" ht="15" hidden="false" customHeight="false" outlineLevel="0" collapsed="false">
      <c r="A1284" s="3" t="n">
        <v>46044</v>
      </c>
      <c r="B1284" s="10" t="n">
        <v>0.02008589</v>
      </c>
      <c r="C1284" s="5" t="n">
        <f aca="false">C1283*(1+B1284)</f>
        <v>28130.3257058384</v>
      </c>
      <c r="D1284" s="10" t="n">
        <v>0.0321824</v>
      </c>
      <c r="E1284" s="5" t="n">
        <f aca="false">E1283*(1+D1284)</f>
        <v>94854.5955298811</v>
      </c>
      <c r="F1284" s="4" t="n">
        <f aca="false">D1284*Varsayımlar!$B$3</f>
        <v>0.040228</v>
      </c>
      <c r="G1284" s="5" t="n">
        <f aca="false">G1283*(1+F1284)</f>
        <v>232436.230942372</v>
      </c>
    </row>
    <row r="1285" customFormat="false" ht="15" hidden="false" customHeight="false" outlineLevel="0" collapsed="false">
      <c r="A1285" s="3" t="n">
        <v>46045</v>
      </c>
      <c r="B1285" s="10" t="n">
        <v>-0.00890305</v>
      </c>
      <c r="C1285" s="5" t="n">
        <f aca="false">C1284*(1+B1285)</f>
        <v>27879.8800095631</v>
      </c>
      <c r="D1285" s="10" t="n">
        <v>-0.0184482</v>
      </c>
      <c r="E1285" s="5" t="n">
        <f aca="false">E1284*(1+D1285)</f>
        <v>93104.6989806267</v>
      </c>
      <c r="F1285" s="4" t="n">
        <f aca="false">D1285*Varsayımlar!$B$3</f>
        <v>-0.02306025</v>
      </c>
      <c r="G1285" s="5" t="n">
        <f aca="false">G1284*(1+F1285)</f>
        <v>227076.193347783</v>
      </c>
    </row>
    <row r="1286" customFormat="false" ht="15" hidden="false" customHeight="false" outlineLevel="0" collapsed="false">
      <c r="A1286" s="3" t="n">
        <v>46046</v>
      </c>
      <c r="B1286" s="10" t="n">
        <v>0.02098916</v>
      </c>
      <c r="C1286" s="5" t="n">
        <f aca="false">C1285*(1+B1286)</f>
        <v>28465.0552718646</v>
      </c>
      <c r="D1286" s="10" t="n">
        <v>0.0471219</v>
      </c>
      <c r="E1286" s="5" t="n">
        <f aca="false">E1285*(1+D1286)</f>
        <v>97491.9692955219</v>
      </c>
      <c r="F1286" s="4" t="n">
        <f aca="false">D1286*Varsayımlar!$B$3</f>
        <v>0.058902375</v>
      </c>
      <c r="G1286" s="5" t="n">
        <f aca="false">G1285*(1+F1286)</f>
        <v>240451.520441927</v>
      </c>
    </row>
    <row r="1287" customFormat="false" ht="15" hidden="false" customHeight="false" outlineLevel="0" collapsed="false">
      <c r="A1287" s="3" t="n">
        <v>46047</v>
      </c>
      <c r="B1287" s="10" t="n">
        <v>0.02688048</v>
      </c>
      <c r="C1287" s="5" t="n">
        <f aca="false">C1286*(1+B1287)</f>
        <v>29230.2096207988</v>
      </c>
      <c r="D1287" s="10" t="n">
        <v>0.02140307</v>
      </c>
      <c r="E1287" s="5" t="n">
        <f aca="false">E1286*(1+D1287)</f>
        <v>99578.5967387919</v>
      </c>
      <c r="F1287" s="4" t="n">
        <f aca="false">D1287*Varsayımlar!$B$3</f>
        <v>0.0267538375</v>
      </c>
      <c r="G1287" s="5" t="n">
        <f aca="false">G1286*(1+F1287)</f>
        <v>246884.521346458</v>
      </c>
    </row>
    <row r="1288" customFormat="false" ht="15" hidden="false" customHeight="false" outlineLevel="0" collapsed="false">
      <c r="A1288" s="3" t="n">
        <v>46048</v>
      </c>
      <c r="B1288" s="10" t="n">
        <v>0.00364666</v>
      </c>
      <c r="C1288" s="5" t="n">
        <f aca="false">C1287*(1+B1288)</f>
        <v>29336.8022570146</v>
      </c>
      <c r="D1288" s="10" t="n">
        <v>0.00744112</v>
      </c>
      <c r="E1288" s="5" t="n">
        <f aca="false">E1287*(1+D1288)</f>
        <v>100319.573026557</v>
      </c>
      <c r="F1288" s="4" t="n">
        <f aca="false">D1288*Varsayımlar!$B$3</f>
        <v>0.0093014</v>
      </c>
      <c r="G1288" s="5" t="n">
        <f aca="false">G1287*(1+F1288)</f>
        <v>249180.89303331</v>
      </c>
    </row>
    <row r="1289" customFormat="false" ht="15" hidden="false" customHeight="false" outlineLevel="0" collapsed="false">
      <c r="A1289" s="3" t="n">
        <v>46049</v>
      </c>
      <c r="B1289" s="10" t="n">
        <v>0.01091547</v>
      </c>
      <c r="C1289" s="5" t="n">
        <f aca="false">C1288*(1+B1289)</f>
        <v>29657.027241947</v>
      </c>
      <c r="D1289" s="10" t="n">
        <v>0.01399588</v>
      </c>
      <c r="E1289" s="5" t="n">
        <f aca="false">E1288*(1+D1289)</f>
        <v>101723.633732288</v>
      </c>
      <c r="F1289" s="4" t="n">
        <f aca="false">D1289*Varsayımlar!$B$3</f>
        <v>0.01749485</v>
      </c>
      <c r="G1289" s="5" t="n">
        <f aca="false">G1288*(1+F1289)</f>
        <v>253540.275379794</v>
      </c>
    </row>
    <row r="1290" customFormat="false" ht="15" hidden="false" customHeight="false" outlineLevel="0" collapsed="false">
      <c r="A1290" s="3" t="n">
        <v>46050</v>
      </c>
      <c r="B1290" s="10" t="n">
        <v>-0.02023494</v>
      </c>
      <c r="C1290" s="5" t="n">
        <f aca="false">C1289*(1+B1290)</f>
        <v>29056.9190751278</v>
      </c>
      <c r="D1290" s="10" t="n">
        <v>-0.01753773</v>
      </c>
      <c r="E1290" s="5" t="n">
        <f aca="false">E1289*(1+D1290)</f>
        <v>99939.632109272</v>
      </c>
      <c r="F1290" s="4" t="n">
        <f aca="false">D1290*Varsayımlar!$B$3</f>
        <v>-0.0219221625</v>
      </c>
      <c r="G1290" s="5" t="n">
        <f aca="false">G1289*(1+F1290)</f>
        <v>247982.124262623</v>
      </c>
    </row>
    <row r="1291" customFormat="false" ht="15" hidden="false" customHeight="false" outlineLevel="0" collapsed="false">
      <c r="A1291" s="3" t="n">
        <v>46051</v>
      </c>
      <c r="B1291" s="10" t="n">
        <v>0.00071553</v>
      </c>
      <c r="C1291" s="5" t="n">
        <f aca="false">C1290*(1+B1291)</f>
        <v>29077.7101724336</v>
      </c>
      <c r="D1291" s="10" t="n">
        <v>-0.01989628</v>
      </c>
      <c r="E1291" s="5" t="n">
        <f aca="false">E1290*(1+D1291)</f>
        <v>97951.2052057289</v>
      </c>
      <c r="F1291" s="4" t="n">
        <f aca="false">D1291*Varsayımlar!$B$3</f>
        <v>-0.02487035</v>
      </c>
      <c r="G1291" s="5" t="n">
        <f aca="false">G1290*(1+F1291)</f>
        <v>241814.722038469</v>
      </c>
    </row>
    <row r="1292" customFormat="false" ht="15" hidden="false" customHeight="false" outlineLevel="0" collapsed="false">
      <c r="A1292" s="3" t="n">
        <v>46052</v>
      </c>
      <c r="B1292" s="10" t="n">
        <v>-0.00662176</v>
      </c>
      <c r="C1292" s="5" t="n">
        <f aca="false">C1291*(1+B1292)</f>
        <v>28885.1645543222</v>
      </c>
      <c r="D1292" s="10" t="n">
        <v>-0.00330757</v>
      </c>
      <c r="E1292" s="5" t="n">
        <f aca="false">E1291*(1+D1292)</f>
        <v>97627.2247379266</v>
      </c>
      <c r="F1292" s="4" t="n">
        <f aca="false">D1292*Varsayımlar!$B$3</f>
        <v>-0.0041344625</v>
      </c>
      <c r="G1292" s="5" t="n">
        <f aca="false">G1291*(1+F1292)</f>
        <v>240814.948138253</v>
      </c>
    </row>
    <row r="1293" customFormat="false" ht="15" hidden="false" customHeight="false" outlineLevel="0" collapsed="false">
      <c r="A1293" s="3" t="n">
        <v>46053</v>
      </c>
      <c r="B1293" s="10" t="n">
        <v>0.01868264</v>
      </c>
      <c r="C1293" s="5" t="n">
        <f aca="false">C1292*(1+B1293)</f>
        <v>29424.8156850314</v>
      </c>
      <c r="D1293" s="10" t="n">
        <v>0.03327133</v>
      </c>
      <c r="E1293" s="5" t="n">
        <f aca="false">E1292*(1+D1293)</f>
        <v>100875.412349166</v>
      </c>
      <c r="F1293" s="4" t="n">
        <f aca="false">D1293*Varsayımlar!$B$3</f>
        <v>0.0415891625</v>
      </c>
      <c r="G1293" s="5" t="n">
        <f aca="false">G1292*(1+F1293)</f>
        <v>250830.240148803</v>
      </c>
    </row>
    <row r="1294" customFormat="false" ht="15" hidden="false" customHeight="false" outlineLevel="0" collapsed="false">
      <c r="A1294" s="3" t="n">
        <v>46054</v>
      </c>
      <c r="B1294" s="10" t="n">
        <v>-0.01123642</v>
      </c>
      <c r="C1294" s="5" t="n">
        <f aca="false">C1293*(1+B1294)</f>
        <v>29094.1860975718</v>
      </c>
      <c r="D1294" s="10" t="n">
        <v>-0.03008064</v>
      </c>
      <c r="E1294" s="5" t="n">
        <f aca="false">E1293*(1+D1294)</f>
        <v>97841.0153854395</v>
      </c>
      <c r="F1294" s="4" t="n">
        <f aca="false">D1294*Varsayımlar!$B$3</f>
        <v>-0.0376008</v>
      </c>
      <c r="G1294" s="5" t="n">
        <f aca="false">G1293*(1+F1294)</f>
        <v>241398.822455016</v>
      </c>
    </row>
    <row r="1295" customFormat="false" ht="15" hidden="false" customHeight="false" outlineLevel="0" collapsed="false">
      <c r="A1295" s="3" t="n">
        <v>46055</v>
      </c>
      <c r="B1295" s="10" t="n">
        <v>-0.00909707</v>
      </c>
      <c r="C1295" s="5" t="n">
        <f aca="false">C1294*(1+B1295)</f>
        <v>28829.5142500492</v>
      </c>
      <c r="D1295" s="10" t="n">
        <v>-0.00595834</v>
      </c>
      <c r="E1295" s="5" t="n">
        <f aca="false">E1294*(1+D1295)</f>
        <v>97258.0453498278</v>
      </c>
      <c r="F1295" s="4" t="n">
        <f aca="false">D1295*Varsayımlar!$B$3</f>
        <v>-0.007447925</v>
      </c>
      <c r="G1295" s="5" t="n">
        <f aca="false">G1294*(1+F1295)</f>
        <v>239600.902130283</v>
      </c>
    </row>
    <row r="1296" customFormat="false" ht="15" hidden="false" customHeight="false" outlineLevel="0" collapsed="false">
      <c r="A1296" s="3" t="n">
        <v>46056</v>
      </c>
      <c r="B1296" s="10" t="n">
        <v>0.00250261</v>
      </c>
      <c r="C1296" s="5" t="n">
        <f aca="false">C1295*(1+B1296)</f>
        <v>28901.6632807065</v>
      </c>
      <c r="D1296" s="10" t="n">
        <v>0.00537186</v>
      </c>
      <c r="E1296" s="5" t="n">
        <f aca="false">E1295*(1+D1296)</f>
        <v>97780.5019533207</v>
      </c>
      <c r="F1296" s="4" t="n">
        <f aca="false">D1296*Varsayımlar!$B$3</f>
        <v>0.006714825</v>
      </c>
      <c r="G1296" s="5" t="n">
        <f aca="false">G1295*(1+F1296)</f>
        <v>241209.78025793</v>
      </c>
    </row>
    <row r="1297" customFormat="false" ht="15" hidden="false" customHeight="false" outlineLevel="0" collapsed="false">
      <c r="A1297" s="3" t="n">
        <v>46057</v>
      </c>
      <c r="B1297" s="10" t="n">
        <v>0.00986082</v>
      </c>
      <c r="C1297" s="5" t="n">
        <f aca="false">C1296*(1+B1297)</f>
        <v>29186.6573800181</v>
      </c>
      <c r="D1297" s="10" t="n">
        <v>0.00670247</v>
      </c>
      <c r="E1297" s="5" t="n">
        <f aca="false">E1296*(1+D1297)</f>
        <v>98435.8728342478</v>
      </c>
      <c r="F1297" s="4" t="n">
        <f aca="false">D1297*Varsayımlar!$B$3</f>
        <v>0.0083780875</v>
      </c>
      <c r="G1297" s="5" t="n">
        <f aca="false">G1296*(1+F1297)</f>
        <v>243230.656902787</v>
      </c>
    </row>
    <row r="1298" customFormat="false" ht="15" hidden="false" customHeight="false" outlineLevel="0" collapsed="false">
      <c r="A1298" s="3" t="n">
        <v>46058</v>
      </c>
      <c r="B1298" s="10" t="n">
        <v>0.00195056</v>
      </c>
      <c r="C1298" s="5" t="n">
        <f aca="false">C1297*(1+B1298)</f>
        <v>29243.5877064373</v>
      </c>
      <c r="D1298" s="10" t="n">
        <v>0.01738694</v>
      </c>
      <c r="E1298" s="5" t="n">
        <f aca="false">E1297*(1+D1298)</f>
        <v>100147.371449064</v>
      </c>
      <c r="F1298" s="4" t="n">
        <f aca="false">D1298*Varsayımlar!$B$3</f>
        <v>0.021733675</v>
      </c>
      <c r="G1298" s="5" t="n">
        <f aca="false">G1297*(1+F1298)</f>
        <v>248516.952949948</v>
      </c>
    </row>
    <row r="1299" customFormat="false" ht="15" hidden="false" customHeight="false" outlineLevel="0" collapsed="false">
      <c r="A1299" s="3" t="n">
        <v>46059</v>
      </c>
      <c r="B1299" s="10" t="n">
        <v>0.02788433</v>
      </c>
      <c r="C1299" s="5" t="n">
        <f aca="false">C1298*(1+B1299)</f>
        <v>30059.0255564275</v>
      </c>
      <c r="D1299" s="10" t="n">
        <v>0.03922842</v>
      </c>
      <c r="E1299" s="5" t="n">
        <f aca="false">E1298*(1+D1299)</f>
        <v>104075.994598164</v>
      </c>
      <c r="F1299" s="4" t="n">
        <f aca="false">D1299*Varsayımlar!$B$3</f>
        <v>0.049035525</v>
      </c>
      <c r="G1299" s="5" t="n">
        <f aca="false">G1298*(1+F1299)</f>
        <v>260703.112209249</v>
      </c>
    </row>
    <row r="1300" customFormat="false" ht="15" hidden="false" customHeight="false" outlineLevel="0" collapsed="false">
      <c r="A1300" s="3" t="n">
        <v>46060</v>
      </c>
      <c r="B1300" s="10" t="n">
        <v>-0.00719898</v>
      </c>
      <c r="C1300" s="5" t="n">
        <f aca="false">C1299*(1+B1300)</f>
        <v>29842.6312326273</v>
      </c>
      <c r="D1300" s="10" t="n">
        <v>-0.0143748</v>
      </c>
      <c r="E1300" s="5" t="n">
        <f aca="false">E1299*(1+D1300)</f>
        <v>102579.922991015</v>
      </c>
      <c r="F1300" s="4" t="n">
        <f aca="false">D1300*Varsayımlar!$B$3</f>
        <v>-0.0179685</v>
      </c>
      <c r="G1300" s="5" t="n">
        <f aca="false">G1299*(1+F1300)</f>
        <v>256018.668337517</v>
      </c>
    </row>
    <row r="1301" customFormat="false" ht="15" hidden="false" customHeight="false" outlineLevel="0" collapsed="false">
      <c r="A1301" s="3" t="n">
        <v>46061</v>
      </c>
      <c r="B1301" s="10" t="n">
        <v>0.00224501</v>
      </c>
      <c r="C1301" s="5" t="n">
        <f aca="false">C1300*(1+B1301)</f>
        <v>29909.6282381709</v>
      </c>
      <c r="D1301" s="10" t="n">
        <v>0.00657404</v>
      </c>
      <c r="E1301" s="5" t="n">
        <f aca="false">E1300*(1+D1301)</f>
        <v>103254.287507955</v>
      </c>
      <c r="F1301" s="4" t="n">
        <f aca="false">D1301*Varsayımlar!$B$3</f>
        <v>0.00821755</v>
      </c>
      <c r="G1301" s="5" t="n">
        <f aca="false">G1300*(1+F1301)</f>
        <v>258122.514545514</v>
      </c>
    </row>
    <row r="1302" customFormat="false" ht="15" hidden="false" customHeight="false" outlineLevel="0" collapsed="false">
      <c r="A1302" s="3" t="n">
        <v>46062</v>
      </c>
      <c r="B1302" s="10" t="n">
        <v>0.01033841</v>
      </c>
      <c r="C1302" s="5" t="n">
        <f aca="false">C1301*(1+B1302)</f>
        <v>30218.8462378447</v>
      </c>
      <c r="D1302" s="10" t="n">
        <v>0.0135265</v>
      </c>
      <c r="E1302" s="5" t="n">
        <f aca="false">E1301*(1+D1302)</f>
        <v>104650.956627931</v>
      </c>
      <c r="F1302" s="4" t="n">
        <f aca="false">D1302*Varsayımlar!$B$3</f>
        <v>0.016908125</v>
      </c>
      <c r="G1302" s="5" t="n">
        <f aca="false">G1301*(1+F1302)</f>
        <v>262486.882286764</v>
      </c>
    </row>
    <row r="1303" customFormat="false" ht="15" hidden="false" customHeight="false" outlineLevel="0" collapsed="false">
      <c r="A1303" s="3" t="n">
        <v>46063</v>
      </c>
      <c r="B1303" s="10" t="n">
        <v>0.00062485</v>
      </c>
      <c r="C1303" s="5" t="n">
        <f aca="false">C1302*(1+B1303)</f>
        <v>30237.7284839164</v>
      </c>
      <c r="D1303" s="10" t="n">
        <v>0.01105362</v>
      </c>
      <c r="E1303" s="5" t="n">
        <f aca="false">E1302*(1+D1303)</f>
        <v>105807.728535133</v>
      </c>
      <c r="F1303" s="4" t="n">
        <f aca="false">D1303*Varsayımlar!$B$3</f>
        <v>0.013817025</v>
      </c>
      <c r="G1303" s="5" t="n">
        <f aca="false">G1302*(1+F1303)</f>
        <v>266113.670101493</v>
      </c>
    </row>
    <row r="1304" customFormat="false" ht="15" hidden="false" customHeight="false" outlineLevel="0" collapsed="false">
      <c r="A1304" s="3" t="n">
        <v>46064</v>
      </c>
      <c r="B1304" s="10" t="n">
        <v>0.03799107</v>
      </c>
      <c r="C1304" s="5" t="n">
        <f aca="false">C1303*(1+B1304)</f>
        <v>31386.4921433898</v>
      </c>
      <c r="D1304" s="10" t="n">
        <v>0.06241513</v>
      </c>
      <c r="E1304" s="5" t="n">
        <f aca="false">E1303*(1+D1304)</f>
        <v>112411.731666658</v>
      </c>
      <c r="F1304" s="4" t="n">
        <f aca="false">D1304*Varsayımlar!$B$3</f>
        <v>0.0780189125</v>
      </c>
      <c r="G1304" s="5" t="n">
        <f aca="false">G1303*(1+F1304)</f>
        <v>286875.569244195</v>
      </c>
    </row>
    <row r="1305" customFormat="false" ht="15" hidden="false" customHeight="false" outlineLevel="0" collapsed="false">
      <c r="A1305" s="3" t="n">
        <v>46065</v>
      </c>
      <c r="B1305" s="10" t="n">
        <v>-0.012351</v>
      </c>
      <c r="C1305" s="5" t="n">
        <f aca="false">C1304*(1+B1305)</f>
        <v>30998.8375789268</v>
      </c>
      <c r="D1305" s="10" t="n">
        <v>-0.01373349</v>
      </c>
      <c r="E1305" s="5" t="n">
        <f aca="false">E1304*(1+D1305)</f>
        <v>110867.926273931</v>
      </c>
      <c r="F1305" s="4" t="n">
        <f aca="false">D1305*Varsayımlar!$B$3</f>
        <v>-0.0171668625</v>
      </c>
      <c r="G1305" s="5" t="n">
        <f aca="false">G1304*(1+F1305)</f>
        <v>281950.81579237</v>
      </c>
    </row>
    <row r="1306" customFormat="false" ht="15" hidden="false" customHeight="false" outlineLevel="0" collapsed="false">
      <c r="A1306" s="3" t="n">
        <v>46066</v>
      </c>
      <c r="B1306" s="10" t="n">
        <v>-0.00617982</v>
      </c>
      <c r="C1306" s="5" t="n">
        <f aca="false">C1305*(1+B1306)</f>
        <v>30807.2703424798</v>
      </c>
      <c r="D1306" s="10" t="n">
        <v>-0.02415212</v>
      </c>
      <c r="E1306" s="5" t="n">
        <f aca="false">E1305*(1+D1306)</f>
        <v>108190.230814412</v>
      </c>
      <c r="F1306" s="4" t="n">
        <f aca="false">D1306*Varsayımlar!$B$3</f>
        <v>-0.03019015</v>
      </c>
      <c r="G1306" s="5" t="n">
        <f aca="false">G1305*(1+F1306)</f>
        <v>273438.678370976</v>
      </c>
    </row>
    <row r="1307" customFormat="false" ht="15" hidden="false" customHeight="false" outlineLevel="0" collapsed="false">
      <c r="A1307" s="3" t="n">
        <v>46067</v>
      </c>
      <c r="B1307" s="10" t="n">
        <v>-0.02685002</v>
      </c>
      <c r="C1307" s="5" t="n">
        <f aca="false">C1306*(1+B1307)</f>
        <v>29980.0945176388</v>
      </c>
      <c r="D1307" s="10" t="n">
        <v>-0.03854876</v>
      </c>
      <c r="E1307" s="5" t="n">
        <f aca="false">E1306*(1+D1307)</f>
        <v>104019.631572402</v>
      </c>
      <c r="F1307" s="4" t="n">
        <f aca="false">D1307*Varsayımlar!$B$3</f>
        <v>-0.04818595</v>
      </c>
      <c r="G1307" s="5" t="n">
        <f aca="false">G1306*(1+F1307)</f>
        <v>260262.775886926</v>
      </c>
    </row>
    <row r="1308" customFormat="false" ht="15" hidden="false" customHeight="false" outlineLevel="0" collapsed="false">
      <c r="A1308" s="3" t="n">
        <v>46068</v>
      </c>
      <c r="B1308" s="10" t="n">
        <v>0.0190904</v>
      </c>
      <c r="C1308" s="5" t="n">
        <f aca="false">C1307*(1+B1308)</f>
        <v>30552.4265140184</v>
      </c>
      <c r="D1308" s="10" t="n">
        <v>0.02541489</v>
      </c>
      <c r="E1308" s="5" t="n">
        <f aca="false">E1307*(1+D1308)</f>
        <v>106663.279066655</v>
      </c>
      <c r="F1308" s="4" t="n">
        <f aca="false">D1308*Varsayımlar!$B$3</f>
        <v>0.0317686125</v>
      </c>
      <c r="G1308" s="5" t="n">
        <f aca="false">G1307*(1+F1308)</f>
        <v>268530.963162253</v>
      </c>
    </row>
    <row r="1309" customFormat="false" ht="15" hidden="false" customHeight="false" outlineLevel="0" collapsed="false">
      <c r="A1309" s="3" t="n">
        <v>46069</v>
      </c>
      <c r="B1309" s="10" t="n">
        <v>-0.00342281</v>
      </c>
      <c r="C1309" s="5" t="n">
        <f aca="false">C1308*(1+B1309)</f>
        <v>30447.8513630219</v>
      </c>
      <c r="D1309" s="10" t="n">
        <v>0.00083731</v>
      </c>
      <c r="E1309" s="5" t="n">
        <f aca="false">E1308*(1+D1309)</f>
        <v>106752.589296851</v>
      </c>
      <c r="F1309" s="4" t="n">
        <f aca="false">D1309*Varsayımlar!$B$3</f>
        <v>0.0010466375</v>
      </c>
      <c r="G1309" s="5" t="n">
        <f aca="false">G1308*(1+F1309)</f>
        <v>268812.017738209</v>
      </c>
    </row>
    <row r="1310" customFormat="false" ht="15" hidden="false" customHeight="false" outlineLevel="0" collapsed="false">
      <c r="A1310" s="3" t="n">
        <v>46070</v>
      </c>
      <c r="B1310" s="10" t="n">
        <v>-0.00641251</v>
      </c>
      <c r="C1310" s="5" t="n">
        <f aca="false">C1309*(1+B1310)</f>
        <v>30252.604211678</v>
      </c>
      <c r="D1310" s="10" t="n">
        <v>0.0009647</v>
      </c>
      <c r="E1310" s="5" t="n">
        <f aca="false">E1309*(1+D1310)</f>
        <v>106855.573519745</v>
      </c>
      <c r="F1310" s="4" t="n">
        <f aca="false">D1310*Varsayımlar!$B$3</f>
        <v>0.001205875</v>
      </c>
      <c r="G1310" s="5" t="n">
        <f aca="false">G1309*(1+F1310)</f>
        <v>269136.171430099</v>
      </c>
    </row>
    <row r="1311" customFormat="false" ht="15" hidden="false" customHeight="false" outlineLevel="0" collapsed="false">
      <c r="A1311" s="3" t="n">
        <v>46071</v>
      </c>
      <c r="B1311" s="10" t="n">
        <v>-0.01379349</v>
      </c>
      <c r="C1311" s="5" t="n">
        <f aca="false">C1310*(1+B1311)</f>
        <v>29835.3152180103</v>
      </c>
      <c r="D1311" s="10" t="n">
        <v>-0.00487966</v>
      </c>
      <c r="E1311" s="5" t="n">
        <f aca="false">E1310*(1+D1311)</f>
        <v>106334.154651864</v>
      </c>
      <c r="F1311" s="4" t="n">
        <f aca="false">D1311*Varsayımlar!$B$3</f>
        <v>-0.006099575</v>
      </c>
      <c r="G1311" s="5" t="n">
        <f aca="false">G1310*(1+F1311)</f>
        <v>267494.555167249</v>
      </c>
    </row>
    <row r="1312" customFormat="false" ht="15" hidden="false" customHeight="false" outlineLevel="0" collapsed="false">
      <c r="A1312" s="3" t="n">
        <v>46072</v>
      </c>
      <c r="B1312" s="10" t="n">
        <v>-0.00434228</v>
      </c>
      <c r="C1312" s="5" t="n">
        <f aca="false">C1311*(1+B1312)</f>
        <v>29705.7619254454</v>
      </c>
      <c r="D1312" s="10" t="n">
        <v>-0.00480044</v>
      </c>
      <c r="E1312" s="5" t="n">
        <f aca="false">E1311*(1+D1312)</f>
        <v>105823.703922507</v>
      </c>
      <c r="F1312" s="4" t="n">
        <f aca="false">D1312*Varsayımlar!$B$3</f>
        <v>-0.00600055</v>
      </c>
      <c r="G1312" s="5" t="n">
        <f aca="false">G1311*(1+F1312)</f>
        <v>265889.44071424</v>
      </c>
    </row>
    <row r="1313" customFormat="false" ht="15" hidden="false" customHeight="false" outlineLevel="0" collapsed="false">
      <c r="A1313" s="3" t="n">
        <v>46073</v>
      </c>
      <c r="B1313" s="10" t="n">
        <v>0.01183902</v>
      </c>
      <c r="C1313" s="5" t="n">
        <f aca="false">C1312*(1+B1313)</f>
        <v>30057.449034996</v>
      </c>
      <c r="D1313" s="10" t="n">
        <v>0.01891401</v>
      </c>
      <c r="E1313" s="5" t="n">
        <f aca="false">E1312*(1+D1313)</f>
        <v>107825.254516734</v>
      </c>
      <c r="F1313" s="4" t="n">
        <f aca="false">D1313*Varsayımlar!$B$3</f>
        <v>0.0236425125</v>
      </c>
      <c r="G1313" s="5" t="n">
        <f aca="false">G1312*(1+F1313)</f>
        <v>272175.735139944</v>
      </c>
    </row>
    <row r="1314" customFormat="false" ht="15" hidden="false" customHeight="false" outlineLevel="0" collapsed="false">
      <c r="A1314" s="3" t="n">
        <v>46074</v>
      </c>
      <c r="B1314" s="10" t="n">
        <v>0.00687293</v>
      </c>
      <c r="C1314" s="5" t="n">
        <f aca="false">C1313*(1+B1314)</f>
        <v>30264.0317781921</v>
      </c>
      <c r="D1314" s="10" t="n">
        <v>0.00545389</v>
      </c>
      <c r="E1314" s="5" t="n">
        <f aca="false">E1313*(1+D1314)</f>
        <v>108413.321594091</v>
      </c>
      <c r="F1314" s="4" t="n">
        <f aca="false">D1314*Varsayımlar!$B$3</f>
        <v>0.0068173625</v>
      </c>
      <c r="G1314" s="5" t="n">
        <f aca="false">G1313*(1+F1314)</f>
        <v>274031.255790097</v>
      </c>
    </row>
    <row r="1315" customFormat="false" ht="15" hidden="false" customHeight="false" outlineLevel="0" collapsed="false">
      <c r="A1315" s="3" t="n">
        <v>46075</v>
      </c>
      <c r="B1315" s="10" t="n">
        <v>0.00702665</v>
      </c>
      <c r="C1315" s="5" t="n">
        <f aca="false">C1314*(1+B1315)</f>
        <v>30476.6865370864</v>
      </c>
      <c r="D1315" s="10" t="n">
        <v>0.00656984</v>
      </c>
      <c r="E1315" s="5" t="n">
        <f aca="false">E1314*(1+D1315)</f>
        <v>109125.579770832</v>
      </c>
      <c r="F1315" s="4" t="n">
        <f aca="false">D1315*Varsayımlar!$B$3</f>
        <v>0.0082123</v>
      </c>
      <c r="G1315" s="5" t="n">
        <f aca="false">G1314*(1+F1315)</f>
        <v>276281.682672022</v>
      </c>
    </row>
    <row r="1316" customFormat="false" ht="15" hidden="false" customHeight="false" outlineLevel="0" collapsed="false">
      <c r="A1316" s="3" t="n">
        <v>46076</v>
      </c>
      <c r="B1316" s="10" t="n">
        <v>0.00889425</v>
      </c>
      <c r="C1316" s="5" t="n">
        <f aca="false">C1315*(1+B1316)</f>
        <v>30747.7538063188</v>
      </c>
      <c r="D1316" s="10" t="n">
        <v>0.02839544</v>
      </c>
      <c r="E1316" s="5" t="n">
        <f aca="false">E1315*(1+D1316)</f>
        <v>112224.24862368</v>
      </c>
      <c r="F1316" s="4" t="n">
        <f aca="false">D1316*Varsayımlar!$B$3</f>
        <v>0.0354943</v>
      </c>
      <c r="G1316" s="5" t="n">
        <f aca="false">G1315*(1+F1316)</f>
        <v>286088.107601288</v>
      </c>
    </row>
    <row r="1317" customFormat="false" ht="15" hidden="false" customHeight="false" outlineLevel="0" collapsed="false">
      <c r="A1317" s="3" t="n">
        <v>46077</v>
      </c>
      <c r="B1317" s="10" t="n">
        <v>0.04039685</v>
      </c>
      <c r="C1317" s="5" t="n">
        <f aca="false">C1316*(1+B1317)</f>
        <v>31989.8662046696</v>
      </c>
      <c r="D1317" s="10" t="n">
        <v>0.0639328</v>
      </c>
      <c r="E1317" s="5" t="n">
        <f aca="false">E1316*(1+D1317)</f>
        <v>119399.059066088</v>
      </c>
      <c r="F1317" s="4" t="n">
        <f aca="false">D1317*Varsayımlar!$B$3</f>
        <v>0.079916</v>
      </c>
      <c r="G1317" s="5" t="n">
        <f aca="false">G1316*(1+F1317)</f>
        <v>308951.124808352</v>
      </c>
    </row>
    <row r="1318" customFormat="false" ht="15" hidden="false" customHeight="false" outlineLevel="0" collapsed="false">
      <c r="A1318" s="3" t="n">
        <v>46078</v>
      </c>
      <c r="B1318" s="10" t="n">
        <v>-0.01387472</v>
      </c>
      <c r="C1318" s="5" t="n">
        <f aca="false">C1317*(1+B1318)</f>
        <v>31546.0157682424</v>
      </c>
      <c r="D1318" s="10" t="n">
        <v>-0.01432514</v>
      </c>
      <c r="E1318" s="5" t="n">
        <f aca="false">E1317*(1+D1318)</f>
        <v>117688.650829098</v>
      </c>
      <c r="F1318" s="4" t="n">
        <f aca="false">D1318*Varsayımlar!$B$3</f>
        <v>-0.017906425</v>
      </c>
      <c r="G1318" s="5" t="n">
        <f aca="false">G1317*(1+F1318)</f>
        <v>303418.914663306</v>
      </c>
    </row>
    <row r="1319" customFormat="false" ht="15" hidden="false" customHeight="false" outlineLevel="0" collapsed="false">
      <c r="A1319" s="3" t="n">
        <v>46079</v>
      </c>
      <c r="B1319" s="10" t="n">
        <v>0.01570065</v>
      </c>
      <c r="C1319" s="5" t="n">
        <f aca="false">C1318*(1+B1319)</f>
        <v>32041.308720714</v>
      </c>
      <c r="D1319" s="10" t="n">
        <v>0.04085693</v>
      </c>
      <c r="E1319" s="5" t="n">
        <f aca="false">E1318*(1+D1319)</f>
        <v>122497.047797817</v>
      </c>
      <c r="F1319" s="4" t="n">
        <f aca="false">D1319*Varsayımlar!$B$3</f>
        <v>0.0510711625</v>
      </c>
      <c r="G1319" s="5" t="n">
        <f aca="false">G1318*(1+F1319)</f>
        <v>318914.871359649</v>
      </c>
    </row>
    <row r="1320" customFormat="false" ht="15" hidden="false" customHeight="false" outlineLevel="0" collapsed="false">
      <c r="A1320" s="3" t="n">
        <v>46080</v>
      </c>
      <c r="B1320" s="10" t="n">
        <v>-0.00777683</v>
      </c>
      <c r="C1320" s="5" t="n">
        <f aca="false">C1319*(1+B1320)</f>
        <v>31792.1289098155</v>
      </c>
      <c r="D1320" s="10" t="n">
        <v>-0.00764386</v>
      </c>
      <c r="E1320" s="5" t="n">
        <f aca="false">E1319*(1+D1320)</f>
        <v>121560.697514037</v>
      </c>
      <c r="F1320" s="4" t="n">
        <f aca="false">D1320*Varsayımlar!$B$3</f>
        <v>-0.009554825</v>
      </c>
      <c r="G1320" s="5" t="n">
        <f aca="false">G1319*(1+F1320)</f>
        <v>315867.69557391</v>
      </c>
    </row>
    <row r="1321" customFormat="false" ht="15" hidden="false" customHeight="false" outlineLevel="0" collapsed="false">
      <c r="A1321" s="3" t="n">
        <v>46081</v>
      </c>
      <c r="B1321" s="10" t="n">
        <v>-0.00326175</v>
      </c>
      <c r="C1321" s="5" t="n">
        <f aca="false">C1320*(1+B1321)</f>
        <v>31688.4309333439</v>
      </c>
      <c r="D1321" s="10" t="n">
        <v>0.01336041</v>
      </c>
      <c r="E1321" s="5" t="n">
        <f aca="false">E1320*(1+D1321)</f>
        <v>123184.798272711</v>
      </c>
      <c r="F1321" s="4" t="n">
        <f aca="false">D1321*Varsayımlar!$B$3</f>
        <v>0.0167005125</v>
      </c>
      <c r="G1321" s="5" t="n">
        <f aca="false">G1320*(1+F1321)</f>
        <v>321142.847972188</v>
      </c>
    </row>
    <row r="1322" customFormat="false" ht="15" hidden="false" customHeight="false" outlineLevel="0" collapsed="false">
      <c r="A1322" s="3" t="n">
        <v>46082</v>
      </c>
      <c r="B1322" s="10" t="n">
        <v>0.01808229</v>
      </c>
      <c r="C1322" s="5" t="n">
        <f aca="false">C1321*(1+B1322)</f>
        <v>32261.4303311256</v>
      </c>
      <c r="D1322" s="10" t="n">
        <v>0.01316627</v>
      </c>
      <c r="E1322" s="5" t="n">
        <f aca="false">E1321*(1+D1322)</f>
        <v>124806.682586665</v>
      </c>
      <c r="F1322" s="4" t="n">
        <f aca="false">D1322*Varsayımlar!$B$3</f>
        <v>0.0164578375</v>
      </c>
      <c r="G1322" s="5" t="n">
        <f aca="false">G1321*(1+F1322)</f>
        <v>326428.164778402</v>
      </c>
    </row>
    <row r="1323" customFormat="false" ht="15" hidden="false" customHeight="false" outlineLevel="0" collapsed="false">
      <c r="A1323" s="3" t="n">
        <v>46083</v>
      </c>
      <c r="B1323" s="10" t="n">
        <v>0.01716518</v>
      </c>
      <c r="C1323" s="5" t="n">
        <f aca="false">C1322*(1+B1323)</f>
        <v>32815.2035898169</v>
      </c>
      <c r="D1323" s="10" t="n">
        <v>0.04946957</v>
      </c>
      <c r="E1323" s="5" t="n">
        <f aca="false">E1322*(1+D1323)</f>
        <v>130980.815507354</v>
      </c>
      <c r="F1323" s="4" t="n">
        <f aca="false">D1323*Varsayımlar!$B$3</f>
        <v>0.0618369625</v>
      </c>
      <c r="G1323" s="5" t="n">
        <f aca="false">G1322*(1+F1323)</f>
        <v>346613.490962748</v>
      </c>
    </row>
    <row r="1324" customFormat="false" ht="15" hidden="false" customHeight="false" outlineLevel="0" collapsed="false">
      <c r="A1324" s="3" t="n">
        <v>46084</v>
      </c>
      <c r="B1324" s="10" t="n">
        <v>-0.01276225</v>
      </c>
      <c r="C1324" s="5" t="n">
        <f aca="false">C1323*(1+B1324)</f>
        <v>32396.4077578027</v>
      </c>
      <c r="D1324" s="10" t="n">
        <v>-0.08608767</v>
      </c>
      <c r="E1324" s="5" t="n">
        <f aca="false">E1323*(1+D1324)</f>
        <v>119704.982285626</v>
      </c>
      <c r="F1324" s="4" t="n">
        <f aca="false">D1324*Varsayımlar!$B$3</f>
        <v>-0.1076095875</v>
      </c>
      <c r="G1324" s="5" t="n">
        <f aca="false">G1323*(1+F1324)</f>
        <v>309314.556178311</v>
      </c>
    </row>
    <row r="1325" customFormat="false" ht="15" hidden="false" customHeight="false" outlineLevel="0" collapsed="false">
      <c r="A1325" s="3" t="n">
        <v>46085</v>
      </c>
      <c r="B1325" s="10" t="n">
        <v>-0.00077072</v>
      </c>
      <c r="C1325" s="5" t="n">
        <f aca="false">C1324*(1+B1325)</f>
        <v>32371.4391984156</v>
      </c>
      <c r="D1325" s="10" t="n">
        <v>-0.00374164</v>
      </c>
      <c r="E1325" s="5" t="n">
        <f aca="false">E1324*(1+D1325)</f>
        <v>119257.089335707</v>
      </c>
      <c r="F1325" s="4" t="n">
        <f aca="false">D1325*Varsayımlar!$B$3</f>
        <v>-0.00467705</v>
      </c>
      <c r="G1325" s="5" t="n">
        <f aca="false">G1324*(1+F1325)</f>
        <v>307867.876533338</v>
      </c>
    </row>
    <row r="1326" customFormat="false" ht="15" hidden="false" customHeight="false" outlineLevel="0" collapsed="false">
      <c r="A1326" s="3" t="n">
        <v>46086</v>
      </c>
      <c r="B1326" s="10" t="n">
        <v>0.01968716</v>
      </c>
      <c r="C1326" s="5" t="n">
        <f aca="false">C1325*(1+B1326)</f>
        <v>33008.7409013451</v>
      </c>
      <c r="D1326" s="10" t="n">
        <v>0.02910917</v>
      </c>
      <c r="E1326" s="5" t="n">
        <f aca="false">E1325*(1+D1326)</f>
        <v>122728.564222885</v>
      </c>
      <c r="F1326" s="4" t="n">
        <f aca="false">D1326*Varsayımlar!$B$3</f>
        <v>0.0363864625</v>
      </c>
      <c r="G1326" s="5" t="n">
        <f aca="false">G1325*(1+F1326)</f>
        <v>319070.099477773</v>
      </c>
    </row>
    <row r="1327" customFormat="false" ht="15" hidden="false" customHeight="false" outlineLevel="0" collapsed="false">
      <c r="A1327" s="3" t="n">
        <v>46087</v>
      </c>
      <c r="B1327" s="10" t="n">
        <v>-0.00573924</v>
      </c>
      <c r="C1327" s="5" t="n">
        <f aca="false">C1326*(1+B1327)</f>
        <v>32819.2958152145</v>
      </c>
      <c r="D1327" s="10" t="n">
        <v>-0.00882531</v>
      </c>
      <c r="E1327" s="5" t="n">
        <f aca="false">E1326*(1+D1327)</f>
        <v>121645.446597763</v>
      </c>
      <c r="F1327" s="4" t="n">
        <f aca="false">D1327*Varsayımlar!$B$3</f>
        <v>-0.0110316375</v>
      </c>
      <c r="G1327" s="5" t="n">
        <f aca="false">G1326*(1+F1327)</f>
        <v>315550.233803245</v>
      </c>
    </row>
    <row r="1328" customFormat="false" ht="15" hidden="false" customHeight="false" outlineLevel="0" collapsed="false">
      <c r="A1328" s="3" t="n">
        <v>46088</v>
      </c>
      <c r="B1328" s="10" t="n">
        <v>-0.00636972</v>
      </c>
      <c r="C1328" s="5" t="n">
        <f aca="false">C1327*(1+B1328)</f>
        <v>32610.2460902744</v>
      </c>
      <c r="D1328" s="10" t="n">
        <v>0.00122279</v>
      </c>
      <c r="E1328" s="5" t="n">
        <f aca="false">E1327*(1+D1328)</f>
        <v>121794.193433408</v>
      </c>
      <c r="F1328" s="4" t="n">
        <f aca="false">D1328*Varsayımlar!$B$3</f>
        <v>0.0015284875</v>
      </c>
      <c r="G1328" s="5" t="n">
        <f aca="false">G1327*(1+F1328)</f>
        <v>316032.548391235</v>
      </c>
    </row>
    <row r="1329" customFormat="false" ht="15" hidden="false" customHeight="false" outlineLevel="0" collapsed="false">
      <c r="A1329" s="3" t="n">
        <v>46089</v>
      </c>
      <c r="B1329" s="10" t="n">
        <v>-0.00031508</v>
      </c>
      <c r="C1329" s="5" t="n">
        <f aca="false">C1328*(1+B1329)</f>
        <v>32599.9712539362</v>
      </c>
      <c r="D1329" s="10" t="n">
        <v>0.00258866</v>
      </c>
      <c r="E1329" s="5" t="n">
        <f aca="false">E1328*(1+D1329)</f>
        <v>122109.477190182</v>
      </c>
      <c r="F1329" s="4" t="n">
        <f aca="false">D1329*Varsayımlar!$B$3</f>
        <v>0.003235825</v>
      </c>
      <c r="G1329" s="5" t="n">
        <f aca="false">G1328*(1+F1329)</f>
        <v>317055.174412133</v>
      </c>
    </row>
    <row r="1330" customFormat="false" ht="15" hidden="false" customHeight="false" outlineLevel="0" collapsed="false">
      <c r="A1330" s="3" t="n">
        <v>46090</v>
      </c>
      <c r="B1330" s="10" t="n">
        <v>0.00647696</v>
      </c>
      <c r="C1330" s="5" t="n">
        <f aca="false">C1329*(1+B1330)</f>
        <v>32811.1199637491</v>
      </c>
      <c r="D1330" s="10" t="n">
        <v>0.00708609</v>
      </c>
      <c r="E1330" s="5" t="n">
        <f aca="false">E1329*(1+D1330)</f>
        <v>122974.755935404</v>
      </c>
      <c r="F1330" s="4" t="n">
        <f aca="false">D1330*Varsayımlar!$B$3</f>
        <v>0.0088576125</v>
      </c>
      <c r="G1330" s="5" t="n">
        <f aca="false">G1329*(1+F1330)</f>
        <v>319863.526288196</v>
      </c>
    </row>
    <row r="1331" customFormat="false" ht="15" hidden="false" customHeight="false" outlineLevel="0" collapsed="false">
      <c r="A1331" s="3" t="n">
        <v>46091</v>
      </c>
      <c r="B1331" s="10" t="n">
        <v>-0.00282488</v>
      </c>
      <c r="C1331" s="5" t="n">
        <f aca="false">C1330*(1+B1331)</f>
        <v>32718.4324871859</v>
      </c>
      <c r="D1331" s="10" t="n">
        <v>-0.00211025</v>
      </c>
      <c r="E1331" s="5" t="n">
        <f aca="false">E1330*(1+D1331)</f>
        <v>122715.248456692</v>
      </c>
      <c r="F1331" s="4" t="n">
        <f aca="false">D1331*Varsayımlar!$B$3</f>
        <v>-0.0026378125</v>
      </c>
      <c r="G1331" s="5" t="n">
        <f aca="false">G1330*(1+F1331)</f>
        <v>319019.786280259</v>
      </c>
    </row>
    <row r="1332" customFormat="false" ht="15" hidden="false" customHeight="false" outlineLevel="0" collapsed="false">
      <c r="A1332" s="3" t="n">
        <v>46092</v>
      </c>
      <c r="B1332" s="10" t="n">
        <v>0.01816228</v>
      </c>
      <c r="C1332" s="5" t="n">
        <f aca="false">C1331*(1+B1332)</f>
        <v>33312.6738191793</v>
      </c>
      <c r="D1332" s="10" t="n">
        <v>0.05373626</v>
      </c>
      <c r="E1332" s="5" t="n">
        <f aca="false">E1331*(1+D1332)</f>
        <v>129309.506953725</v>
      </c>
      <c r="F1332" s="4" t="n">
        <f aca="false">D1332*Varsayımlar!$B$3</f>
        <v>0.067170325</v>
      </c>
      <c r="G1332" s="5" t="n">
        <f aca="false">G1331*(1+F1332)</f>
        <v>340448.449006134</v>
      </c>
    </row>
    <row r="1333" customFormat="false" ht="15" hidden="false" customHeight="false" outlineLevel="0" collapsed="false">
      <c r="A1333" s="3" t="n">
        <v>46093</v>
      </c>
      <c r="B1333" s="10" t="n">
        <v>-0.012888</v>
      </c>
      <c r="C1333" s="5" t="n">
        <f aca="false">C1332*(1+B1333)</f>
        <v>32883.3400789977</v>
      </c>
      <c r="D1333" s="10" t="n">
        <v>-0.03734042</v>
      </c>
      <c r="E1333" s="5" t="n">
        <f aca="false">E1332*(1+D1333)</f>
        <v>124481.03565408</v>
      </c>
      <c r="F1333" s="4" t="n">
        <f aca="false">D1333*Varsayımlar!$B$3</f>
        <v>-0.046675525</v>
      </c>
      <c r="G1333" s="5" t="n">
        <f aca="false">G1332*(1+F1333)</f>
        <v>324557.838913337</v>
      </c>
    </row>
    <row r="1334" customFormat="false" ht="15" hidden="false" customHeight="false" outlineLevel="0" collapsed="false">
      <c r="A1334" s="3" t="n">
        <v>46094</v>
      </c>
      <c r="B1334" s="10" t="n">
        <v>-0.00093811</v>
      </c>
      <c r="C1334" s="5" t="n">
        <f aca="false">C1333*(1+B1334)</f>
        <v>32852.4918888362</v>
      </c>
      <c r="D1334" s="10" t="n">
        <v>-0.00354436</v>
      </c>
      <c r="E1334" s="5" t="n">
        <f aca="false">E1333*(1+D1334)</f>
        <v>124039.830050549</v>
      </c>
      <c r="F1334" s="4" t="n">
        <f aca="false">D1334*Varsayımlar!$B$3</f>
        <v>-0.00443045</v>
      </c>
      <c r="G1334" s="5" t="n">
        <f aca="false">G1333*(1+F1334)</f>
        <v>323119.901635924</v>
      </c>
    </row>
    <row r="1335" customFormat="false" ht="15" hidden="false" customHeight="false" outlineLevel="0" collapsed="false">
      <c r="A1335" s="3" t="n">
        <v>46095</v>
      </c>
      <c r="B1335" s="10" t="n">
        <v>-0.01110798</v>
      </c>
      <c r="C1335" s="5" t="n">
        <f aca="false">C1334*(1+B1335)</f>
        <v>32487.5670659849</v>
      </c>
      <c r="D1335" s="10" t="n">
        <v>-0.01976768</v>
      </c>
      <c r="E1335" s="5" t="n">
        <f aca="false">E1334*(1+D1335)</f>
        <v>121587.850382855</v>
      </c>
      <c r="F1335" s="4" t="n">
        <f aca="false">D1335*Varsayımlar!$B$3</f>
        <v>-0.0247096</v>
      </c>
      <c r="G1335" s="5" t="n">
        <f aca="false">G1334*(1+F1335)</f>
        <v>315135.738114461</v>
      </c>
    </row>
    <row r="1336" customFormat="false" ht="15" hidden="false" customHeight="false" outlineLevel="0" collapsed="false">
      <c r="A1336" s="3" t="n">
        <v>46096</v>
      </c>
      <c r="B1336" s="10" t="n">
        <v>-0.02120134</v>
      </c>
      <c r="C1336" s="5" t="n">
        <f aca="false">C1335*(1+B1336)</f>
        <v>31798.7871108461</v>
      </c>
      <c r="D1336" s="10" t="n">
        <v>-0.03747723</v>
      </c>
      <c r="E1336" s="5" t="n">
        <f aca="false">E1335*(1+D1336)</f>
        <v>117031.074548852</v>
      </c>
      <c r="F1336" s="4" t="n">
        <f aca="false">D1336*Varsayımlar!$B$3</f>
        <v>-0.0468465375</v>
      </c>
      <c r="G1336" s="5" t="n">
        <f aca="false">G1335*(1+F1336)</f>
        <v>300372.719941291</v>
      </c>
    </row>
    <row r="1337" customFormat="false" ht="15" hidden="false" customHeight="false" outlineLevel="0" collapsed="false">
      <c r="A1337" s="3" t="n">
        <v>46097</v>
      </c>
      <c r="B1337" s="10" t="n">
        <v>-0.00862657</v>
      </c>
      <c r="C1337" s="5" t="n">
        <f aca="false">C1336*(1+B1337)</f>
        <v>31524.4726479193</v>
      </c>
      <c r="D1337" s="10" t="n">
        <v>-0.00956635</v>
      </c>
      <c r="E1337" s="5" t="n">
        <f aca="false">E1336*(1+D1337)</f>
        <v>115911.514328841</v>
      </c>
      <c r="F1337" s="4" t="n">
        <f aca="false">D1337*Varsayımlar!$B$3</f>
        <v>-0.0119579375</v>
      </c>
      <c r="G1337" s="5" t="n">
        <f aca="false">G1336*(1+F1337)</f>
        <v>296780.881729528</v>
      </c>
    </row>
    <row r="1338" customFormat="false" ht="15" hidden="false" customHeight="false" outlineLevel="0" collapsed="false">
      <c r="A1338" s="3" t="n">
        <v>46098</v>
      </c>
      <c r="B1338" s="10" t="n">
        <v>0.00809222</v>
      </c>
      <c r="C1338" s="5" t="n">
        <f aca="false">C1337*(1+B1338)</f>
        <v>31779.5756159703</v>
      </c>
      <c r="D1338" s="10" t="n">
        <v>0.01034529</v>
      </c>
      <c r="E1338" s="5" t="n">
        <f aca="false">E1337*(1+D1338)</f>
        <v>117110.652558912</v>
      </c>
      <c r="F1338" s="4" t="n">
        <f aca="false">D1338*Varsayımlar!$B$3</f>
        <v>0.0129316125</v>
      </c>
      <c r="G1338" s="5" t="n">
        <f aca="false">G1337*(1+F1338)</f>
        <v>300618.737089463</v>
      </c>
    </row>
    <row r="1339" customFormat="false" ht="15" hidden="false" customHeight="false" outlineLevel="0" collapsed="false">
      <c r="A1339" s="3" t="n">
        <v>46099</v>
      </c>
      <c r="B1339" s="10" t="n">
        <v>0.0319562</v>
      </c>
      <c r="C1339" s="5" t="n">
        <f aca="false">C1338*(1+B1339)</f>
        <v>32795.1300902693</v>
      </c>
      <c r="D1339" s="10" t="n">
        <v>0.07066099</v>
      </c>
      <c r="E1339" s="5" t="n">
        <f aca="false">E1338*(1+D1339)</f>
        <v>125385.807208271</v>
      </c>
      <c r="F1339" s="4" t="n">
        <f aca="false">D1339*Varsayımlar!$B$3</f>
        <v>0.0883262375</v>
      </c>
      <c r="G1339" s="5" t="n">
        <f aca="false">G1338*(1+F1339)</f>
        <v>327171.259058577</v>
      </c>
    </row>
    <row r="1340" customFormat="false" ht="15" hidden="false" customHeight="false" outlineLevel="0" collapsed="false">
      <c r="A1340" s="3" t="n">
        <v>46100</v>
      </c>
      <c r="B1340" s="10" t="n">
        <v>-0.02038866</v>
      </c>
      <c r="C1340" s="5" t="n">
        <f aca="false">C1339*(1+B1340)</f>
        <v>32126.4813332031</v>
      </c>
      <c r="D1340" s="10" t="n">
        <v>-0.03464274</v>
      </c>
      <c r="E1340" s="5" t="n">
        <f aca="false">E1339*(1+D1340)</f>
        <v>121042.099289465</v>
      </c>
      <c r="F1340" s="4" t="n">
        <f aca="false">D1340*Varsayımlar!$B$3</f>
        <v>-0.043303425</v>
      </c>
      <c r="G1340" s="5" t="n">
        <f aca="false">G1339*(1+F1340)</f>
        <v>313003.622979778</v>
      </c>
    </row>
    <row r="1341" customFormat="false" ht="15" hidden="false" customHeight="false" outlineLevel="0" collapsed="false">
      <c r="A1341" s="3" t="n">
        <v>46101</v>
      </c>
      <c r="B1341" s="10" t="n">
        <v>-0.00647196</v>
      </c>
      <c r="C1341" s="5" t="n">
        <f aca="false">C1340*(1+B1341)</f>
        <v>31918.5600310738</v>
      </c>
      <c r="D1341" s="10" t="n">
        <v>-0.00699163</v>
      </c>
      <c r="E1341" s="5" t="n">
        <f aca="false">E1340*(1+D1341)</f>
        <v>120195.817716809</v>
      </c>
      <c r="F1341" s="4" t="n">
        <f aca="false">D1341*Varsayımlar!$B$3</f>
        <v>-0.0087395375</v>
      </c>
      <c r="G1341" s="5" t="n">
        <f aca="false">G1340*(1+F1341)</f>
        <v>310268.116079111</v>
      </c>
    </row>
    <row r="1342" customFormat="false" ht="15" hidden="false" customHeight="false" outlineLevel="0" collapsed="false">
      <c r="A1342" s="3" t="n">
        <v>46102</v>
      </c>
      <c r="B1342" s="10" t="n">
        <v>0.02000173</v>
      </c>
      <c r="C1342" s="5" t="n">
        <f aca="false">C1341*(1+B1342)</f>
        <v>32556.9864508041</v>
      </c>
      <c r="D1342" s="10" t="n">
        <v>0.02142721</v>
      </c>
      <c r="E1342" s="5" t="n">
        <f aca="false">E1341*(1+D1342)</f>
        <v>122771.278744149</v>
      </c>
      <c r="F1342" s="4" t="n">
        <f aca="false">D1342*Varsayımlar!$B$3</f>
        <v>0.0267840125</v>
      </c>
      <c r="G1342" s="5" t="n">
        <f aca="false">G1341*(1+F1342)</f>
        <v>318578.341178525</v>
      </c>
    </row>
    <row r="1343" customFormat="false" ht="15" hidden="false" customHeight="false" outlineLevel="0" collapsed="false">
      <c r="A1343" s="3" t="n">
        <v>46103</v>
      </c>
      <c r="B1343" s="10" t="n">
        <v>0.02194873</v>
      </c>
      <c r="C1343" s="5" t="n">
        <f aca="false">C1342*(1+B1343)</f>
        <v>33271.5709560265</v>
      </c>
      <c r="D1343" s="10" t="n">
        <v>0.06343724</v>
      </c>
      <c r="E1343" s="5" t="n">
        <f aca="false">E1342*(1+D1343)</f>
        <v>130559.549818949</v>
      </c>
      <c r="F1343" s="4" t="n">
        <f aca="false">D1343*Varsayımlar!$B$3</f>
        <v>0.07929655</v>
      </c>
      <c r="G1343" s="5" t="n">
        <f aca="false">G1342*(1+F1343)</f>
        <v>343840.504538705</v>
      </c>
    </row>
    <row r="1344" customFormat="false" ht="15" hidden="false" customHeight="false" outlineLevel="0" collapsed="false">
      <c r="A1344" s="3" t="n">
        <v>46104</v>
      </c>
      <c r="B1344" s="10" t="n">
        <v>-0.00171714</v>
      </c>
      <c r="C1344" s="5" t="n">
        <f aca="false">C1343*(1+B1344)</f>
        <v>33214.4390106751</v>
      </c>
      <c r="D1344" s="10" t="n">
        <v>-0.02260321</v>
      </c>
      <c r="E1344" s="5" t="n">
        <f aca="false">E1343*(1+D1344)</f>
        <v>127608.484896886</v>
      </c>
      <c r="F1344" s="4" t="n">
        <f aca="false">D1344*Varsayımlar!$B$3</f>
        <v>-0.0282540125</v>
      </c>
      <c r="G1344" s="5" t="n">
        <f aca="false">G1343*(1+F1344)</f>
        <v>334125.630625462</v>
      </c>
    </row>
    <row r="1345" customFormat="false" ht="15" hidden="false" customHeight="false" outlineLevel="0" collapsed="false">
      <c r="A1345" s="3" t="n">
        <v>46105</v>
      </c>
      <c r="B1345" s="10" t="n">
        <v>0.0015111</v>
      </c>
      <c r="C1345" s="5" t="n">
        <f aca="false">C1344*(1+B1345)</f>
        <v>33264.6293494641</v>
      </c>
      <c r="D1345" s="10" t="n">
        <v>-0.00386352</v>
      </c>
      <c r="E1345" s="5" t="n">
        <f aca="false">E1344*(1+D1345)</f>
        <v>127115.466963317</v>
      </c>
      <c r="F1345" s="4" t="n">
        <f aca="false">D1345*Varsayımlar!$B$3</f>
        <v>-0.0048294</v>
      </c>
      <c r="G1345" s="5" t="n">
        <f aca="false">G1344*(1+F1345)</f>
        <v>332512.00430492</v>
      </c>
    </row>
    <row r="1346" customFormat="false" ht="15" hidden="false" customHeight="false" outlineLevel="0" collapsed="false">
      <c r="A1346" s="3" t="n">
        <v>46106</v>
      </c>
      <c r="B1346" s="10" t="n">
        <v>0.00917686</v>
      </c>
      <c r="C1346" s="5" t="n">
        <f aca="false">C1345*(1+B1346)</f>
        <v>33569.894195956</v>
      </c>
      <c r="D1346" s="10" t="n">
        <v>0.01884137</v>
      </c>
      <c r="E1346" s="5" t="n">
        <f aca="false">E1345*(1+D1346)</f>
        <v>129510.496509095</v>
      </c>
      <c r="F1346" s="4" t="n">
        <f aca="false">D1346*Varsayımlar!$B$3</f>
        <v>0.0235517125</v>
      </c>
      <c r="G1346" s="5" t="n">
        <f aca="false">G1345*(1+F1346)</f>
        <v>340343.231433108</v>
      </c>
    </row>
    <row r="1347" customFormat="false" ht="15" hidden="false" customHeight="false" outlineLevel="0" collapsed="false">
      <c r="A1347" s="3" t="n">
        <v>46107</v>
      </c>
      <c r="B1347" s="10" t="n">
        <v>-0.00660183</v>
      </c>
      <c r="C1347" s="5" t="n">
        <f aca="false">C1346*(1+B1347)</f>
        <v>33348.2714613563</v>
      </c>
      <c r="D1347" s="10" t="n">
        <v>-0.00830893</v>
      </c>
      <c r="E1347" s="5" t="n">
        <f aca="false">E1346*(1+D1347)</f>
        <v>128434.402859336</v>
      </c>
      <c r="F1347" s="4" t="n">
        <f aca="false">D1347*Varsayımlar!$B$3</f>
        <v>-0.0103861625</v>
      </c>
      <c r="G1347" s="5" t="n">
        <f aca="false">G1346*(1+F1347)</f>
        <v>336808.371325669</v>
      </c>
    </row>
    <row r="1348" customFormat="false" ht="15" hidden="false" customHeight="false" outlineLevel="0" collapsed="false">
      <c r="A1348" s="3" t="n">
        <v>46108</v>
      </c>
      <c r="B1348" s="10" t="n">
        <v>-0.01290284</v>
      </c>
      <c r="C1348" s="5" t="n">
        <f aca="false">C1347*(1+B1348)</f>
        <v>32917.9840504139</v>
      </c>
      <c r="D1348" s="10" t="n">
        <v>-0.01960375</v>
      </c>
      <c r="E1348" s="5" t="n">
        <f aca="false">E1347*(1+D1348)</f>
        <v>125916.606934282</v>
      </c>
      <c r="F1348" s="4" t="n">
        <f aca="false">D1348*Varsayımlar!$B$3</f>
        <v>-0.0245046875</v>
      </c>
      <c r="G1348" s="5" t="n">
        <f aca="false">G1347*(1+F1348)</f>
        <v>328554.987438949</v>
      </c>
    </row>
    <row r="1349" customFormat="false" ht="15" hidden="false" customHeight="false" outlineLevel="0" collapsed="false">
      <c r="A1349" s="3" t="n">
        <v>46109</v>
      </c>
      <c r="B1349" s="10" t="n">
        <v>0.02490958</v>
      </c>
      <c r="C1349" s="5" t="n">
        <f aca="false">C1348*(1+B1349)</f>
        <v>33737.9572075564</v>
      </c>
      <c r="D1349" s="10" t="n">
        <v>0.03271452</v>
      </c>
      <c r="E1349" s="5" t="n">
        <f aca="false">E1348*(1+D1349)</f>
        <v>130035.908290166</v>
      </c>
      <c r="F1349" s="4" t="n">
        <f aca="false">D1349*Varsayımlar!$B$3</f>
        <v>0.04089315</v>
      </c>
      <c r="G1349" s="5" t="n">
        <f aca="false">G1348*(1+F1349)</f>
        <v>341990.635823538</v>
      </c>
    </row>
    <row r="1350" customFormat="false" ht="15" hidden="false" customHeight="false" outlineLevel="0" collapsed="false">
      <c r="A1350" s="3" t="n">
        <v>46110</v>
      </c>
      <c r="B1350" s="10" t="n">
        <v>0.00740541</v>
      </c>
      <c r="C1350" s="5" t="n">
        <f aca="false">C1349*(1+B1350)</f>
        <v>33987.8006132408</v>
      </c>
      <c r="D1350" s="10" t="n">
        <v>0.01981331</v>
      </c>
      <c r="E1350" s="5" t="n">
        <f aca="false">E1349*(1+D1350)</f>
        <v>132612.350052251</v>
      </c>
      <c r="F1350" s="4" t="n">
        <f aca="false">D1350*Varsayımlar!$B$3</f>
        <v>0.0247666375</v>
      </c>
      <c r="G1350" s="5" t="n">
        <f aca="false">G1349*(1+F1350)</f>
        <v>350460.593929374</v>
      </c>
    </row>
    <row r="1351" customFormat="false" ht="15" hidden="false" customHeight="false" outlineLevel="0" collapsed="false">
      <c r="A1351" s="3" t="n">
        <v>46111</v>
      </c>
      <c r="B1351" s="10" t="n">
        <v>0.02469472</v>
      </c>
      <c r="C1351" s="5" t="n">
        <f aca="false">C1350*(1+B1351)</f>
        <v>34827.1198328006</v>
      </c>
      <c r="D1351" s="10" t="n">
        <v>-0.00510645</v>
      </c>
      <c r="E1351" s="5" t="n">
        <f aca="false">E1350*(1+D1351)</f>
        <v>131935.171717326</v>
      </c>
      <c r="F1351" s="4" t="n">
        <f aca="false">D1351*Varsayımlar!$B$3</f>
        <v>-0.0063830625</v>
      </c>
      <c r="G1351" s="5" t="n">
        <f aca="false">G1350*(1+F1351)</f>
        <v>348223.582054536</v>
      </c>
    </row>
    <row r="1352" customFormat="false" ht="15" hidden="false" customHeight="false" outlineLevel="0" collapsed="false">
      <c r="A1352" s="3" t="n">
        <v>46112</v>
      </c>
      <c r="B1352" s="10" t="n">
        <v>-0.03765395</v>
      </c>
      <c r="C1352" s="5" t="n">
        <f aca="false">C1351*(1+B1352)</f>
        <v>33515.7412039724</v>
      </c>
      <c r="D1352" s="10" t="n">
        <v>-0.05959659</v>
      </c>
      <c r="E1352" s="5" t="n">
        <f aca="false">E1351*(1+D1352)</f>
        <v>124072.285381909</v>
      </c>
      <c r="F1352" s="4" t="n">
        <f aca="false">D1352*Varsayımlar!$B$3</f>
        <v>-0.0744957375</v>
      </c>
      <c r="G1352" s="5" t="n">
        <f aca="false">G1351*(1+F1352)</f>
        <v>322282.409494491</v>
      </c>
    </row>
    <row r="1353" customFormat="false" ht="15" hidden="false" customHeight="false" outlineLevel="0" collapsed="false">
      <c r="A1353" s="3" t="n">
        <v>46113</v>
      </c>
      <c r="B1353" s="10" t="n">
        <v>0.00507902</v>
      </c>
      <c r="C1353" s="5" t="n">
        <f aca="false">C1352*(1+B1353)</f>
        <v>33685.9683238621</v>
      </c>
      <c r="D1353" s="10" t="n">
        <v>0.02177988</v>
      </c>
      <c r="E1353" s="5" t="n">
        <f aca="false">E1352*(1+D1353)</f>
        <v>126774.564868853</v>
      </c>
      <c r="F1353" s="4" t="n">
        <f aca="false">D1353*Varsayımlar!$B$3</f>
        <v>0.02722485</v>
      </c>
      <c r="G1353" s="5" t="n">
        <f aca="false">G1352*(1+F1353)</f>
        <v>331056.499750618</v>
      </c>
    </row>
    <row r="1354" customFormat="false" ht="15" hidden="false" customHeight="false" outlineLevel="0" collapsed="false">
      <c r="A1354" s="3" t="n">
        <v>46114</v>
      </c>
      <c r="B1354" s="10" t="n">
        <v>0.00190545</v>
      </c>
      <c r="C1354" s="5" t="n">
        <f aca="false">C1353*(1+B1354)</f>
        <v>33750.1552522048</v>
      </c>
      <c r="D1354" s="10" t="n">
        <v>0.00619856</v>
      </c>
      <c r="E1354" s="5" t="n">
        <f aca="false">E1353*(1+D1354)</f>
        <v>127560.384615667</v>
      </c>
      <c r="F1354" s="4" t="n">
        <f aca="false">D1354*Varsayımlar!$B$3</f>
        <v>0.0077482</v>
      </c>
      <c r="G1354" s="5" t="n">
        <f aca="false">G1353*(1+F1354)</f>
        <v>333621.591721985</v>
      </c>
    </row>
    <row r="1355" customFormat="false" ht="15" hidden="false" customHeight="false" outlineLevel="0" collapsed="false">
      <c r="A1355" s="3" t="n">
        <v>46115</v>
      </c>
      <c r="B1355" s="10" t="n">
        <v>0.01610139</v>
      </c>
      <c r="C1355" s="5" t="n">
        <f aca="false">C1354*(1+B1355)</f>
        <v>34293.5796644811</v>
      </c>
      <c r="D1355" s="10" t="n">
        <v>0.03026321</v>
      </c>
      <c r="E1355" s="5" t="n">
        <f aca="false">E1354*(1+D1355)</f>
        <v>131420.771322971</v>
      </c>
      <c r="F1355" s="4" t="n">
        <f aca="false">D1355*Varsayımlar!$B$3</f>
        <v>0.0378290125</v>
      </c>
      <c r="G1355" s="5" t="n">
        <f aca="false">G1354*(1+F1355)</f>
        <v>346242.167085506</v>
      </c>
    </row>
    <row r="1356" customFormat="false" ht="15" hidden="false" customHeight="false" outlineLevel="0" collapsed="false">
      <c r="A1356" s="3" t="n">
        <v>46116</v>
      </c>
      <c r="B1356" s="10" t="n">
        <v>-0.00305823</v>
      </c>
      <c r="C1356" s="5" t="n">
        <f aca="false">C1355*(1+B1356)</f>
        <v>34188.7020103438</v>
      </c>
      <c r="D1356" s="10" t="n">
        <v>0.01835767</v>
      </c>
      <c r="E1356" s="5" t="n">
        <f aca="false">E1355*(1+D1356)</f>
        <v>133833.350474064</v>
      </c>
      <c r="F1356" s="4" t="n">
        <f aca="false">D1356*Varsayımlar!$B$3</f>
        <v>0.0229470875</v>
      </c>
      <c r="G1356" s="5" t="n">
        <f aca="false">G1355*(1+F1356)</f>
        <v>354187.416389807</v>
      </c>
    </row>
    <row r="1357" customFormat="false" ht="15" hidden="false" customHeight="false" outlineLevel="0" collapsed="false">
      <c r="A1357" s="3" t="n">
        <v>46117</v>
      </c>
      <c r="B1357" s="10" t="n">
        <v>-0.02720597</v>
      </c>
      <c r="C1357" s="5" t="n">
        <f aca="false">C1356*(1+B1357)</f>
        <v>33258.5652091115</v>
      </c>
      <c r="D1357" s="10" t="n">
        <v>-0.0286951</v>
      </c>
      <c r="E1357" s="5" t="n">
        <f aca="false">E1356*(1+D1357)</f>
        <v>129992.989098876</v>
      </c>
      <c r="F1357" s="4" t="n">
        <f aca="false">D1357*Varsayımlar!$B$3</f>
        <v>-0.035868875</v>
      </c>
      <c r="G1357" s="5" t="n">
        <f aca="false">G1356*(1+F1357)</f>
        <v>341483.112224748</v>
      </c>
    </row>
    <row r="1358" customFormat="false" ht="15" hidden="false" customHeight="false" outlineLevel="0" collapsed="false">
      <c r="A1358" s="3" t="n">
        <v>46118</v>
      </c>
      <c r="B1358" s="10" t="n">
        <v>-0.02004647</v>
      </c>
      <c r="C1358" s="5" t="n">
        <f aca="false">C1357*(1+B1358)</f>
        <v>32591.848379404</v>
      </c>
      <c r="D1358" s="10" t="n">
        <v>-0.01705968</v>
      </c>
      <c r="E1358" s="5" t="n">
        <f aca="false">E1357*(1+D1358)</f>
        <v>127775.350302605</v>
      </c>
      <c r="F1358" s="4" t="n">
        <f aca="false">D1358*Varsayımlar!$B$3</f>
        <v>-0.0213246</v>
      </c>
      <c r="G1358" s="5" t="n">
        <f aca="false">G1357*(1+F1358)</f>
        <v>334201.1214498</v>
      </c>
    </row>
    <row r="1359" customFormat="false" ht="15" hidden="false" customHeight="false" outlineLevel="0" collapsed="false">
      <c r="A1359" s="3" t="n">
        <v>46119</v>
      </c>
      <c r="B1359" s="10" t="n">
        <v>0.02377308</v>
      </c>
      <c r="C1359" s="5" t="n">
        <f aca="false">C1358*(1+B1359)</f>
        <v>33366.6569982754</v>
      </c>
      <c r="D1359" s="10" t="n">
        <v>0.00776395</v>
      </c>
      <c r="E1359" s="5" t="n">
        <f aca="false">E1358*(1+D1359)</f>
        <v>128767.391733587</v>
      </c>
      <c r="F1359" s="4" t="n">
        <f aca="false">D1359*Varsayımlar!$B$3</f>
        <v>0.0097049375</v>
      </c>
      <c r="G1359" s="5" t="n">
        <f aca="false">G1358*(1+F1359)</f>
        <v>337444.5224459</v>
      </c>
    </row>
    <row r="1360" customFormat="false" ht="15" hidden="false" customHeight="false" outlineLevel="0" collapsed="false">
      <c r="A1360" s="3" t="n">
        <v>46120</v>
      </c>
      <c r="B1360" s="10" t="n">
        <v>0.0263902</v>
      </c>
      <c r="C1360" s="5" t="n">
        <f aca="false">C1359*(1+B1360)</f>
        <v>34247.2097497913</v>
      </c>
      <c r="D1360" s="10" t="n">
        <v>0.01946282</v>
      </c>
      <c r="E1360" s="5" t="n">
        <f aca="false">E1359*(1+D1360)</f>
        <v>131273.568300767</v>
      </c>
      <c r="F1360" s="4" t="n">
        <f aca="false">D1360*Varsayımlar!$B$3</f>
        <v>0.024328525</v>
      </c>
      <c r="G1360" s="5" t="n">
        <f aca="false">G1359*(1+F1360)</f>
        <v>345654.049946338</v>
      </c>
    </row>
    <row r="1361" customFormat="false" ht="15" hidden="false" customHeight="false" outlineLevel="0" collapsed="false">
      <c r="A1361" s="3" t="n">
        <v>46121</v>
      </c>
      <c r="B1361" s="10" t="n">
        <v>0.02598053</v>
      </c>
      <c r="C1361" s="5" t="n">
        <f aca="false">C1360*(1+B1361)</f>
        <v>35136.9704101121</v>
      </c>
      <c r="D1361" s="10" t="n">
        <v>0.00623687</v>
      </c>
      <c r="E1361" s="5" t="n">
        <f aca="false">E1360*(1+D1361)</f>
        <v>132092.304480695</v>
      </c>
      <c r="F1361" s="4" t="n">
        <f aca="false">D1361*Varsayımlar!$B$3</f>
        <v>0.0077960875</v>
      </c>
      <c r="G1361" s="5" t="n">
        <f aca="false">G1360*(1+F1361)</f>
        <v>348348.799164449</v>
      </c>
    </row>
    <row r="1362" customFormat="false" ht="15" hidden="false" customHeight="false" outlineLevel="0" collapsed="false">
      <c r="A1362" s="3" t="n">
        <v>46122</v>
      </c>
      <c r="B1362" s="10" t="n">
        <v>0.01522204</v>
      </c>
      <c r="C1362" s="5" t="n">
        <f aca="false">C1361*(1+B1362)</f>
        <v>35671.8267791736</v>
      </c>
      <c r="D1362" s="10" t="n">
        <v>0.01999628</v>
      </c>
      <c r="E1362" s="5" t="n">
        <f aca="false">E1361*(1+D1362)</f>
        <v>134733.659186937</v>
      </c>
      <c r="F1362" s="4" t="n">
        <f aca="false">D1362*Varsayımlar!$B$3</f>
        <v>0.02499535</v>
      </c>
      <c r="G1362" s="5" t="n">
        <f aca="false">G1361*(1+F1362)</f>
        <v>357055.899321645</v>
      </c>
    </row>
    <row r="1363" customFormat="false" ht="15" hidden="false" customHeight="false" outlineLevel="0" collapsed="false">
      <c r="A1363" s="3" t="n">
        <v>46123</v>
      </c>
      <c r="B1363" s="10" t="n">
        <v>0.00563548</v>
      </c>
      <c r="C1363" s="5" t="n">
        <f aca="false">C1362*(1+B1363)</f>
        <v>35872.8546455511</v>
      </c>
      <c r="D1363" s="10" t="n">
        <v>0.01749343</v>
      </c>
      <c r="E1363" s="5" t="n">
        <f aca="false">E1362*(1+D1363)</f>
        <v>137090.613022567</v>
      </c>
      <c r="F1363" s="4" t="n">
        <f aca="false">D1363*Varsayımlar!$B$3</f>
        <v>0.0218667875</v>
      </c>
      <c r="G1363" s="5" t="n">
        <f aca="false">G1362*(1+F1363)</f>
        <v>364863.564797732</v>
      </c>
    </row>
    <row r="1364" customFormat="false" ht="15" hidden="false" customHeight="false" outlineLevel="0" collapsed="false">
      <c r="A1364" s="3" t="n">
        <v>46124</v>
      </c>
      <c r="B1364" s="10" t="n">
        <v>0.0213515</v>
      </c>
      <c r="C1364" s="5" t="n">
        <f aca="false">C1363*(1+B1364)</f>
        <v>36638.7939015156</v>
      </c>
      <c r="D1364" s="10" t="n">
        <v>0.03914107</v>
      </c>
      <c r="E1364" s="5" t="n">
        <f aca="false">E1363*(1+D1364)</f>
        <v>142456.486303226</v>
      </c>
      <c r="F1364" s="4" t="n">
        <f aca="false">D1364*Varsayımlar!$B$3</f>
        <v>0.0489263375</v>
      </c>
      <c r="G1364" s="5" t="n">
        <f aca="false">G1363*(1+F1364)</f>
        <v>382715.002710479</v>
      </c>
    </row>
    <row r="1365" customFormat="false" ht="15" hidden="false" customHeight="false" outlineLevel="0" collapsed="false">
      <c r="A1365" s="3" t="n">
        <v>46125</v>
      </c>
      <c r="B1365" s="10" t="n">
        <v>-0.01340704</v>
      </c>
      <c r="C1365" s="5" t="n">
        <f aca="false">C1364*(1+B1365)</f>
        <v>36147.5761261262</v>
      </c>
      <c r="D1365" s="10" t="n">
        <v>-0.00972066</v>
      </c>
      <c r="E1365" s="5" t="n">
        <f aca="false">E1364*(1+D1365)</f>
        <v>141071.715235078</v>
      </c>
      <c r="F1365" s="4" t="n">
        <f aca="false">D1365*Varsayımlar!$B$3</f>
        <v>-0.012150825</v>
      </c>
      <c r="G1365" s="5" t="n">
        <f aca="false">G1364*(1+F1365)</f>
        <v>378064.69968767</v>
      </c>
    </row>
    <row r="1366" customFormat="false" ht="15" hidden="false" customHeight="false" outlineLevel="0" collapsed="false">
      <c r="A1366" s="3" t="n">
        <v>46126</v>
      </c>
      <c r="B1366" s="10" t="n">
        <v>-0.00733323</v>
      </c>
      <c r="C1366" s="5" t="n">
        <f aca="false">C1365*(1+B1366)</f>
        <v>35882.4976364508</v>
      </c>
      <c r="D1366" s="10" t="n">
        <v>0.00992941</v>
      </c>
      <c r="E1366" s="5" t="n">
        <f aca="false">E1365*(1+D1366)</f>
        <v>142472.47413505</v>
      </c>
      <c r="F1366" s="4" t="n">
        <f aca="false">D1366*Varsayımlar!$B$3</f>
        <v>0.0124117625</v>
      </c>
      <c r="G1366" s="5" t="n">
        <f aca="false">G1365*(1+F1366)</f>
        <v>382757.148949827</v>
      </c>
    </row>
    <row r="1367" customFormat="false" ht="15" hidden="false" customHeight="false" outlineLevel="0" collapsed="false">
      <c r="A1367" s="3" t="n">
        <v>46127</v>
      </c>
      <c r="B1367" s="10" t="n">
        <v>-0.00871435</v>
      </c>
      <c r="C1367" s="5" t="n">
        <f aca="false">C1366*(1+B1367)</f>
        <v>35569.8049931726</v>
      </c>
      <c r="D1367" s="10" t="n">
        <v>-0.01438977</v>
      </c>
      <c r="E1367" s="5" t="n">
        <f aca="false">E1366*(1+D1367)</f>
        <v>140422.328000916</v>
      </c>
      <c r="F1367" s="4" t="n">
        <f aca="false">D1367*Varsayımlar!$B$3</f>
        <v>-0.0179872125</v>
      </c>
      <c r="G1367" s="5" t="n">
        <f aca="false">G1366*(1+F1367)</f>
        <v>375872.414775772</v>
      </c>
    </row>
    <row r="1368" customFormat="false" ht="15" hidden="false" customHeight="false" outlineLevel="0" collapsed="false">
      <c r="A1368" s="3" t="n">
        <v>46128</v>
      </c>
      <c r="B1368" s="10" t="n">
        <v>0.02511292</v>
      </c>
      <c r="C1368" s="5" t="n">
        <f aca="false">C1367*(1+B1368)</f>
        <v>36463.0666603818</v>
      </c>
      <c r="D1368" s="10" t="n">
        <v>0.03528524</v>
      </c>
      <c r="E1368" s="5" t="n">
        <f aca="false">E1367*(1+D1368)</f>
        <v>145377.163545787</v>
      </c>
      <c r="F1368" s="4" t="n">
        <f aca="false">D1368*Varsayımlar!$B$3</f>
        <v>0.04410655</v>
      </c>
      <c r="G1368" s="5" t="n">
        <f aca="false">G1367*(1+F1368)</f>
        <v>392450.850231701</v>
      </c>
    </row>
    <row r="1369" customFormat="false" ht="15" hidden="false" customHeight="false" outlineLevel="0" collapsed="false">
      <c r="A1369" s="3" t="n">
        <v>46129</v>
      </c>
      <c r="B1369" s="10" t="n">
        <v>0.01958928</v>
      </c>
      <c r="C1369" s="5" t="n">
        <f aca="false">C1368*(1+B1369)</f>
        <v>37177.3518828506</v>
      </c>
      <c r="D1369" s="10" t="n">
        <v>0.04457627</v>
      </c>
      <c r="E1369" s="5" t="n">
        <f aca="false">E1368*(1+D1369)</f>
        <v>151857.535239838</v>
      </c>
      <c r="F1369" s="4" t="n">
        <f aca="false">D1369*Varsayımlar!$B$3</f>
        <v>0.0557203375</v>
      </c>
      <c r="G1369" s="5" t="n">
        <f aca="false">G1368*(1+F1369)</f>
        <v>414318.344058773</v>
      </c>
    </row>
    <row r="1370" customFormat="false" ht="15" hidden="false" customHeight="false" outlineLevel="0" collapsed="false">
      <c r="A1370" s="3" t="n">
        <v>46130</v>
      </c>
      <c r="B1370" s="10" t="n">
        <v>0.00370703</v>
      </c>
      <c r="C1370" s="5" t="n">
        <f aca="false">C1369*(1+B1370)</f>
        <v>37315.1694416009</v>
      </c>
      <c r="D1370" s="10" t="n">
        <v>-0.00969485</v>
      </c>
      <c r="E1370" s="5" t="n">
        <f aca="false">E1369*(1+D1370)</f>
        <v>150385.299214318</v>
      </c>
      <c r="F1370" s="4" t="n">
        <f aca="false">D1370*Varsayımlar!$B$3</f>
        <v>-0.0121185625</v>
      </c>
      <c r="G1370" s="5" t="n">
        <f aca="false">G1369*(1+F1370)</f>
        <v>409297.4013114</v>
      </c>
    </row>
    <row r="1371" customFormat="false" ht="15" hidden="false" customHeight="false" outlineLevel="0" collapsed="false">
      <c r="A1371" s="3" t="n">
        <v>46131</v>
      </c>
      <c r="B1371" s="10" t="n">
        <v>-0.01217267</v>
      </c>
      <c r="C1371" s="5" t="n">
        <f aca="false">C1370*(1+B1371)</f>
        <v>36860.9441979942</v>
      </c>
      <c r="D1371" s="10" t="n">
        <v>-0.00882183</v>
      </c>
      <c r="E1371" s="5" t="n">
        <f aca="false">E1370*(1+D1371)</f>
        <v>149058.62567015</v>
      </c>
      <c r="F1371" s="4" t="n">
        <f aca="false">D1371*Varsayımlar!$B$3</f>
        <v>-0.0110272875</v>
      </c>
      <c r="G1371" s="5" t="n">
        <f aca="false">G1370*(1+F1371)</f>
        <v>404783.961194137</v>
      </c>
    </row>
    <row r="1372" customFormat="false" ht="15" hidden="false" customHeight="false" outlineLevel="0" collapsed="false">
      <c r="A1372" s="3" t="n">
        <v>46132</v>
      </c>
      <c r="B1372" s="10" t="n">
        <v>0.00885103</v>
      </c>
      <c r="C1372" s="5" t="n">
        <f aca="false">C1371*(1+B1372)</f>
        <v>37187.201520919</v>
      </c>
      <c r="D1372" s="10" t="n">
        <v>0.0049121</v>
      </c>
      <c r="E1372" s="5" t="n">
        <f aca="false">E1371*(1+D1372)</f>
        <v>149790.816545305</v>
      </c>
      <c r="F1372" s="4" t="n">
        <f aca="false">D1372*Varsayımlar!$B$3</f>
        <v>0.006140125</v>
      </c>
      <c r="G1372" s="5" t="n">
        <f aca="false">G1371*(1+F1372)</f>
        <v>407269.385313864</v>
      </c>
    </row>
    <row r="1373" customFormat="false" ht="15" hidden="false" customHeight="false" outlineLevel="0" collapsed="false">
      <c r="A1373" s="3" t="n">
        <v>46133</v>
      </c>
      <c r="B1373" s="10" t="n">
        <v>-0.0099439</v>
      </c>
      <c r="C1373" s="5" t="n">
        <f aca="false">C1372*(1+B1373)</f>
        <v>36817.4157077151</v>
      </c>
      <c r="D1373" s="10" t="n">
        <v>-0.00436004</v>
      </c>
      <c r="E1373" s="5" t="n">
        <f aca="false">E1372*(1+D1373)</f>
        <v>149137.722593535</v>
      </c>
      <c r="F1373" s="4" t="n">
        <f aca="false">D1373*Varsayımlar!$B$3</f>
        <v>-0.00545005</v>
      </c>
      <c r="G1373" s="5" t="n">
        <f aca="false">G1372*(1+F1373)</f>
        <v>405049.746800434</v>
      </c>
    </row>
    <row r="1374" customFormat="false" ht="15" hidden="false" customHeight="false" outlineLevel="0" collapsed="false">
      <c r="A1374" s="3" t="n">
        <v>46134</v>
      </c>
      <c r="B1374" s="10" t="n">
        <v>-0.00654646</v>
      </c>
      <c r="C1374" s="5" t="n">
        <f aca="false">C1373*(1+B1374)</f>
        <v>36576.3919684812</v>
      </c>
      <c r="D1374" s="10" t="n">
        <v>-0.01020087</v>
      </c>
      <c r="E1374" s="5" t="n">
        <f aca="false">E1373*(1+D1374)</f>
        <v>147616.388073262</v>
      </c>
      <c r="F1374" s="4" t="n">
        <f aca="false">D1374*Varsayımlar!$B$3</f>
        <v>-0.0127510875</v>
      </c>
      <c r="G1374" s="5" t="n">
        <f aca="false">G1373*(1+F1374)</f>
        <v>399884.922037129</v>
      </c>
    </row>
    <row r="1375" customFormat="false" ht="15" hidden="false" customHeight="false" outlineLevel="0" collapsed="false">
      <c r="A1375" s="3" t="n">
        <v>46135</v>
      </c>
      <c r="B1375" s="10" t="n">
        <v>0.01668589</v>
      </c>
      <c r="C1375" s="5" t="n">
        <f aca="false">C1374*(1+B1375)</f>
        <v>37186.7016214642</v>
      </c>
      <c r="D1375" s="10" t="n">
        <v>0.01172633</v>
      </c>
      <c r="E1375" s="5" t="n">
        <f aca="false">E1374*(1+D1375)</f>
        <v>149347.386553217</v>
      </c>
      <c r="F1375" s="4" t="n">
        <f aca="false">D1375*Varsayımlar!$B$3</f>
        <v>0.0146579125</v>
      </c>
      <c r="G1375" s="5" t="n">
        <f aca="false">G1374*(1+F1375)</f>
        <v>405746.400234418</v>
      </c>
    </row>
    <row r="1376" customFormat="false" ht="15" hidden="false" customHeight="false" outlineLevel="0" collapsed="false">
      <c r="A1376" s="3" t="n">
        <v>46136</v>
      </c>
      <c r="B1376" s="10" t="n">
        <v>-0.0099447</v>
      </c>
      <c r="C1376" s="5" t="n">
        <f aca="false">C1375*(1+B1376)</f>
        <v>36816.8910298492</v>
      </c>
      <c r="D1376" s="10" t="n">
        <v>-0.01598688</v>
      </c>
      <c r="E1376" s="5" t="n">
        <f aca="false">E1375*(1+D1376)</f>
        <v>146959.787806077</v>
      </c>
      <c r="F1376" s="4" t="n">
        <f aca="false">D1376*Varsayımlar!$B$3</f>
        <v>-0.0199836</v>
      </c>
      <c r="G1376" s="5" t="n">
        <f aca="false">G1375*(1+F1376)</f>
        <v>397638.126470694</v>
      </c>
    </row>
    <row r="1377" customFormat="false" ht="15" hidden="false" customHeight="false" outlineLevel="0" collapsed="false">
      <c r="A1377" s="3" t="n">
        <v>46137</v>
      </c>
      <c r="B1377" s="10" t="n">
        <v>0.01260967</v>
      </c>
      <c r="C1377" s="5" t="n">
        <f aca="false">C1376*(1+B1377)</f>
        <v>37281.1398761616</v>
      </c>
      <c r="D1377" s="10" t="n">
        <v>0.02882201</v>
      </c>
      <c r="E1377" s="5" t="n">
        <f aca="false">E1376*(1+D1377)</f>
        <v>151195.464279822</v>
      </c>
      <c r="F1377" s="4" t="n">
        <f aca="false">D1377*Varsayımlar!$B$3</f>
        <v>0.0360275125</v>
      </c>
      <c r="G1377" s="5" t="n">
        <f aca="false">G1376*(1+F1377)</f>
        <v>411964.039042593</v>
      </c>
    </row>
    <row r="1378" customFormat="false" ht="15" hidden="false" customHeight="false" outlineLevel="0" collapsed="false">
      <c r="A1378" s="3" t="n">
        <v>46138</v>
      </c>
      <c r="B1378" s="10" t="n">
        <v>-0.01016806</v>
      </c>
      <c r="C1378" s="5" t="n">
        <f aca="false">C1377*(1+B1378)</f>
        <v>36902.0630090324</v>
      </c>
      <c r="D1378" s="10" t="n">
        <v>-0.00831683</v>
      </c>
      <c r="E1378" s="5" t="n">
        <f aca="false">E1377*(1+D1378)</f>
        <v>149937.997306635</v>
      </c>
      <c r="F1378" s="4" t="n">
        <f aca="false">D1378*Varsayımlar!$B$3</f>
        <v>-0.0103960375</v>
      </c>
      <c r="G1378" s="5" t="n">
        <f aca="false">G1377*(1+F1378)</f>
        <v>407681.245444055</v>
      </c>
    </row>
    <row r="1379" customFormat="false" ht="15" hidden="false" customHeight="false" outlineLevel="0" collapsed="false">
      <c r="A1379" s="3" t="n">
        <v>46139</v>
      </c>
      <c r="B1379" s="10" t="n">
        <v>0.01004704</v>
      </c>
      <c r="C1379" s="5" t="n">
        <f aca="false">C1378*(1+B1379)</f>
        <v>37272.8195121666</v>
      </c>
      <c r="D1379" s="10" t="n">
        <v>0.01404871</v>
      </c>
      <c r="E1379" s="5" t="n">
        <f aca="false">E1378*(1+D1379)</f>
        <v>152044.432748777</v>
      </c>
      <c r="F1379" s="4" t="n">
        <f aca="false">D1379*Varsayımlar!$B$3</f>
        <v>0.0175608875</v>
      </c>
      <c r="G1379" s="5" t="n">
        <f aca="false">G1378*(1+F1379)</f>
        <v>414840.489931158</v>
      </c>
    </row>
    <row r="1380" customFormat="false" ht="15" hidden="false" customHeight="false" outlineLevel="0" collapsed="false">
      <c r="A1380" s="3" t="n">
        <v>46140</v>
      </c>
      <c r="B1380" s="10" t="n">
        <v>0.00967858</v>
      </c>
      <c r="C1380" s="5" t="n">
        <f aca="false">C1379*(1+B1380)</f>
        <v>37633.5674776407</v>
      </c>
      <c r="D1380" s="10" t="n">
        <v>0.00952967</v>
      </c>
      <c r="E1380" s="5" t="n">
        <f aca="false">E1379*(1+D1380)</f>
        <v>153493.36601821</v>
      </c>
      <c r="F1380" s="4" t="n">
        <f aca="false">D1380*Varsayımlar!$B$3</f>
        <v>0.0119120875</v>
      </c>
      <c r="G1380" s="5" t="n">
        <f aca="false">G1379*(1+F1380)</f>
        <v>419782.106145761</v>
      </c>
    </row>
    <row r="1381" customFormat="false" ht="15" hidden="false" customHeight="false" outlineLevel="0" collapsed="false">
      <c r="A1381" s="3" t="n">
        <v>46141</v>
      </c>
      <c r="B1381" s="10" t="n">
        <v>-0.00077483</v>
      </c>
      <c r="C1381" s="5" t="n">
        <f aca="false">C1380*(1+B1381)</f>
        <v>37604.407860552</v>
      </c>
      <c r="D1381" s="10" t="n">
        <v>0.00182806</v>
      </c>
      <c r="E1381" s="5" t="n">
        <f aca="false">E1380*(1+D1381)</f>
        <v>153773.961100893</v>
      </c>
      <c r="F1381" s="4" t="n">
        <f aca="false">D1381*Varsayımlar!$B$3</f>
        <v>0.002285075</v>
      </c>
      <c r="G1381" s="5" t="n">
        <f aca="false">G1380*(1+F1381)</f>
        <v>420741.339741962</v>
      </c>
    </row>
    <row r="1382" customFormat="false" ht="15" hidden="false" customHeight="false" outlineLevel="0" collapsed="false">
      <c r="A1382" s="3" t="n">
        <v>46142</v>
      </c>
      <c r="B1382" s="10" t="n">
        <v>0.02899719</v>
      </c>
      <c r="C1382" s="5" t="n">
        <f aca="false">C1381*(1+B1382)</f>
        <v>38694.8300201219</v>
      </c>
      <c r="D1382" s="10" t="n">
        <v>0.04349557</v>
      </c>
      <c r="E1382" s="5" t="n">
        <f aca="false">E1381*(1+D1382)</f>
        <v>160462.447190135</v>
      </c>
      <c r="F1382" s="4" t="n">
        <f aca="false">D1382*Varsayımlar!$B$3</f>
        <v>0.0543694625</v>
      </c>
      <c r="G1382" s="5" t="n">
        <f aca="false">G1381*(1+F1382)</f>
        <v>443616.820235262</v>
      </c>
    </row>
    <row r="1383" customFormat="false" ht="15" hidden="false" customHeight="false" outlineLevel="0" collapsed="false">
      <c r="A1383" s="3" t="n">
        <v>46143</v>
      </c>
      <c r="B1383" s="10" t="n">
        <v>0.01047644</v>
      </c>
      <c r="C1383" s="5" t="n">
        <f aca="false">C1382*(1+B1383)</f>
        <v>39100.2140851379</v>
      </c>
      <c r="D1383" s="10" t="n">
        <v>0.00563662</v>
      </c>
      <c r="E1383" s="5" t="n">
        <f aca="false">E1382*(1+D1383)</f>
        <v>161366.913029215</v>
      </c>
      <c r="F1383" s="4" t="n">
        <f aca="false">D1383*Varsayımlar!$B$3</f>
        <v>0.007045775</v>
      </c>
      <c r="G1383" s="5" t="n">
        <f aca="false">G1382*(1+F1383)</f>
        <v>446742.444536855</v>
      </c>
    </row>
    <row r="1384" customFormat="false" ht="15" hidden="false" customHeight="false" outlineLevel="0" collapsed="false">
      <c r="A1384" s="3" t="n">
        <v>46144</v>
      </c>
      <c r="B1384" s="10" t="n">
        <v>0.01684981</v>
      </c>
      <c r="C1384" s="5" t="n">
        <f aca="false">C1383*(1+B1384)</f>
        <v>39759.0452634318</v>
      </c>
      <c r="D1384" s="10" t="n">
        <v>0.01576082</v>
      </c>
      <c r="E1384" s="5" t="n">
        <f aca="false">E1383*(1+D1384)</f>
        <v>163910.187899425</v>
      </c>
      <c r="F1384" s="4" t="n">
        <f aca="false">D1384*Varsayımlar!$B$3</f>
        <v>0.019701025</v>
      </c>
      <c r="G1384" s="5" t="n">
        <f aca="false">G1383*(1+F1384)</f>
        <v>455543.728605237</v>
      </c>
    </row>
    <row r="1385" customFormat="false" ht="15" hidden="false" customHeight="false" outlineLevel="0" collapsed="false">
      <c r="A1385" s="3" t="n">
        <v>46145</v>
      </c>
      <c r="B1385" s="10" t="n">
        <v>-0.01052492</v>
      </c>
      <c r="C1385" s="5" t="n">
        <f aca="false">C1384*(1+B1385)</f>
        <v>39340.5844927578</v>
      </c>
      <c r="D1385" s="10" t="n">
        <v>-0.0022736</v>
      </c>
      <c r="E1385" s="5" t="n">
        <f aca="false">E1384*(1+D1385)</f>
        <v>163537.521696216</v>
      </c>
      <c r="F1385" s="4" t="n">
        <f aca="false">D1385*Varsayımlar!$B$3</f>
        <v>-0.002842</v>
      </c>
      <c r="G1385" s="5" t="n">
        <f aca="false">G1384*(1+F1385)</f>
        <v>454249.073328541</v>
      </c>
    </row>
    <row r="1386" customFormat="false" ht="15" hidden="false" customHeight="false" outlineLevel="0" collapsed="false">
      <c r="A1386" s="3" t="n">
        <v>46146</v>
      </c>
      <c r="B1386" s="10" t="n">
        <v>0.00512347</v>
      </c>
      <c r="C1386" s="5" t="n">
        <f aca="false">C1385*(1+B1386)</f>
        <v>39542.1447971889</v>
      </c>
      <c r="D1386" s="10" t="n">
        <v>0.0022344</v>
      </c>
      <c r="E1386" s="5" t="n">
        <f aca="false">E1385*(1+D1386)</f>
        <v>163902.929934695</v>
      </c>
      <c r="F1386" s="4" t="n">
        <f aca="false">D1386*Varsayımlar!$B$3</f>
        <v>0.002793</v>
      </c>
      <c r="G1386" s="5" t="n">
        <f aca="false">G1385*(1+F1386)</f>
        <v>455517.790990347</v>
      </c>
    </row>
    <row r="1387" customFormat="false" ht="15" hidden="false" customHeight="false" outlineLevel="0" collapsed="false">
      <c r="A1387" s="3" t="n">
        <v>46147</v>
      </c>
      <c r="B1387" s="10" t="n">
        <v>0.00075638</v>
      </c>
      <c r="C1387" s="5" t="n">
        <f aca="false">C1386*(1+B1387)</f>
        <v>39572.0536846706</v>
      </c>
      <c r="D1387" s="10" t="n">
        <v>0.01188832</v>
      </c>
      <c r="E1387" s="5" t="n">
        <f aca="false">E1386*(1+D1387)</f>
        <v>165851.460414696</v>
      </c>
      <c r="F1387" s="4" t="n">
        <f aca="false">D1387*Varsayımlar!$B$3</f>
        <v>0.0148604</v>
      </c>
      <c r="G1387" s="5" t="n">
        <f aca="false">G1386*(1+F1387)</f>
        <v>462286.96757158</v>
      </c>
    </row>
    <row r="1388" customFormat="false" ht="15" hidden="false" customHeight="false" outlineLevel="0" collapsed="false">
      <c r="A1388" s="3" t="n">
        <v>46148</v>
      </c>
      <c r="B1388" s="10" t="n">
        <v>-0.01232125</v>
      </c>
      <c r="C1388" s="5" t="n">
        <f aca="false">C1387*(1+B1388)</f>
        <v>39084.4765182084</v>
      </c>
      <c r="D1388" s="10" t="n">
        <v>0.00741183</v>
      </c>
      <c r="E1388" s="5" t="n">
        <f aca="false">E1387*(1+D1388)</f>
        <v>167080.723244541</v>
      </c>
      <c r="F1388" s="4" t="n">
        <f aca="false">D1388*Varsayımlar!$B$3</f>
        <v>0.0092647875</v>
      </c>
      <c r="G1388" s="5" t="n">
        <f aca="false">G1387*(1+F1388)</f>
        <v>466569.95809015</v>
      </c>
    </row>
    <row r="1389" customFormat="false" ht="15" hidden="false" customHeight="false" outlineLevel="0" collapsed="false">
      <c r="A1389" s="3" t="n">
        <v>46149</v>
      </c>
      <c r="B1389" s="10" t="n">
        <v>0.02003649</v>
      </c>
      <c r="C1389" s="5" t="n">
        <f aca="false">C1388*(1+B1389)</f>
        <v>39867.5922411207</v>
      </c>
      <c r="D1389" s="10" t="n">
        <v>0.02350226</v>
      </c>
      <c r="E1389" s="5" t="n">
        <f aca="false">E1388*(1+D1389)</f>
        <v>171007.497843222</v>
      </c>
      <c r="F1389" s="4" t="n">
        <f aca="false">D1389*Varsayımlar!$B$3</f>
        <v>0.029377825</v>
      </c>
      <c r="G1389" s="5" t="n">
        <f aca="false">G1388*(1+F1389)</f>
        <v>480276.76866918</v>
      </c>
    </row>
    <row r="1390" customFormat="false" ht="15" hidden="false" customHeight="false" outlineLevel="0" collapsed="false">
      <c r="A1390" s="3" t="n">
        <v>46150</v>
      </c>
      <c r="B1390" s="10" t="n">
        <v>-0.01179126</v>
      </c>
      <c r="C1390" s="5" t="n">
        <f aca="false">C1389*(1+B1390)</f>
        <v>39397.5030954316</v>
      </c>
      <c r="D1390" s="10" t="n">
        <v>-0.00739227</v>
      </c>
      <c r="E1390" s="5" t="n">
        <f aca="false">E1389*(1+D1390)</f>
        <v>169743.364247141</v>
      </c>
      <c r="F1390" s="4" t="n">
        <f aca="false">D1390*Varsayımlar!$B$3</f>
        <v>-0.0092403375</v>
      </c>
      <c r="G1390" s="5" t="n">
        <f aca="false">G1389*(1+F1390)</f>
        <v>475838.849233268</v>
      </c>
    </row>
    <row r="1391" customFormat="false" ht="15" hidden="false" customHeight="false" outlineLevel="0" collapsed="false">
      <c r="A1391" s="3" t="n">
        <v>46151</v>
      </c>
      <c r="B1391" s="10" t="n">
        <v>-0.00651438</v>
      </c>
      <c r="C1391" s="5" t="n">
        <f aca="false">C1390*(1+B1391)</f>
        <v>39140.8527892168</v>
      </c>
      <c r="D1391" s="10" t="n">
        <v>0.0056504</v>
      </c>
      <c r="E1391" s="5" t="n">
        <f aca="false">E1390*(1+D1391)</f>
        <v>170702.482152483</v>
      </c>
      <c r="F1391" s="4" t="n">
        <f aca="false">D1391*Varsayımlar!$B$3</f>
        <v>0.007063</v>
      </c>
      <c r="G1391" s="5" t="n">
        <f aca="false">G1390*(1+F1391)</f>
        <v>479199.699025402</v>
      </c>
    </row>
    <row r="1392" customFormat="false" ht="15" hidden="false" customHeight="false" outlineLevel="0" collapsed="false">
      <c r="A1392" s="3" t="n">
        <v>46152</v>
      </c>
      <c r="B1392" s="10" t="n">
        <v>-0.01289498</v>
      </c>
      <c r="C1392" s="5" t="n">
        <f aca="false">C1391*(1+B1392)</f>
        <v>38636.1322753169</v>
      </c>
      <c r="D1392" s="10" t="n">
        <v>-0.01296891</v>
      </c>
      <c r="E1392" s="5" t="n">
        <f aca="false">E1391*(1+D1392)</f>
        <v>168488.657024671</v>
      </c>
      <c r="F1392" s="4" t="n">
        <f aca="false">D1392*Varsayımlar!$B$3</f>
        <v>-0.0162111375</v>
      </c>
      <c r="G1392" s="5" t="n">
        <f aca="false">G1391*(1+F1392)</f>
        <v>471431.326814543</v>
      </c>
    </row>
    <row r="1393" customFormat="false" ht="15" hidden="false" customHeight="false" outlineLevel="0" collapsed="false">
      <c r="A1393" s="3" t="n">
        <v>46153</v>
      </c>
      <c r="B1393" s="10" t="n">
        <v>-0.00199699</v>
      </c>
      <c r="C1393" s="5" t="n">
        <f aca="false">C1392*(1+B1393)</f>
        <v>38558.9763055245</v>
      </c>
      <c r="D1393" s="10" t="n">
        <v>-0.00326936</v>
      </c>
      <c r="E1393" s="5" t="n">
        <f aca="false">E1392*(1+D1393)</f>
        <v>167937.806948941</v>
      </c>
      <c r="F1393" s="4" t="n">
        <f aca="false">D1393*Varsayımlar!$B$3</f>
        <v>-0.0040867</v>
      </c>
      <c r="G1393" s="5" t="n">
        <f aca="false">G1392*(1+F1393)</f>
        <v>469504.72841125</v>
      </c>
    </row>
    <row r="1394" customFormat="false" ht="15" hidden="false" customHeight="false" outlineLevel="0" collapsed="false">
      <c r="A1394" s="3" t="n">
        <v>46154</v>
      </c>
      <c r="B1394" s="10" t="n">
        <v>-0.00255694</v>
      </c>
      <c r="C1394" s="5" t="n">
        <f aca="false">C1393*(1+B1394)</f>
        <v>38460.3833166498</v>
      </c>
      <c r="D1394" s="10" t="n">
        <v>-0.004894</v>
      </c>
      <c r="E1394" s="5" t="n">
        <f aca="false">E1393*(1+D1394)</f>
        <v>167115.919321733</v>
      </c>
      <c r="F1394" s="4" t="n">
        <f aca="false">D1394*Varsayımlar!$B$3</f>
        <v>-0.0061175</v>
      </c>
      <c r="G1394" s="5" t="n">
        <f aca="false">G1393*(1+F1394)</f>
        <v>466632.533235194</v>
      </c>
    </row>
    <row r="1395" customFormat="false" ht="15" hidden="false" customHeight="false" outlineLevel="0" collapsed="false">
      <c r="A1395" s="3" t="n">
        <v>46155</v>
      </c>
      <c r="B1395" s="10" t="n">
        <v>-0.01235111</v>
      </c>
      <c r="C1395" s="5" t="n">
        <f aca="false">C1394*(1+B1395)</f>
        <v>37985.3548916637</v>
      </c>
      <c r="D1395" s="10" t="n">
        <v>-0.01256056</v>
      </c>
      <c r="E1395" s="5" t="n">
        <f aca="false">E1394*(1+D1395)</f>
        <v>165016.849790137</v>
      </c>
      <c r="F1395" s="4" t="n">
        <f aca="false">D1395*Varsayımlar!$B$3</f>
        <v>-0.0157007</v>
      </c>
      <c r="G1395" s="5" t="n">
        <f aca="false">G1394*(1+F1395)</f>
        <v>459306.075820628</v>
      </c>
    </row>
    <row r="1396" customFormat="false" ht="15" hidden="false" customHeight="false" outlineLevel="0" collapsed="false">
      <c r="A1396" s="3" t="n">
        <v>46156</v>
      </c>
      <c r="B1396" s="10" t="n">
        <v>0.01633952</v>
      </c>
      <c r="C1396" s="5" t="n">
        <f aca="false">C1395*(1+B1396)</f>
        <v>38606.0173576231</v>
      </c>
      <c r="D1396" s="10" t="n">
        <v>0.01217282</v>
      </c>
      <c r="E1396" s="5" t="n">
        <f aca="false">E1395*(1+D1396)</f>
        <v>167025.570199599</v>
      </c>
      <c r="F1396" s="4" t="n">
        <f aca="false">D1396*Varsayımlar!$B$3</f>
        <v>0.015216025</v>
      </c>
      <c r="G1396" s="5" t="n">
        <f aca="false">G1395*(1+F1396)</f>
        <v>466294.888552967</v>
      </c>
    </row>
    <row r="1397" customFormat="false" ht="15" hidden="false" customHeight="false" outlineLevel="0" collapsed="false">
      <c r="A1397" s="3" t="n">
        <v>46157</v>
      </c>
      <c r="B1397" s="10" t="n">
        <v>-0.00122686</v>
      </c>
      <c r="C1397" s="5" t="n">
        <f aca="false">C1396*(1+B1397)</f>
        <v>38558.6531791678</v>
      </c>
      <c r="D1397" s="10" t="n">
        <v>-0.00087653</v>
      </c>
      <c r="E1397" s="5" t="n">
        <f aca="false">E1396*(1+D1397)</f>
        <v>166879.167276552</v>
      </c>
      <c r="F1397" s="4" t="n">
        <f aca="false">D1397*Varsayımlar!$B$3</f>
        <v>-0.0010956625</v>
      </c>
      <c r="G1397" s="5" t="n">
        <f aca="false">G1396*(1+F1397)</f>
        <v>465783.986729637</v>
      </c>
    </row>
    <row r="1398" customFormat="false" ht="15" hidden="false" customHeight="false" outlineLevel="0" collapsed="false">
      <c r="A1398" s="3" t="n">
        <v>46158</v>
      </c>
      <c r="B1398" s="10" t="n">
        <v>-0.00746138</v>
      </c>
      <c r="C1398" s="5" t="n">
        <f aca="false">C1397*(1+B1398)</f>
        <v>38270.9524155098</v>
      </c>
      <c r="D1398" s="10" t="n">
        <v>-0.00992306</v>
      </c>
      <c r="E1398" s="5" t="n">
        <f aca="false">E1397*(1+D1398)</f>
        <v>165223.215286917</v>
      </c>
      <c r="F1398" s="4" t="n">
        <f aca="false">D1398*Varsayımlar!$B$3</f>
        <v>-0.012403825</v>
      </c>
      <c r="G1398" s="5" t="n">
        <f aca="false">G1397*(1+F1398)</f>
        <v>460006.483670441</v>
      </c>
    </row>
    <row r="1399" customFormat="false" ht="15" hidden="false" customHeight="false" outlineLevel="0" collapsed="false">
      <c r="A1399" s="3" t="n">
        <v>46159</v>
      </c>
      <c r="B1399" s="10" t="n">
        <v>0.00836041</v>
      </c>
      <c r="C1399" s="5" t="n">
        <f aca="false">C1398*(1+B1399)</f>
        <v>38590.9132687939</v>
      </c>
      <c r="D1399" s="10" t="n">
        <v>0.00669018</v>
      </c>
      <c r="E1399" s="5" t="n">
        <f aca="false">E1398*(1+D1399)</f>
        <v>166328.588337365</v>
      </c>
      <c r="F1399" s="4" t="n">
        <f aca="false">D1399*Varsayımlar!$B$3</f>
        <v>0.008362725</v>
      </c>
      <c r="G1399" s="5" t="n">
        <f aca="false">G1398*(1+F1399)</f>
        <v>463853.391391594</v>
      </c>
    </row>
    <row r="1400" customFormat="false" ht="15" hidden="false" customHeight="false" outlineLevel="0" collapsed="false">
      <c r="A1400" s="3" t="n">
        <v>46160</v>
      </c>
      <c r="B1400" s="10" t="n">
        <v>0.0110359</v>
      </c>
      <c r="C1400" s="5" t="n">
        <f aca="false">C1399*(1+B1400)</f>
        <v>39016.798728537</v>
      </c>
      <c r="D1400" s="10" t="n">
        <v>0.00588468</v>
      </c>
      <c r="E1400" s="5" t="n">
        <f aca="false">E1399*(1+D1400)</f>
        <v>167307.378854582</v>
      </c>
      <c r="F1400" s="4" t="n">
        <f aca="false">D1400*Varsayımlar!$B$3</f>
        <v>0.00735585</v>
      </c>
      <c r="G1400" s="5" t="n">
        <f aca="false">G1399*(1+F1400)</f>
        <v>467265.427360661</v>
      </c>
    </row>
    <row r="1401" customFormat="false" ht="15" hidden="false" customHeight="false" outlineLevel="0" collapsed="false">
      <c r="A1401" s="3" t="n">
        <v>46161</v>
      </c>
      <c r="B1401" s="10" t="n">
        <v>0.01707675</v>
      </c>
      <c r="C1401" s="5" t="n">
        <f aca="false">C1400*(1+B1401)</f>
        <v>39683.0788462246</v>
      </c>
      <c r="D1401" s="10" t="n">
        <v>0.02183979</v>
      </c>
      <c r="E1401" s="5" t="n">
        <f aca="false">E1400*(1+D1401)</f>
        <v>170961.336874217</v>
      </c>
      <c r="F1401" s="4" t="n">
        <f aca="false">D1401*Varsayımlar!$B$3</f>
        <v>0.0272997375</v>
      </c>
      <c r="G1401" s="5" t="n">
        <f aca="false">G1400*(1+F1401)</f>
        <v>480021.650870433</v>
      </c>
    </row>
    <row r="1402" customFormat="false" ht="15" hidden="false" customHeight="false" outlineLevel="0" collapsed="false">
      <c r="A1402" s="3" t="n">
        <v>46162</v>
      </c>
      <c r="B1402" s="10" t="n">
        <v>0.02119442</v>
      </c>
      <c r="C1402" s="5" t="n">
        <f aca="false">C1401*(1+B1402)</f>
        <v>40524.1386861846</v>
      </c>
      <c r="D1402" s="10" t="n">
        <v>0.04149682</v>
      </c>
      <c r="E1402" s="5" t="n">
        <f aca="false">E1401*(1+D1402)</f>
        <v>178055.688697445</v>
      </c>
      <c r="F1402" s="4" t="n">
        <f aca="false">D1402*Varsayımlar!$B$3</f>
        <v>0.051871025</v>
      </c>
      <c r="G1402" s="5" t="n">
        <f aca="false">G1401*(1+F1402)</f>
        <v>504920.865923274</v>
      </c>
    </row>
    <row r="1403" customFormat="false" ht="15" hidden="false" customHeight="false" outlineLevel="0" collapsed="false">
      <c r="A1403" s="3" t="n">
        <v>46163</v>
      </c>
      <c r="B1403" s="10" t="n">
        <v>0.00207962</v>
      </c>
      <c r="C1403" s="5" t="n">
        <f aca="false">C1402*(1+B1403)</f>
        <v>40608.4134954791</v>
      </c>
      <c r="D1403" s="10" t="n">
        <v>0.01188605</v>
      </c>
      <c r="E1403" s="5" t="n">
        <f aca="false">E1402*(1+D1403)</f>
        <v>180172.067516088</v>
      </c>
      <c r="F1403" s="4" t="n">
        <f aca="false">D1403*Varsayımlar!$B$3</f>
        <v>0.0148575625</v>
      </c>
      <c r="G1403" s="5" t="n">
        <f aca="false">G1402*(1+F1403)</f>
        <v>512422.759246283</v>
      </c>
    </row>
    <row r="1404" customFormat="false" ht="15" hidden="false" customHeight="false" outlineLevel="0" collapsed="false">
      <c r="A1404" s="3" t="n">
        <v>46164</v>
      </c>
      <c r="B1404" s="10" t="n">
        <v>-0.01300783</v>
      </c>
      <c r="C1404" s="5" t="n">
        <f aca="false">C1403*(1+B1404)</f>
        <v>40080.1861561602</v>
      </c>
      <c r="D1404" s="10" t="n">
        <v>-0.01793467</v>
      </c>
      <c r="E1404" s="5" t="n">
        <f aca="false">E1403*(1+D1404)</f>
        <v>176940.740941969</v>
      </c>
      <c r="F1404" s="4" t="n">
        <f aca="false">D1404*Varsayımlar!$B$3</f>
        <v>-0.0224183375</v>
      </c>
      <c r="G1404" s="5" t="n">
        <f aca="false">G1403*(1+F1404)</f>
        <v>500935.092886819</v>
      </c>
    </row>
    <row r="1405" customFormat="false" ht="15" hidden="false" customHeight="false" outlineLevel="0" collapsed="false">
      <c r="A1405" s="3" t="n">
        <v>46165</v>
      </c>
      <c r="B1405" s="10" t="n">
        <v>0.00313223</v>
      </c>
      <c r="C1405" s="5" t="n">
        <f aca="false">C1404*(1+B1405)</f>
        <v>40205.7265176441</v>
      </c>
      <c r="D1405" s="10" t="n">
        <v>0.00664564</v>
      </c>
      <c r="E1405" s="5" t="n">
        <f aca="false">E1404*(1+D1405)</f>
        <v>178116.625407603</v>
      </c>
      <c r="F1405" s="4" t="n">
        <f aca="false">D1405*Varsayımlar!$B$3</f>
        <v>0.00830705</v>
      </c>
      <c r="G1405" s="5" t="n">
        <f aca="false">G1404*(1+F1405)</f>
        <v>505096.385750184</v>
      </c>
    </row>
    <row r="1406" customFormat="false" ht="15" hidden="false" customHeight="false" outlineLevel="0" collapsed="false">
      <c r="A1406" s="3" t="n">
        <v>46166</v>
      </c>
      <c r="B1406" s="10" t="n">
        <v>0.01194814</v>
      </c>
      <c r="C1406" s="5" t="n">
        <f aca="false">C1405*(1+B1406)</f>
        <v>40686.1101668787</v>
      </c>
      <c r="D1406" s="10" t="n">
        <v>0.01077673</v>
      </c>
      <c r="E1406" s="5" t="n">
        <f aca="false">E1405*(1+D1406)</f>
        <v>180036.140188131</v>
      </c>
      <c r="F1406" s="4" t="n">
        <f aca="false">D1406*Varsayımlar!$B$3</f>
        <v>0.0134709125</v>
      </c>
      <c r="G1406" s="5" t="n">
        <f aca="false">G1405*(1+F1406)</f>
        <v>511900.494966692</v>
      </c>
    </row>
    <row r="1407" customFormat="false" ht="15" hidden="false" customHeight="false" outlineLevel="0" collapsed="false">
      <c r="A1407" s="3" t="n">
        <v>46167</v>
      </c>
      <c r="B1407" s="10" t="n">
        <v>-0.0070431</v>
      </c>
      <c r="C1407" s="5" t="n">
        <f aca="false">C1406*(1+B1407)</f>
        <v>40399.5538243623</v>
      </c>
      <c r="D1407" s="10" t="n">
        <v>-0.01166186</v>
      </c>
      <c r="E1407" s="5" t="n">
        <f aca="false">E1406*(1+D1407)</f>
        <v>177936.583926317</v>
      </c>
      <c r="F1407" s="4" t="n">
        <f aca="false">D1407*Varsayımlar!$B$3</f>
        <v>-0.014577325</v>
      </c>
      <c r="G1407" s="5" t="n">
        <f aca="false">G1406*(1+F1407)</f>
        <v>504438.355083901</v>
      </c>
    </row>
    <row r="1408" customFormat="false" ht="15" hidden="false" customHeight="false" outlineLevel="0" collapsed="false">
      <c r="A1408" s="3" t="n">
        <v>46168</v>
      </c>
      <c r="B1408" s="10" t="n">
        <v>-0.02427099</v>
      </c>
      <c r="C1408" s="5" t="n">
        <f aca="false">C1407*(1+B1408)</f>
        <v>39419.0166574868</v>
      </c>
      <c r="D1408" s="10" t="n">
        <v>-0.02116999</v>
      </c>
      <c r="E1408" s="5" t="n">
        <f aca="false">E1407*(1+D1408)</f>
        <v>174169.668223963</v>
      </c>
      <c r="F1408" s="4" t="n">
        <f aca="false">D1408*Varsayımlar!$B$3</f>
        <v>-0.0264624875</v>
      </c>
      <c r="G1408" s="5" t="n">
        <f aca="false">G1407*(1+F1408)</f>
        <v>491089.661417973</v>
      </c>
    </row>
    <row r="1409" customFormat="false" ht="15" hidden="false" customHeight="false" outlineLevel="0" collapsed="false">
      <c r="A1409" s="3" t="n">
        <v>46169</v>
      </c>
      <c r="B1409" s="10" t="n">
        <v>-0.01432365</v>
      </c>
      <c r="C1409" s="5" t="n">
        <f aca="false">C1408*(1+B1409)</f>
        <v>38854.3924595408</v>
      </c>
      <c r="D1409" s="10" t="n">
        <v>-0.0286081</v>
      </c>
      <c r="E1409" s="5" t="n">
        <f aca="false">E1408*(1+D1409)</f>
        <v>169187.004938445</v>
      </c>
      <c r="F1409" s="4" t="n">
        <f aca="false">D1409*Varsayımlar!$B$3</f>
        <v>-0.035760125</v>
      </c>
      <c r="G1409" s="5" t="n">
        <f aca="false">G1408*(1+F1409)</f>
        <v>473528.233739458</v>
      </c>
    </row>
    <row r="1410" customFormat="false" ht="15" hidden="false" customHeight="false" outlineLevel="0" collapsed="false">
      <c r="A1410" s="3" t="n">
        <v>46170</v>
      </c>
      <c r="B1410" s="10" t="n">
        <v>0.00935838</v>
      </c>
      <c r="C1410" s="5" t="n">
        <f aca="false">C1409*(1+B1410)</f>
        <v>39218.0066288463</v>
      </c>
      <c r="D1410" s="10" t="n">
        <v>0.0180541</v>
      </c>
      <c r="E1410" s="5" t="n">
        <f aca="false">E1409*(1+D1410)</f>
        <v>172241.524044304</v>
      </c>
      <c r="F1410" s="4" t="n">
        <f aca="false">D1410*Varsayımlar!$B$3</f>
        <v>0.022567625</v>
      </c>
      <c r="G1410" s="5" t="n">
        <f aca="false">G1409*(1+F1410)</f>
        <v>484214.641345403</v>
      </c>
    </row>
    <row r="1411" customFormat="false" ht="15" hidden="false" customHeight="false" outlineLevel="0" collapsed="false">
      <c r="A1411" s="3" t="n">
        <v>46171</v>
      </c>
      <c r="B1411" s="10" t="n">
        <v>0.0204099</v>
      </c>
      <c r="C1411" s="5" t="n">
        <f aca="false">C1410*(1+B1411)</f>
        <v>40018.4422223404</v>
      </c>
      <c r="D1411" s="10" t="n">
        <v>0.01422379</v>
      </c>
      <c r="E1411" s="5" t="n">
        <f aca="false">E1410*(1+D1411)</f>
        <v>174691.45131159</v>
      </c>
      <c r="F1411" s="4" t="n">
        <f aca="false">D1411*Varsayımlar!$B$3</f>
        <v>0.0177797375</v>
      </c>
      <c r="G1411" s="5" t="n">
        <f aca="false">G1410*(1+F1411)</f>
        <v>492823.850562181</v>
      </c>
    </row>
    <row r="1412" customFormat="false" ht="15" hidden="false" customHeight="false" outlineLevel="0" collapsed="false">
      <c r="A1412" s="3" t="n">
        <v>46172</v>
      </c>
      <c r="B1412" s="10" t="n">
        <v>-0.00677</v>
      </c>
      <c r="C1412" s="5" t="n">
        <f aca="false">C1411*(1+B1412)</f>
        <v>39747.5173684951</v>
      </c>
      <c r="D1412" s="10" t="n">
        <v>0.00219957</v>
      </c>
      <c r="E1412" s="5" t="n">
        <f aca="false">E1411*(1+D1412)</f>
        <v>175075.697387151</v>
      </c>
      <c r="F1412" s="4" t="n">
        <f aca="false">D1412*Varsayımlar!$B$3</f>
        <v>0.0027494625</v>
      </c>
      <c r="G1412" s="5" t="n">
        <f aca="false">G1411*(1+F1412)</f>
        <v>494178.851258407</v>
      </c>
    </row>
    <row r="1413" customFormat="false" ht="15" hidden="false" customHeight="false" outlineLevel="0" collapsed="false">
      <c r="A1413" s="3" t="n">
        <v>46173</v>
      </c>
      <c r="B1413" s="10" t="n">
        <v>0.03227541</v>
      </c>
      <c r="C1413" s="5" t="n">
        <f aca="false">C1412*(1+B1413)</f>
        <v>41030.3847880454</v>
      </c>
      <c r="D1413" s="10" t="n">
        <v>0.04899392</v>
      </c>
      <c r="E1413" s="5" t="n">
        <f aca="false">E1412*(1+D1413)</f>
        <v>183653.342098882</v>
      </c>
      <c r="F1413" s="4" t="n">
        <f aca="false">D1413*Varsayımlar!$B$3</f>
        <v>0.0612424</v>
      </c>
      <c r="G1413" s="5" t="n">
        <f aca="false">G1412*(1+F1413)</f>
        <v>524443.550138715</v>
      </c>
    </row>
    <row r="1414" customFormat="false" ht="15" hidden="false" customHeight="false" outlineLevel="0" collapsed="false">
      <c r="A1414" s="3" t="n">
        <v>46174</v>
      </c>
      <c r="B1414" s="10" t="n">
        <v>-0.00416396</v>
      </c>
      <c r="C1414" s="5" t="n">
        <f aca="false">C1413*(1+B1414)</f>
        <v>40859.5359070034</v>
      </c>
      <c r="D1414" s="10" t="n">
        <v>-0.01640597</v>
      </c>
      <c r="E1414" s="5" t="n">
        <f aca="false">E1413*(1+D1414)</f>
        <v>180640.330878008</v>
      </c>
      <c r="F1414" s="4" t="n">
        <f aca="false">D1414*Varsayımlar!$B$3</f>
        <v>-0.0205074625</v>
      </c>
      <c r="G1414" s="5" t="n">
        <f aca="false">G1413*(1+F1414)</f>
        <v>513688.543700878</v>
      </c>
    </row>
    <row r="1415" customFormat="false" ht="15" hidden="false" customHeight="false" outlineLevel="0" collapsed="false">
      <c r="A1415" s="3" t="n">
        <v>46175</v>
      </c>
      <c r="B1415" s="10" t="n">
        <v>0.02385783</v>
      </c>
      <c r="C1415" s="5" t="n">
        <f aca="false">C1414*(1+B1415)</f>
        <v>41834.3557685516</v>
      </c>
      <c r="D1415" s="10" t="n">
        <v>0.03073916</v>
      </c>
      <c r="E1415" s="5" t="n">
        <f aca="false">E1414*(1+D1415)</f>
        <v>186193.06291132</v>
      </c>
      <c r="F1415" s="4" t="n">
        <f aca="false">D1415*Varsayımlar!$B$3</f>
        <v>0.03842395</v>
      </c>
      <c r="G1415" s="5" t="n">
        <f aca="false">G1414*(1+F1415)</f>
        <v>533426.486619614</v>
      </c>
    </row>
    <row r="1416" customFormat="false" ht="15" hidden="false" customHeight="false" outlineLevel="0" collapsed="false">
      <c r="A1416" s="3" t="n">
        <v>46176</v>
      </c>
      <c r="B1416" s="10" t="n">
        <v>0.01286242</v>
      </c>
      <c r="C1416" s="5" t="n">
        <f aca="false">C1415*(1+B1416)</f>
        <v>42372.4468228761</v>
      </c>
      <c r="D1416" s="10" t="n">
        <v>0.02882695</v>
      </c>
      <c r="E1416" s="5" t="n">
        <f aca="false">E1415*(1+D1416)</f>
        <v>191560.441026211</v>
      </c>
      <c r="F1416" s="4" t="n">
        <f aca="false">D1416*Varsayımlar!$B$3</f>
        <v>0.0360336875</v>
      </c>
      <c r="G1416" s="5" t="n">
        <f aca="false">G1415*(1+F1416)</f>
        <v>552647.809942688</v>
      </c>
    </row>
    <row r="1417" customFormat="false" ht="15" hidden="false" customHeight="false" outlineLevel="0" collapsed="false">
      <c r="A1417" s="3" t="n">
        <v>46177</v>
      </c>
      <c r="B1417" s="10" t="n">
        <v>0.00511623</v>
      </c>
      <c r="C1417" s="5" t="n">
        <f aca="false">C1416*(1+B1417)</f>
        <v>42589.2340064847</v>
      </c>
      <c r="D1417" s="10" t="n">
        <v>0.00569662</v>
      </c>
      <c r="E1417" s="5" t="n">
        <f aca="false">E1416*(1+D1417)</f>
        <v>192651.68806577</v>
      </c>
      <c r="F1417" s="4" t="n">
        <f aca="false">D1417*Varsayımlar!$B$3</f>
        <v>0.007120775</v>
      </c>
      <c r="G1417" s="5" t="n">
        <f aca="false">G1416*(1+F1417)</f>
        <v>556583.090651533</v>
      </c>
    </row>
    <row r="1418" customFormat="false" ht="15" hidden="false" customHeight="false" outlineLevel="0" collapsed="false">
      <c r="A1418" s="3" t="n">
        <v>46178</v>
      </c>
      <c r="B1418" s="10" t="n">
        <v>0.00071049</v>
      </c>
      <c r="C1418" s="5" t="n">
        <f aca="false">C1417*(1+B1418)</f>
        <v>42619.493231354</v>
      </c>
      <c r="D1418" s="10" t="n">
        <v>-0.00908622</v>
      </c>
      <c r="E1418" s="5" t="n">
        <f aca="false">E1417*(1+D1418)</f>
        <v>190901.212444633</v>
      </c>
      <c r="F1418" s="4" t="n">
        <f aca="false">D1418*Varsayımlar!$B$3</f>
        <v>-0.011357775</v>
      </c>
      <c r="G1418" s="5" t="n">
        <f aca="false">G1417*(1+F1418)</f>
        <v>550261.545139108</v>
      </c>
    </row>
    <row r="1419" customFormat="false" ht="15" hidden="false" customHeight="false" outlineLevel="0" collapsed="false">
      <c r="A1419" s="3" t="n">
        <v>46179</v>
      </c>
      <c r="B1419" s="10" t="n">
        <v>0.04596697</v>
      </c>
      <c r="C1419" s="5" t="n">
        <f aca="false">C1418*(1+B1419)</f>
        <v>44578.5821981348</v>
      </c>
      <c r="D1419" s="10" t="n">
        <v>0.04908752</v>
      </c>
      <c r="E1419" s="5" t="n">
        <f aca="false">E1418*(1+D1419)</f>
        <v>200272.079528533</v>
      </c>
      <c r="F1419" s="4" t="n">
        <f aca="false">D1419*Varsayımlar!$B$3</f>
        <v>0.0613594</v>
      </c>
      <c r="G1419" s="5" t="n">
        <f aca="false">G1418*(1+F1419)</f>
        <v>584025.263391917</v>
      </c>
    </row>
    <row r="1420" customFormat="false" ht="15" hidden="false" customHeight="false" outlineLevel="0" collapsed="false">
      <c r="A1420" s="3" t="n">
        <v>46180</v>
      </c>
      <c r="B1420" s="10" t="n">
        <v>-0.00659451</v>
      </c>
      <c r="C1420" s="5" t="n">
        <f aca="false">C1419*(1+B1420)</f>
        <v>44284.6082920434</v>
      </c>
      <c r="D1420" s="10" t="n">
        <v>-0.01046322</v>
      </c>
      <c r="E1420" s="5" t="n">
        <f aca="false">E1419*(1+D1420)</f>
        <v>198176.588700569</v>
      </c>
      <c r="F1420" s="4" t="n">
        <f aca="false">D1420*Varsayımlar!$B$3</f>
        <v>-0.013079025</v>
      </c>
      <c r="G1420" s="5" t="n">
        <f aca="false">G1419*(1+F1420)</f>
        <v>576386.782371382</v>
      </c>
    </row>
    <row r="1421" customFormat="false" ht="15" hidden="false" customHeight="false" outlineLevel="0" collapsed="false">
      <c r="A1421" s="3" t="n">
        <v>46181</v>
      </c>
      <c r="B1421" s="10" t="n">
        <v>-0.0365448</v>
      </c>
      <c r="C1421" s="5" t="n">
        <f aca="false">C1420*(1+B1421)</f>
        <v>42666.2361389323</v>
      </c>
      <c r="D1421" s="10" t="n">
        <v>-0.03623887</v>
      </c>
      <c r="E1421" s="5" t="n">
        <f aca="false">E1420*(1+D1421)</f>
        <v>190994.893065605</v>
      </c>
      <c r="F1421" s="4" t="n">
        <f aca="false">D1421*Varsayımlar!$B$3</f>
        <v>-0.0452985875</v>
      </c>
      <c r="G1421" s="5" t="n">
        <f aca="false">G1420*(1+F1421)</f>
        <v>550277.275276289</v>
      </c>
    </row>
    <row r="1422" customFormat="false" ht="15" hidden="false" customHeight="false" outlineLevel="0" collapsed="false">
      <c r="A1422" s="3" t="n">
        <v>46182</v>
      </c>
      <c r="B1422" s="10" t="n">
        <v>0.00199296</v>
      </c>
      <c r="C1422" s="5" t="n">
        <f aca="false">C1421*(1+B1422)</f>
        <v>42751.2682409078</v>
      </c>
      <c r="D1422" s="10" t="n">
        <v>-0.00273624</v>
      </c>
      <c r="E1422" s="5" t="n">
        <f aca="false">E1421*(1+D1422)</f>
        <v>190472.285199403</v>
      </c>
      <c r="F1422" s="4" t="n">
        <f aca="false">D1422*Varsayımlar!$B$3</f>
        <v>-0.0034203</v>
      </c>
      <c r="G1422" s="5" t="n">
        <f aca="false">G1421*(1+F1422)</f>
        <v>548395.161911661</v>
      </c>
    </row>
    <row r="1423" customFormat="false" ht="15" hidden="false" customHeight="false" outlineLevel="0" collapsed="false">
      <c r="A1423" s="3" t="n">
        <v>46183</v>
      </c>
      <c r="B1423" s="10" t="n">
        <v>0.00148925</v>
      </c>
      <c r="C1423" s="5" t="n">
        <f aca="false">C1422*(1+B1423)</f>
        <v>42814.9355671356</v>
      </c>
      <c r="D1423" s="10" t="n">
        <v>-0.00017284</v>
      </c>
      <c r="E1423" s="5" t="n">
        <f aca="false">E1422*(1+D1423)</f>
        <v>190439.36396963</v>
      </c>
      <c r="F1423" s="4" t="n">
        <f aca="false">D1423*Varsayımlar!$B$3</f>
        <v>-0.00021605</v>
      </c>
      <c r="G1423" s="5" t="n">
        <f aca="false">G1422*(1+F1423)</f>
        <v>548276.68113693</v>
      </c>
    </row>
    <row r="1424" customFormat="false" ht="15" hidden="false" customHeight="false" outlineLevel="0" collapsed="false">
      <c r="A1424" s="3" t="n">
        <v>46184</v>
      </c>
      <c r="B1424" s="10" t="n">
        <v>0.01006173</v>
      </c>
      <c r="C1424" s="5" t="n">
        <f aca="false">C1423*(1+B1424)</f>
        <v>43245.7278887795</v>
      </c>
      <c r="D1424" s="10" t="n">
        <v>0.00510923</v>
      </c>
      <c r="E1424" s="5" t="n">
        <f aca="false">E1423*(1+D1424)</f>
        <v>191412.362481204</v>
      </c>
      <c r="F1424" s="4" t="n">
        <f aca="false">D1424*Varsayımlar!$B$3</f>
        <v>0.0063865375</v>
      </c>
      <c r="G1424" s="5" t="n">
        <f aca="false">G1423*(1+F1424)</f>
        <v>551778.270721387</v>
      </c>
    </row>
    <row r="1425" customFormat="false" ht="15" hidden="false" customHeight="false" outlineLevel="0" collapsed="false">
      <c r="A1425" s="3" t="n">
        <v>46185</v>
      </c>
      <c r="B1425" s="10" t="n">
        <v>0.00555836</v>
      </c>
      <c r="C1425" s="5" t="n">
        <f aca="false">C1424*(1+B1425)</f>
        <v>43486.1032128473</v>
      </c>
      <c r="D1425" s="10" t="n">
        <v>0.01023256</v>
      </c>
      <c r="E1425" s="5" t="n">
        <f aca="false">E1424*(1+D1425)</f>
        <v>193371.000965035</v>
      </c>
      <c r="F1425" s="4" t="n">
        <f aca="false">D1425*Varsayımlar!$B$3</f>
        <v>0.0127907</v>
      </c>
      <c r="G1425" s="5" t="n">
        <f aca="false">G1424*(1+F1425)</f>
        <v>558835.901048703</v>
      </c>
    </row>
    <row r="1426" customFormat="false" ht="15" hidden="false" customHeight="false" outlineLevel="0" collapsed="false">
      <c r="A1426" s="3" t="n">
        <v>46186</v>
      </c>
      <c r="B1426" s="10" t="n">
        <v>-0.01047165</v>
      </c>
      <c r="C1426" s="5" t="n">
        <f aca="false">C1425*(1+B1426)</f>
        <v>43030.7319601385</v>
      </c>
      <c r="D1426" s="10" t="n">
        <v>-0.01667005</v>
      </c>
      <c r="E1426" s="5" t="n">
        <f aca="false">E1425*(1+D1426)</f>
        <v>190147.496710398</v>
      </c>
      <c r="F1426" s="4" t="n">
        <f aca="false">D1426*Varsayımlar!$B$3</f>
        <v>-0.0208375625</v>
      </c>
      <c r="G1426" s="5" t="n">
        <f aca="false">G1425*(1+F1426)</f>
        <v>547191.123033357</v>
      </c>
    </row>
    <row r="1427" customFormat="false" ht="15" hidden="false" customHeight="false" outlineLevel="0" collapsed="false">
      <c r="A1427" s="3" t="n">
        <v>46187</v>
      </c>
      <c r="B1427" s="10" t="n">
        <v>0.01620821</v>
      </c>
      <c r="C1427" s="5" t="n">
        <f aca="false">C1426*(1+B1427)</f>
        <v>43728.1831002022</v>
      </c>
      <c r="D1427" s="10" t="n">
        <v>0.02036173</v>
      </c>
      <c r="E1427" s="5" t="n">
        <f aca="false">E1426*(1+D1427)</f>
        <v>194019.228698591</v>
      </c>
      <c r="F1427" s="4" t="n">
        <f aca="false">D1427*Varsayımlar!$B$3</f>
        <v>0.0254521625</v>
      </c>
      <c r="G1427" s="5" t="n">
        <f aca="false">G1426*(1+F1427)</f>
        <v>561118.320415359</v>
      </c>
    </row>
    <row r="1428" customFormat="false" ht="15" hidden="false" customHeight="false" outlineLevel="0" collapsed="false">
      <c r="A1428" s="3" t="n">
        <v>46188</v>
      </c>
      <c r="B1428" s="10" t="n">
        <v>-0.00120467</v>
      </c>
      <c r="C1428" s="5" t="n">
        <f aca="false">C1427*(1+B1428)</f>
        <v>43675.5050698669</v>
      </c>
      <c r="D1428" s="10" t="n">
        <v>-0.00036066</v>
      </c>
      <c r="E1428" s="5" t="n">
        <f aca="false">E1427*(1+D1428)</f>
        <v>193949.253723568</v>
      </c>
      <c r="F1428" s="4" t="n">
        <f aca="false">D1428*Varsayımlar!$B$3</f>
        <v>-0.000450825</v>
      </c>
      <c r="G1428" s="5" t="n">
        <f aca="false">G1427*(1+F1428)</f>
        <v>560865.354248558</v>
      </c>
    </row>
    <row r="1429" customFormat="false" ht="15" hidden="false" customHeight="false" outlineLevel="0" collapsed="false">
      <c r="A1429" s="3" t="n">
        <v>46189</v>
      </c>
      <c r="B1429" s="10" t="n">
        <v>0.01692378</v>
      </c>
      <c r="C1429" s="5" t="n">
        <f aca="false">C1428*(1+B1429)</f>
        <v>44414.6597090582</v>
      </c>
      <c r="D1429" s="10" t="n">
        <v>0.01758441</v>
      </c>
      <c r="E1429" s="5" t="n">
        <f aca="false">E1428*(1+D1429)</f>
        <v>197359.736920238</v>
      </c>
      <c r="F1429" s="4" t="n">
        <f aca="false">D1429*Varsayımlar!$B$3</f>
        <v>0.0219805125</v>
      </c>
      <c r="G1429" s="5" t="n">
        <f aca="false">G1428*(1+F1429)</f>
        <v>573193.462178435</v>
      </c>
    </row>
    <row r="1430" customFormat="false" ht="15" hidden="false" customHeight="false" outlineLevel="0" collapsed="false">
      <c r="A1430" s="3" t="n">
        <v>46190</v>
      </c>
      <c r="B1430" s="10" t="n">
        <v>-0.00097343</v>
      </c>
      <c r="C1430" s="5" t="n">
        <f aca="false">C1429*(1+B1430)</f>
        <v>44371.4251468576</v>
      </c>
      <c r="D1430" s="10" t="n">
        <v>-0.01450554</v>
      </c>
      <c r="E1430" s="5" t="n">
        <f aca="false">E1429*(1+D1430)</f>
        <v>194496.927361952</v>
      </c>
      <c r="F1430" s="4" t="n">
        <f aca="false">D1430*Varsayımlar!$B$3</f>
        <v>-0.018131925</v>
      </c>
      <c r="G1430" s="5" t="n">
        <f aca="false">G1429*(1+F1430)</f>
        <v>562800.361311726</v>
      </c>
    </row>
    <row r="1431" customFormat="false" ht="15" hidden="false" customHeight="false" outlineLevel="0" collapsed="false">
      <c r="A1431" s="3" t="n">
        <v>46191</v>
      </c>
      <c r="B1431" s="10" t="n">
        <v>-0.01128043</v>
      </c>
      <c r="C1431" s="5" t="n">
        <f aca="false">C1430*(1+B1431)</f>
        <v>43870.8963914882</v>
      </c>
      <c r="D1431" s="10" t="n">
        <v>0.00508376</v>
      </c>
      <c r="E1431" s="5" t="n">
        <f aca="false">E1430*(1+D1431)</f>
        <v>195485.703061397</v>
      </c>
      <c r="F1431" s="4" t="n">
        <f aca="false">D1431*Varsayımlar!$B$3</f>
        <v>0.0063547</v>
      </c>
      <c r="G1431" s="5" t="n">
        <f aca="false">G1430*(1+F1431)</f>
        <v>566376.788767753</v>
      </c>
    </row>
    <row r="1432" customFormat="false" ht="15" hidden="false" customHeight="false" outlineLevel="0" collapsed="false">
      <c r="A1432" s="3" t="n">
        <v>46192</v>
      </c>
      <c r="B1432" s="10" t="n">
        <v>0.018828</v>
      </c>
      <c r="C1432" s="5" t="n">
        <f aca="false">C1431*(1+B1432)</f>
        <v>44696.8976287471</v>
      </c>
      <c r="D1432" s="10" t="n">
        <v>0.02196426</v>
      </c>
      <c r="E1432" s="5" t="n">
        <f aca="false">E1431*(1+D1432)</f>
        <v>199779.401869721</v>
      </c>
      <c r="F1432" s="4" t="n">
        <f aca="false">D1432*Varsayımlar!$B$3</f>
        <v>0.027455325</v>
      </c>
      <c r="G1432" s="5" t="n">
        <f aca="false">G1431*(1+F1432)</f>
        <v>581926.847575828</v>
      </c>
    </row>
    <row r="1433" customFormat="false" ht="15" hidden="false" customHeight="false" outlineLevel="0" collapsed="false">
      <c r="A1433" s="3" t="n">
        <v>46193</v>
      </c>
      <c r="B1433" s="10" t="n">
        <v>-0.01101365</v>
      </c>
      <c r="C1433" s="5" t="n">
        <f aca="false">C1432*(1+B1433)</f>
        <v>44204.6216421783</v>
      </c>
      <c r="D1433" s="10" t="n">
        <v>-0.00723109</v>
      </c>
      <c r="E1433" s="5" t="n">
        <f aca="false">E1432*(1+D1433)</f>
        <v>198334.779034654</v>
      </c>
      <c r="F1433" s="4" t="n">
        <f aca="false">D1433*Varsayımlar!$B$3</f>
        <v>-0.0090388625</v>
      </c>
      <c r="G1433" s="5" t="n">
        <f aca="false">G1432*(1+F1433)</f>
        <v>576666.890815532</v>
      </c>
    </row>
    <row r="1434" customFormat="false" ht="15" hidden="false" customHeight="false" outlineLevel="0" collapsed="false">
      <c r="A1434" s="3" t="n">
        <v>46194</v>
      </c>
      <c r="B1434" s="10" t="n">
        <v>0.00227494</v>
      </c>
      <c r="C1434" s="5" t="n">
        <f aca="false">C1433*(1+B1434)</f>
        <v>44305.184504137</v>
      </c>
      <c r="D1434" s="10" t="n">
        <v>0.00801828</v>
      </c>
      <c r="E1434" s="5" t="n">
        <f aca="false">E1433*(1+D1434)</f>
        <v>199925.082826692</v>
      </c>
      <c r="F1434" s="4" t="n">
        <f aca="false">D1434*Varsayımlar!$B$3</f>
        <v>0.01002285</v>
      </c>
      <c r="G1434" s="5" t="n">
        <f aca="false">G1433*(1+F1434)</f>
        <v>582446.736562142</v>
      </c>
    </row>
    <row r="1435" customFormat="false" ht="15" hidden="false" customHeight="false" outlineLevel="0" collapsed="false">
      <c r="A1435" s="3" t="n">
        <v>46195</v>
      </c>
      <c r="B1435" s="10" t="n">
        <v>0.00085658</v>
      </c>
      <c r="C1435" s="5" t="n">
        <f aca="false">C1434*(1+B1435)</f>
        <v>44343.1354390795</v>
      </c>
      <c r="D1435" s="10" t="n">
        <v>0.01391142</v>
      </c>
      <c r="E1435" s="5" t="n">
        <f aca="false">E1434*(1+D1435)</f>
        <v>202706.324622429</v>
      </c>
      <c r="F1435" s="4" t="n">
        <f aca="false">D1435*Varsayımlar!$B$3</f>
        <v>0.017389275</v>
      </c>
      <c r="G1435" s="5" t="n">
        <f aca="false">G1434*(1+F1435)</f>
        <v>592575.063037074</v>
      </c>
    </row>
    <row r="1436" customFormat="false" ht="15" hidden="false" customHeight="false" outlineLevel="0" collapsed="false">
      <c r="A1436" s="3" t="n">
        <v>46196</v>
      </c>
      <c r="B1436" s="10" t="n">
        <v>-0.00398236</v>
      </c>
      <c r="C1436" s="5" t="n">
        <f aca="false">C1435*(1+B1436)</f>
        <v>44166.5451102323</v>
      </c>
      <c r="D1436" s="10" t="n">
        <v>0.00249558</v>
      </c>
      <c r="E1436" s="5" t="n">
        <f aca="false">E1435*(1+D1436)</f>
        <v>203212.19447203</v>
      </c>
      <c r="F1436" s="4" t="n">
        <f aca="false">D1436*Varsayımlar!$B$3</f>
        <v>0.003119475</v>
      </c>
      <c r="G1436" s="5" t="n">
        <f aca="false">G1435*(1+F1436)</f>
        <v>594423.586131841</v>
      </c>
    </row>
    <row r="1437" customFormat="false" ht="15" hidden="false" customHeight="false" outlineLevel="0" collapsed="false">
      <c r="A1437" s="3" t="n">
        <v>46197</v>
      </c>
      <c r="B1437" s="10" t="n">
        <v>0.02233144</v>
      </c>
      <c r="C1437" s="5" t="n">
        <f aca="false">C1436*(1+B1437)</f>
        <v>45152.8476623688</v>
      </c>
      <c r="D1437" s="10" t="n">
        <v>0.02044147</v>
      </c>
      <c r="E1437" s="5" t="n">
        <f aca="false">E1436*(1+D1437)</f>
        <v>207366.150448965</v>
      </c>
      <c r="F1437" s="4" t="n">
        <f aca="false">D1437*Varsayımlar!$B$3</f>
        <v>0.0255518375</v>
      </c>
      <c r="G1437" s="5" t="n">
        <f aca="false">G1436*(1+F1437)</f>
        <v>609612.201010849</v>
      </c>
    </row>
    <row r="1438" customFormat="false" ht="15" hidden="false" customHeight="false" outlineLevel="0" collapsed="false">
      <c r="A1438" s="3" t="n">
        <v>46198</v>
      </c>
      <c r="B1438" s="10" t="n">
        <v>0.04421142</v>
      </c>
      <c r="C1438" s="5" t="n">
        <f aca="false">C1437*(1+B1438)</f>
        <v>47149.1191745658</v>
      </c>
      <c r="D1438" s="10" t="n">
        <v>0.07153179</v>
      </c>
      <c r="E1438" s="5" t="n">
        <f aca="false">E1437*(1+D1438)</f>
        <v>222199.422375988</v>
      </c>
      <c r="F1438" s="4" t="n">
        <f aca="false">D1438*Varsayımlar!$B$3</f>
        <v>0.0894147375</v>
      </c>
      <c r="G1438" s="5" t="n">
        <f aca="false">G1437*(1+F1438)</f>
        <v>664120.515941032</v>
      </c>
    </row>
    <row r="1439" customFormat="false" ht="15" hidden="false" customHeight="false" outlineLevel="0" collapsed="false">
      <c r="A1439" s="3" t="n">
        <v>46199</v>
      </c>
      <c r="B1439" s="10" t="n">
        <v>0.00897371</v>
      </c>
      <c r="C1439" s="5" t="n">
        <f aca="false">C1438*(1+B1439)</f>
        <v>47572.2216967938</v>
      </c>
      <c r="D1439" s="10" t="n">
        <v>0.01211564</v>
      </c>
      <c r="E1439" s="5" t="n">
        <f aca="false">E1438*(1+D1439)</f>
        <v>224891.510585704</v>
      </c>
      <c r="F1439" s="4" t="n">
        <f aca="false">D1439*Varsayımlar!$B$3</f>
        <v>0.01514455</v>
      </c>
      <c r="G1439" s="5" t="n">
        <f aca="false">G1438*(1+F1439)</f>
        <v>674178.322300727</v>
      </c>
    </row>
    <row r="1440" customFormat="false" ht="15" hidden="false" customHeight="false" outlineLevel="0" collapsed="false">
      <c r="A1440" s="3" t="n">
        <v>46200</v>
      </c>
      <c r="B1440" s="10" t="n">
        <v>-0.02077805</v>
      </c>
      <c r="C1440" s="5" t="n">
        <f aca="false">C1439*(1+B1440)</f>
        <v>46583.7636957667</v>
      </c>
      <c r="D1440" s="10" t="n">
        <v>-0.02000439</v>
      </c>
      <c r="E1440" s="5" t="n">
        <f aca="false">E1439*(1+D1440)</f>
        <v>220392.693100258</v>
      </c>
      <c r="F1440" s="4" t="n">
        <f aca="false">D1440*Varsayımlar!$B$3</f>
        <v>-0.0250054875</v>
      </c>
      <c r="G1440" s="5" t="n">
        <f aca="false">G1439*(1+F1440)</f>
        <v>657320.164689665</v>
      </c>
    </row>
    <row r="1441" customFormat="false" ht="15" hidden="false" customHeight="false" outlineLevel="0" collapsed="false">
      <c r="A1441" s="3" t="n">
        <v>46201</v>
      </c>
      <c r="B1441" s="10" t="n">
        <v>0.01110617</v>
      </c>
      <c r="C1441" s="5" t="n">
        <f aca="false">C1440*(1+B1441)</f>
        <v>47101.1308946117</v>
      </c>
      <c r="D1441" s="10" t="n">
        <v>0.01193982</v>
      </c>
      <c r="E1441" s="5" t="n">
        <f aca="false">E1440*(1+D1441)</f>
        <v>223024.142185191</v>
      </c>
      <c r="F1441" s="4" t="n">
        <f aca="false">D1441*Varsayımlar!$B$3</f>
        <v>0.014924775</v>
      </c>
      <c r="G1441" s="5" t="n">
        <f aca="false">G1440*(1+F1441)</f>
        <v>667130.520250621</v>
      </c>
    </row>
    <row r="1442" customFormat="false" ht="15" hidden="false" customHeight="false" outlineLevel="0" collapsed="false">
      <c r="A1442" s="3" t="n">
        <v>46202</v>
      </c>
      <c r="B1442" s="10" t="n">
        <v>0.02566806</v>
      </c>
      <c r="C1442" s="5" t="n">
        <f aca="false">C1441*(1+B1442)</f>
        <v>48310.1255484825</v>
      </c>
      <c r="D1442" s="10" t="n">
        <v>0.04155518</v>
      </c>
      <c r="E1442" s="5" t="n">
        <f aca="false">E1441*(1+D1442)</f>
        <v>232291.950558042</v>
      </c>
      <c r="F1442" s="4" t="n">
        <f aca="false">D1442*Varsayımlar!$B$3</f>
        <v>0.051943975</v>
      </c>
      <c r="G1442" s="5" t="n">
        <f aca="false">G1441*(1+F1442)</f>
        <v>701783.931316256</v>
      </c>
    </row>
    <row r="1443" customFormat="false" ht="15" hidden="false" customHeight="false" outlineLevel="0" collapsed="false">
      <c r="A1443" s="3" t="n">
        <v>46203</v>
      </c>
      <c r="B1443" s="10" t="n">
        <v>0.0175165</v>
      </c>
      <c r="C1443" s="5" t="n">
        <f aca="false">C1442*(1+B1443)</f>
        <v>49156.3498626525</v>
      </c>
      <c r="D1443" s="10" t="n">
        <v>0.02712023</v>
      </c>
      <c r="E1443" s="5" t="n">
        <f aca="false">E1442*(1+D1443)</f>
        <v>238591.761684325</v>
      </c>
      <c r="F1443" s="4" t="n">
        <f aca="false">D1443*Varsayımlar!$B$3</f>
        <v>0.0339002875</v>
      </c>
      <c r="G1443" s="5" t="n">
        <f aca="false">G1442*(1+F1443)</f>
        <v>725574.608350758</v>
      </c>
    </row>
    <row r="1444" customFormat="false" ht="15" hidden="false" customHeight="false" outlineLevel="0" collapsed="false">
      <c r="A1444" s="3" t="n">
        <v>46204</v>
      </c>
      <c r="B1444" s="10" t="n">
        <v>-0.03447996</v>
      </c>
      <c r="C1444" s="5" t="n">
        <f aca="false">C1443*(1+B1444)</f>
        <v>47461.4408856422</v>
      </c>
      <c r="D1444" s="10" t="n">
        <v>-0.0368344</v>
      </c>
      <c r="E1444" s="5" t="n">
        <f aca="false">E1443*(1+D1444)</f>
        <v>229803.377297739</v>
      </c>
      <c r="F1444" s="4" t="n">
        <f aca="false">D1444*Varsayımlar!$B$3</f>
        <v>-0.046043</v>
      </c>
      <c r="G1444" s="5" t="n">
        <f aca="false">G1443*(1+F1444)</f>
        <v>692166.976658464</v>
      </c>
    </row>
    <row r="1445" customFormat="false" ht="15" hidden="false" customHeight="false" outlineLevel="0" collapsed="false">
      <c r="A1445" s="3" t="n">
        <v>46205</v>
      </c>
      <c r="B1445" s="10" t="n">
        <v>0.02660071</v>
      </c>
      <c r="C1445" s="5" t="n">
        <f aca="false">C1444*(1+B1445)</f>
        <v>48723.9489108233</v>
      </c>
      <c r="D1445" s="10" t="n">
        <v>0.01638495</v>
      </c>
      <c r="E1445" s="5" t="n">
        <f aca="false">E1444*(1+D1445)</f>
        <v>233568.694144594</v>
      </c>
      <c r="F1445" s="4" t="n">
        <f aca="false">D1445*Varsayımlar!$B$3</f>
        <v>0.0204811875</v>
      </c>
      <c r="G1445" s="5" t="n">
        <f aca="false">G1444*(1+F1445)</f>
        <v>706343.378288714</v>
      </c>
    </row>
    <row r="1446" customFormat="false" ht="15" hidden="false" customHeight="false" outlineLevel="0" collapsed="false">
      <c r="A1446" s="3" t="n">
        <v>46206</v>
      </c>
      <c r="B1446" s="10" t="n">
        <v>-0.03883796</v>
      </c>
      <c r="C1446" s="5" t="n">
        <f aca="false">C1445*(1+B1446)</f>
        <v>46831.6101319827</v>
      </c>
      <c r="D1446" s="10" t="n">
        <v>-0.02955801</v>
      </c>
      <c r="E1446" s="5" t="n">
        <f aca="false">E1445*(1+D1446)</f>
        <v>226664.868347381</v>
      </c>
      <c r="F1446" s="4" t="n">
        <f aca="false">D1446*Varsayımlar!$B$3</f>
        <v>-0.0369475125</v>
      </c>
      <c r="G1446" s="5" t="n">
        <f aca="false">G1445*(1+F1446)</f>
        <v>680245.747490099</v>
      </c>
    </row>
    <row r="1447" customFormat="false" ht="15" hidden="false" customHeight="false" outlineLevel="0" collapsed="false">
      <c r="A1447" s="3" t="n">
        <v>46207</v>
      </c>
      <c r="B1447" s="10" t="n">
        <v>0.07151885</v>
      </c>
      <c r="C1447" s="5" t="n">
        <f aca="false">C1446*(1+B1447)</f>
        <v>50180.9530322705</v>
      </c>
      <c r="D1447" s="10" t="n">
        <v>0.02163922</v>
      </c>
      <c r="E1447" s="5" t="n">
        <f aca="false">E1446*(1+D1447)</f>
        <v>231569.719299821</v>
      </c>
      <c r="F1447" s="4" t="n">
        <f aca="false">D1447*Varsayımlar!$B$3</f>
        <v>0.027049025</v>
      </c>
      <c r="G1447" s="5" t="n">
        <f aca="false">G1446*(1+F1447)</f>
        <v>698645.731720103</v>
      </c>
    </row>
    <row r="1448" customFormat="false" ht="15" hidden="false" customHeight="false" outlineLevel="0" collapsed="false">
      <c r="A1448" s="3" t="n">
        <v>46208</v>
      </c>
      <c r="B1448" s="10" t="n">
        <v>0.00091017</v>
      </c>
      <c r="C1448" s="5" t="n">
        <f aca="false">C1447*(1+B1448)</f>
        <v>50226.6262302919</v>
      </c>
      <c r="D1448" s="10" t="n">
        <v>0.0124288</v>
      </c>
      <c r="E1448" s="5" t="n">
        <f aca="false">E1447*(1+D1448)</f>
        <v>234447.853027055</v>
      </c>
      <c r="F1448" s="4" t="n">
        <f aca="false">D1448*Varsayımlar!$B$3</f>
        <v>0.015536</v>
      </c>
      <c r="G1448" s="5" t="n">
        <f aca="false">G1447*(1+F1448)</f>
        <v>709499.891808106</v>
      </c>
    </row>
    <row r="1449" customFormat="false" ht="15" hidden="false" customHeight="false" outlineLevel="0" collapsed="false">
      <c r="A1449" s="3" t="n">
        <v>46209</v>
      </c>
      <c r="B1449" s="10" t="n">
        <v>0.00682837</v>
      </c>
      <c r="C1449" s="5" t="n">
        <f aca="false">C1448*(1+B1449)</f>
        <v>50569.592218044</v>
      </c>
      <c r="D1449" s="10" t="n">
        <v>0.01695808</v>
      </c>
      <c r="E1449" s="5" t="n">
        <f aca="false">E1448*(1+D1449)</f>
        <v>238423.638474516</v>
      </c>
      <c r="F1449" s="4" t="n">
        <f aca="false">D1449*Varsayımlar!$B$3</f>
        <v>0.0211976</v>
      </c>
      <c r="G1449" s="5" t="n">
        <f aca="false">G1448*(1+F1449)</f>
        <v>724539.586714698</v>
      </c>
    </row>
    <row r="1450" customFormat="false" ht="15" hidden="false" customHeight="false" outlineLevel="0" collapsed="false">
      <c r="A1450" s="3" t="n">
        <v>46210</v>
      </c>
      <c r="B1450" s="10" t="n">
        <v>-0.01937949</v>
      </c>
      <c r="C1450" s="5" t="n">
        <f aca="false">C1449*(1+B1450)</f>
        <v>49589.5793113503</v>
      </c>
      <c r="D1450" s="10" t="n">
        <v>-0.03959414</v>
      </c>
      <c r="E1450" s="5" t="n">
        <f aca="false">E1449*(1+D1450)</f>
        <v>228983.459553446</v>
      </c>
      <c r="F1450" s="4" t="n">
        <f aca="false">D1450*Varsayımlar!$B$3</f>
        <v>-0.049492675</v>
      </c>
      <c r="G1450" s="5" t="n">
        <f aca="false">G1449*(1+F1450)</f>
        <v>688680.184424793</v>
      </c>
    </row>
    <row r="1451" customFormat="false" ht="15" hidden="false" customHeight="false" outlineLevel="0" collapsed="false">
      <c r="A1451" s="3" t="n">
        <v>46211</v>
      </c>
      <c r="B1451" s="10" t="n">
        <v>-0.00857277</v>
      </c>
      <c r="C1451" s="5" t="n">
        <f aca="false">C1450*(1+B1451)</f>
        <v>49164.4592535174</v>
      </c>
      <c r="D1451" s="10" t="n">
        <v>-0.01862806</v>
      </c>
      <c r="E1451" s="5" t="n">
        <f aca="false">E1450*(1+D1451)</f>
        <v>224717.941929877</v>
      </c>
      <c r="F1451" s="4" t="n">
        <f aca="false">D1451*Varsayımlar!$B$3</f>
        <v>-0.023285075</v>
      </c>
      <c r="G1451" s="5" t="n">
        <f aca="false">G1450*(1+F1451)</f>
        <v>672644.214679448</v>
      </c>
    </row>
    <row r="1452" customFormat="false" ht="15" hidden="false" customHeight="false" outlineLevel="0" collapsed="false">
      <c r="A1452" s="3" t="n">
        <v>46212</v>
      </c>
      <c r="B1452" s="10" t="n">
        <v>0.00298906</v>
      </c>
      <c r="C1452" s="5" t="n">
        <f aca="false">C1451*(1+B1452)</f>
        <v>49311.4147720937</v>
      </c>
      <c r="D1452" s="10" t="n">
        <v>-0.01406048</v>
      </c>
      <c r="E1452" s="5" t="n">
        <f aca="false">E1451*(1+D1452)</f>
        <v>221558.299801731</v>
      </c>
      <c r="F1452" s="4" t="n">
        <f aca="false">D1452*Varsayımlar!$B$3</f>
        <v>-0.0175756</v>
      </c>
      <c r="G1452" s="5" t="n">
        <f aca="false">G1451*(1+F1452)</f>
        <v>660822.089019927</v>
      </c>
    </row>
    <row r="1453" customFormat="false" ht="15" hidden="false" customHeight="false" outlineLevel="0" collapsed="false">
      <c r="A1453" s="3" t="n">
        <v>46213</v>
      </c>
      <c r="B1453" s="10" t="n">
        <v>-0.02184161</v>
      </c>
      <c r="C1453" s="5" t="n">
        <f aca="false">C1452*(1+B1453)</f>
        <v>48234.3740820934</v>
      </c>
      <c r="D1453" s="10" t="n">
        <v>-0.01802132</v>
      </c>
      <c r="E1453" s="5" t="n">
        <f aca="false">E1452*(1+D1453)</f>
        <v>217565.526782348</v>
      </c>
      <c r="F1453" s="4" t="n">
        <f aca="false">D1453*Varsayımlar!$B$3</f>
        <v>-0.02252665</v>
      </c>
      <c r="G1453" s="5" t="n">
        <f aca="false">G1452*(1+F1453)</f>
        <v>645935.981108307</v>
      </c>
    </row>
    <row r="1454" customFormat="false" ht="15" hidden="false" customHeight="false" outlineLevel="0" collapsed="false">
      <c r="A1454" s="3" t="n">
        <v>46214</v>
      </c>
      <c r="B1454" s="10" t="n">
        <v>0.0049083</v>
      </c>
      <c r="C1454" s="5" t="n">
        <f aca="false">C1453*(1+B1454)</f>
        <v>48471.1228604005</v>
      </c>
      <c r="D1454" s="10" t="n">
        <v>0.00528456</v>
      </c>
      <c r="E1454" s="5" t="n">
        <f aca="false">E1453*(1+D1454)</f>
        <v>218715.264862561</v>
      </c>
      <c r="F1454" s="4" t="n">
        <f aca="false">D1454*Varsayımlar!$B$3</f>
        <v>0.0066057</v>
      </c>
      <c r="G1454" s="5" t="n">
        <f aca="false">G1453*(1+F1454)</f>
        <v>650202.840418714</v>
      </c>
    </row>
    <row r="1455" customFormat="false" ht="15" hidden="false" customHeight="false" outlineLevel="0" collapsed="false">
      <c r="A1455" s="3" t="n">
        <v>46215</v>
      </c>
      <c r="B1455" s="10" t="n">
        <v>0.0177737</v>
      </c>
      <c r="C1455" s="5" t="n">
        <f aca="false">C1454*(1+B1455)</f>
        <v>49332.6340567844</v>
      </c>
      <c r="D1455" s="10" t="n">
        <v>0.02058138</v>
      </c>
      <c r="E1455" s="5" t="n">
        <f aca="false">E1454*(1+D1455)</f>
        <v>223216.726840498</v>
      </c>
      <c r="F1455" s="4" t="n">
        <f aca="false">D1455*Varsayımlar!$B$3</f>
        <v>0.025726725</v>
      </c>
      <c r="G1455" s="5" t="n">
        <f aca="false">G1454*(1+F1455)</f>
        <v>666930.430088385</v>
      </c>
    </row>
    <row r="1456" customFormat="false" ht="15" hidden="false" customHeight="false" outlineLevel="0" collapsed="false">
      <c r="A1456" s="3" t="n">
        <v>46216</v>
      </c>
      <c r="B1456" s="10" t="n">
        <v>-0.01036674</v>
      </c>
      <c r="C1456" s="5" t="n">
        <f aca="false">C1455*(1+B1456)</f>
        <v>48821.2154660026</v>
      </c>
      <c r="D1456" s="10" t="n">
        <v>-0.00455908</v>
      </c>
      <c r="E1456" s="5" t="n">
        <f aca="false">E1455*(1+D1456)</f>
        <v>222199.063925494</v>
      </c>
      <c r="F1456" s="4" t="n">
        <f aca="false">D1456*Varsayımlar!$B$3</f>
        <v>-0.00569885</v>
      </c>
      <c r="G1456" s="5" t="n">
        <f aca="false">G1455*(1+F1456)</f>
        <v>663129.693606876</v>
      </c>
    </row>
    <row r="1457" customFormat="false" ht="15" hidden="false" customHeight="false" outlineLevel="0" collapsed="false">
      <c r="A1457" s="3" t="n">
        <v>46217</v>
      </c>
      <c r="B1457" s="10" t="n">
        <v>0.01239764</v>
      </c>
      <c r="C1457" s="5" t="n">
        <f aca="false">C1456*(1+B1457)</f>
        <v>49426.4833197125</v>
      </c>
      <c r="D1457" s="10" t="n">
        <v>0.02107762</v>
      </c>
      <c r="E1457" s="5" t="n">
        <f aca="false">E1456*(1+D1457)</f>
        <v>226882.491359271</v>
      </c>
      <c r="F1457" s="4" t="n">
        <f aca="false">D1457*Varsayımlar!$B$3</f>
        <v>0.026347025</v>
      </c>
      <c r="G1457" s="5" t="n">
        <f aca="false">G1456*(1+F1457)</f>
        <v>680601.188222578</v>
      </c>
    </row>
    <row r="1458" customFormat="false" ht="15" hidden="false" customHeight="false" outlineLevel="0" collapsed="false">
      <c r="A1458" s="3" t="n">
        <v>46218</v>
      </c>
      <c r="B1458" s="10" t="n">
        <v>0.01144741</v>
      </c>
      <c r="C1458" s="5" t="n">
        <f aca="false">C1457*(1+B1458)</f>
        <v>49992.2885391314</v>
      </c>
      <c r="D1458" s="10" t="n">
        <v>0.01218004</v>
      </c>
      <c r="E1458" s="5" t="n">
        <f aca="false">E1457*(1+D1458)</f>
        <v>229645.929179327</v>
      </c>
      <c r="F1458" s="4" t="n">
        <f aca="false">D1458*Varsayımlar!$B$3</f>
        <v>0.01522505</v>
      </c>
      <c r="G1458" s="5" t="n">
        <f aca="false">G1457*(1+F1458)</f>
        <v>690963.375343327</v>
      </c>
    </row>
    <row r="1459" customFormat="false" ht="15" hidden="false" customHeight="false" outlineLevel="0" collapsed="false">
      <c r="A1459" s="3" t="n">
        <v>46219</v>
      </c>
      <c r="B1459" s="10" t="n">
        <v>-0.01260983</v>
      </c>
      <c r="C1459" s="5" t="n">
        <f aca="false">C1458*(1+B1459)</f>
        <v>49361.894279342</v>
      </c>
      <c r="D1459" s="10" t="n">
        <v>-0.02011857</v>
      </c>
      <c r="E1459" s="5" t="n">
        <f aca="false">E1458*(1+D1459)</f>
        <v>225025.781477918</v>
      </c>
      <c r="F1459" s="4" t="n">
        <f aca="false">D1459*Varsayımlar!$B$3</f>
        <v>-0.0251482125</v>
      </c>
      <c r="G1459" s="5" t="n">
        <f aca="false">G1458*(1+F1459)</f>
        <v>673586.881550475</v>
      </c>
    </row>
    <row r="1460" customFormat="false" ht="15" hidden="false" customHeight="false" outlineLevel="0" collapsed="false">
      <c r="A1460" s="3" t="n">
        <v>46220</v>
      </c>
      <c r="B1460" s="10" t="n">
        <v>0.01651879</v>
      </c>
      <c r="C1460" s="5" t="n">
        <f aca="false">C1459*(1+B1460)</f>
        <v>50177.2930449447</v>
      </c>
      <c r="D1460" s="10" t="n">
        <v>0.02616934</v>
      </c>
      <c r="E1460" s="5" t="n">
        <f aca="false">E1459*(1+D1460)</f>
        <v>230914.557662179</v>
      </c>
      <c r="F1460" s="4" t="n">
        <f aca="false">D1460*Varsayımlar!$B$3</f>
        <v>0.032711675</v>
      </c>
      <c r="G1460" s="5" t="n">
        <f aca="false">G1459*(1+F1460)</f>
        <v>695621.036704018</v>
      </c>
    </row>
    <row r="1461" customFormat="false" ht="15" hidden="false" customHeight="false" outlineLevel="0" collapsed="false">
      <c r="A1461" s="3" t="n">
        <v>46221</v>
      </c>
      <c r="B1461" s="10" t="n">
        <v>-0.0045083</v>
      </c>
      <c r="C1461" s="5" t="n">
        <f aca="false">C1460*(1+B1461)</f>
        <v>49951.0787547102</v>
      </c>
      <c r="D1461" s="10" t="n">
        <v>-0.00659913</v>
      </c>
      <c r="E1461" s="5" t="n">
        <f aca="false">E1460*(1+D1461)</f>
        <v>229390.722477274</v>
      </c>
      <c r="F1461" s="4" t="n">
        <f aca="false">D1461*Varsayımlar!$B$3</f>
        <v>-0.0082489125</v>
      </c>
      <c r="G1461" s="5" t="n">
        <f aca="false">G1460*(1+F1461)</f>
        <v>689882.919639087</v>
      </c>
    </row>
    <row r="1462" customFormat="false" ht="15" hidden="false" customHeight="false" outlineLevel="0" collapsed="false">
      <c r="A1462" s="3" t="n">
        <v>46222</v>
      </c>
      <c r="B1462" s="10" t="n">
        <v>-0.00417166</v>
      </c>
      <c r="C1462" s="5" t="n">
        <f aca="false">C1461*(1+B1462)</f>
        <v>49742.6998375123</v>
      </c>
      <c r="D1462" s="10" t="n">
        <v>0.00687783</v>
      </c>
      <c r="E1462" s="5" t="n">
        <f aca="false">E1461*(1+D1462)</f>
        <v>230968.43287005</v>
      </c>
      <c r="F1462" s="4" t="n">
        <f aca="false">D1462*Varsayımlar!$B$3</f>
        <v>0.0085972875</v>
      </c>
      <c r="G1462" s="5" t="n">
        <f aca="false">G1461*(1+F1462)</f>
        <v>695814.041440564</v>
      </c>
    </row>
    <row r="1463" customFormat="false" ht="15" hidden="false" customHeight="false" outlineLevel="0" collapsed="false">
      <c r="A1463" s="3" t="n">
        <v>46223</v>
      </c>
      <c r="B1463" s="10" t="n">
        <v>-0.00068395</v>
      </c>
      <c r="C1463" s="5" t="n">
        <f aca="false">C1462*(1+B1463)</f>
        <v>49708.6783179584</v>
      </c>
      <c r="D1463" s="10" t="n">
        <v>-0.00845466</v>
      </c>
      <c r="E1463" s="5" t="n">
        <f aca="false">E1462*(1+D1463)</f>
        <v>229015.673299401</v>
      </c>
      <c r="F1463" s="4" t="n">
        <f aca="false">D1463*Varsayımlar!$B$3</f>
        <v>-0.010568325</v>
      </c>
      <c r="G1463" s="5" t="n">
        <f aca="false">G1462*(1+F1463)</f>
        <v>688460.452511056</v>
      </c>
    </row>
    <row r="1464" customFormat="false" ht="15" hidden="false" customHeight="false" outlineLevel="0" collapsed="false">
      <c r="A1464" s="3" t="n">
        <v>46224</v>
      </c>
      <c r="B1464" s="10" t="n">
        <v>-0.01140083</v>
      </c>
      <c r="C1464" s="5" t="n">
        <f aca="false">C1463*(1+B1464)</f>
        <v>49141.9581269307</v>
      </c>
      <c r="D1464" s="10" t="n">
        <v>-0.02597475</v>
      </c>
      <c r="E1464" s="5" t="n">
        <f aca="false">E1463*(1+D1464)</f>
        <v>223067.048439367</v>
      </c>
      <c r="F1464" s="4" t="n">
        <f aca="false">D1464*Varsayımlar!$B$3</f>
        <v>-0.0324684375</v>
      </c>
      <c r="G1464" s="5" t="n">
        <f aca="false">G1463*(1+F1464)</f>
        <v>666107.21733748</v>
      </c>
    </row>
    <row r="1465" customFormat="false" ht="15" hidden="false" customHeight="false" outlineLevel="0" collapsed="false">
      <c r="A1465" s="3" t="n">
        <v>46225</v>
      </c>
      <c r="B1465" s="10" t="n">
        <v>0.00702845</v>
      </c>
      <c r="C1465" s="5" t="n">
        <f aca="false">C1464*(1+B1465)</f>
        <v>49487.3499225279</v>
      </c>
      <c r="D1465" s="10" t="n">
        <v>-0.00033094</v>
      </c>
      <c r="E1465" s="5" t="n">
        <f aca="false">E1464*(1+D1465)</f>
        <v>222993.226630356</v>
      </c>
      <c r="F1465" s="4" t="n">
        <f aca="false">D1465*Varsayımlar!$B$3</f>
        <v>-0.000413675</v>
      </c>
      <c r="G1465" s="5" t="n">
        <f aca="false">G1464*(1+F1465)</f>
        <v>665831.665434347</v>
      </c>
    </row>
    <row r="1466" customFormat="false" ht="15" hidden="false" customHeight="false" outlineLevel="0" collapsed="false">
      <c r="A1466" s="3" t="n">
        <v>46226</v>
      </c>
      <c r="B1466" s="10" t="n">
        <v>0.00826167</v>
      </c>
      <c r="C1466" s="5" t="n">
        <f aca="false">C1465*(1+B1466)</f>
        <v>49896.1980767624</v>
      </c>
      <c r="D1466" s="10" t="n">
        <v>0.0138134</v>
      </c>
      <c r="E1466" s="5" t="n">
        <f aca="false">E1465*(1+D1466)</f>
        <v>226073.521267092</v>
      </c>
      <c r="F1466" s="4" t="n">
        <f aca="false">D1466*Varsayımlar!$B$3</f>
        <v>0.01726675</v>
      </c>
      <c r="G1466" s="5" t="n">
        <f aca="false">G1465*(1+F1466)</f>
        <v>677328.414343486</v>
      </c>
    </row>
    <row r="1467" customFormat="false" ht="15" hidden="false" customHeight="false" outlineLevel="0" collapsed="false">
      <c r="A1467" s="3" t="n">
        <v>46227</v>
      </c>
      <c r="B1467" s="10" t="n">
        <v>0.02620741</v>
      </c>
      <c r="C1467" s="5" t="n">
        <f aca="false">C1466*(1+B1467)</f>
        <v>51203.8481972013</v>
      </c>
      <c r="D1467" s="10" t="n">
        <v>0.01449982</v>
      </c>
      <c r="E1467" s="5" t="n">
        <f aca="false">E1466*(1+D1467)</f>
        <v>229351.546632231</v>
      </c>
      <c r="F1467" s="4" t="n">
        <f aca="false">D1467*Varsayımlar!$B$3</f>
        <v>0.018124775</v>
      </c>
      <c r="G1467" s="5" t="n">
        <f aca="false">G1466*(1+F1467)</f>
        <v>689604.839454569</v>
      </c>
    </row>
    <row r="1468" customFormat="false" ht="15" hidden="false" customHeight="false" outlineLevel="0" collapsed="false">
      <c r="A1468" s="3" t="n">
        <v>46228</v>
      </c>
      <c r="B1468" s="10" t="n">
        <v>-0.01701876</v>
      </c>
      <c r="C1468" s="5" t="n">
        <f aca="false">C1467*(1+B1468)</f>
        <v>50332.4221936567</v>
      </c>
      <c r="D1468" s="10" t="n">
        <v>-0.00517815</v>
      </c>
      <c r="E1468" s="5" t="n">
        <f aca="false">E1467*(1+D1468)</f>
        <v>228163.929921038</v>
      </c>
      <c r="F1468" s="4" t="n">
        <f aca="false">D1468*Varsayımlar!$B$3</f>
        <v>-0.0064726875</v>
      </c>
      <c r="G1468" s="5" t="n">
        <f aca="false">G1467*(1+F1468)</f>
        <v>685141.242830291</v>
      </c>
    </row>
    <row r="1469" customFormat="false" ht="15" hidden="false" customHeight="false" outlineLevel="0" collapsed="false">
      <c r="A1469" s="3" t="n">
        <v>46229</v>
      </c>
      <c r="B1469" s="10" t="n">
        <v>0.02189274</v>
      </c>
      <c r="C1469" s="5" t="n">
        <f aca="false">C1468*(1+B1469)</f>
        <v>51434.3368263126</v>
      </c>
      <c r="D1469" s="10" t="n">
        <v>0.0002006</v>
      </c>
      <c r="E1469" s="5" t="n">
        <f aca="false">E1468*(1+D1469)</f>
        <v>228209.69960538</v>
      </c>
      <c r="F1469" s="4" t="n">
        <f aca="false">D1469*Varsayımlar!$B$3</f>
        <v>0.00025075</v>
      </c>
      <c r="G1469" s="5" t="n">
        <f aca="false">G1468*(1+F1469)</f>
        <v>685313.041996931</v>
      </c>
    </row>
    <row r="1470" customFormat="false" ht="15" hidden="false" customHeight="false" outlineLevel="0" collapsed="false">
      <c r="A1470" s="3" t="n">
        <v>46230</v>
      </c>
      <c r="B1470" s="10" t="n">
        <v>0.02961911</v>
      </c>
      <c r="C1470" s="5" t="n">
        <f aca="false">C1469*(1+B1470)</f>
        <v>52957.7761065482</v>
      </c>
      <c r="D1470" s="10" t="n">
        <v>0.03861157</v>
      </c>
      <c r="E1470" s="5" t="n">
        <f aca="false">E1469*(1+D1470)</f>
        <v>237021.234396372</v>
      </c>
      <c r="F1470" s="4" t="n">
        <f aca="false">D1470*Varsayımlar!$B$3</f>
        <v>0.0482644625</v>
      </c>
      <c r="G1470" s="5" t="n">
        <f aca="false">G1469*(1+F1470)</f>
        <v>718389.307613153</v>
      </c>
    </row>
    <row r="1471" customFormat="false" ht="15" hidden="false" customHeight="false" outlineLevel="0" collapsed="false">
      <c r="A1471" s="3" t="n">
        <v>46231</v>
      </c>
      <c r="B1471" s="10" t="n">
        <v>0.00659956</v>
      </c>
      <c r="C1471" s="5" t="n">
        <f aca="false">C1470*(1+B1471)</f>
        <v>53307.27412743</v>
      </c>
      <c r="D1471" s="10" t="n">
        <v>0.0085108</v>
      </c>
      <c r="E1471" s="5" t="n">
        <f aca="false">E1470*(1+D1471)</f>
        <v>239038.474718072</v>
      </c>
      <c r="F1471" s="4" t="n">
        <f aca="false">D1471*Varsayımlar!$B$3</f>
        <v>0.0106385</v>
      </c>
      <c r="G1471" s="5" t="n">
        <f aca="false">G1470*(1+F1471)</f>
        <v>726031.892262196</v>
      </c>
    </row>
    <row r="1472" customFormat="false" ht="15" hidden="false" customHeight="false" outlineLevel="0" collapsed="false">
      <c r="A1472" s="3" t="n">
        <v>46232</v>
      </c>
      <c r="B1472" s="10" t="n">
        <v>0.00667977</v>
      </c>
      <c r="C1472" s="5" t="n">
        <f aca="false">C1471*(1+B1472)</f>
        <v>53663.3544579282</v>
      </c>
      <c r="D1472" s="10" t="n">
        <v>0.00706168</v>
      </c>
      <c r="E1472" s="5" t="n">
        <f aca="false">E1471*(1+D1472)</f>
        <v>240726.48793422</v>
      </c>
      <c r="F1472" s="4" t="n">
        <f aca="false">D1472*Varsayımlar!$B$3</f>
        <v>0.0088271</v>
      </c>
      <c r="G1472" s="5" t="n">
        <f aca="false">G1471*(1+F1472)</f>
        <v>732440.648378383</v>
      </c>
    </row>
    <row r="1473" customFormat="false" ht="15" hidden="false" customHeight="false" outlineLevel="0" collapsed="false">
      <c r="A1473" s="3" t="n">
        <v>46233</v>
      </c>
      <c r="B1473" s="10" t="n">
        <v>-0.02668076</v>
      </c>
      <c r="C1473" s="5" t="n">
        <f aca="false">C1472*(1+B1473)</f>
        <v>52231.5753768413</v>
      </c>
      <c r="D1473" s="10" t="n">
        <v>-0.02240954</v>
      </c>
      <c r="E1473" s="5" t="n">
        <f aca="false">E1472*(1+D1473)</f>
        <v>235331.918073798</v>
      </c>
      <c r="F1473" s="4" t="n">
        <f aca="false">D1473*Varsayımlar!$B$3</f>
        <v>-0.028011925</v>
      </c>
      <c r="G1473" s="5" t="n">
        <f aca="false">G1472*(1+F1473)</f>
        <v>711923.575869057</v>
      </c>
    </row>
    <row r="1474" customFormat="false" ht="15" hidden="false" customHeight="false" outlineLevel="0" collapsed="false">
      <c r="A1474" s="3" t="n">
        <v>46234</v>
      </c>
      <c r="B1474" s="10" t="n">
        <v>0.00353338</v>
      </c>
      <c r="C1474" s="5" t="n">
        <f aca="false">C1473*(1+B1474)</f>
        <v>52416.1293806463</v>
      </c>
      <c r="D1474" s="10" t="n">
        <v>0.00028648</v>
      </c>
      <c r="E1474" s="5" t="n">
        <f aca="false">E1473*(1+D1474)</f>
        <v>235399.335961688</v>
      </c>
      <c r="F1474" s="4" t="n">
        <f aca="false">D1474*Varsayımlar!$B$3</f>
        <v>0.0003581</v>
      </c>
      <c r="G1474" s="5" t="n">
        <f aca="false">G1473*(1+F1474)</f>
        <v>712178.515701575</v>
      </c>
    </row>
    <row r="1475" customFormat="false" ht="15" hidden="false" customHeight="false" outlineLevel="0" collapsed="false">
      <c r="A1475" s="3" t="n">
        <v>46235</v>
      </c>
      <c r="B1475" s="10" t="n">
        <v>0.01352887</v>
      </c>
      <c r="C1475" s="5" t="n">
        <f aca="false">C1474*(1+B1475)</f>
        <v>53125.2603809402</v>
      </c>
      <c r="D1475" s="10" t="n">
        <v>0.03092957</v>
      </c>
      <c r="E1475" s="5" t="n">
        <f aca="false">E1474*(1+D1475)</f>
        <v>242680.136201269</v>
      </c>
      <c r="F1475" s="4" t="n">
        <f aca="false">D1475*Varsayımlar!$B$3</f>
        <v>0.0386619625</v>
      </c>
      <c r="G1475" s="5" t="n">
        <f aca="false">G1474*(1+F1475)</f>
        <v>739712.734768935</v>
      </c>
    </row>
    <row r="1476" customFormat="false" ht="15" hidden="false" customHeight="false" outlineLevel="0" collapsed="false">
      <c r="A1476" s="3" t="n">
        <v>46236</v>
      </c>
      <c r="B1476" s="10" t="n">
        <v>-0.02797859</v>
      </c>
      <c r="C1476" s="5" t="n">
        <f aca="false">C1475*(1+B1476)</f>
        <v>51638.8905020986</v>
      </c>
      <c r="D1476" s="10" t="n">
        <v>-0.02983476</v>
      </c>
      <c r="E1476" s="5" t="n">
        <f aca="false">E1475*(1+D1476)</f>
        <v>235439.832580936</v>
      </c>
      <c r="F1476" s="4" t="n">
        <f aca="false">D1476*Varsayımlar!$B$3</f>
        <v>-0.03729345</v>
      </c>
      <c r="G1476" s="5" t="n">
        <f aca="false">G1475*(1+F1476)</f>
        <v>712126.294880467</v>
      </c>
    </row>
    <row r="1477" customFormat="false" ht="15" hidden="false" customHeight="false" outlineLevel="0" collapsed="false">
      <c r="A1477" s="3" t="n">
        <v>46237</v>
      </c>
      <c r="B1477" s="10" t="n">
        <v>0.00490109</v>
      </c>
      <c r="C1477" s="5" t="n">
        <f aca="false">C1476*(1+B1477)</f>
        <v>51891.9773519496</v>
      </c>
      <c r="D1477" s="10" t="n">
        <v>-0.00524642</v>
      </c>
      <c r="E1477" s="5" t="n">
        <f aca="false">E1476*(1+D1477)</f>
        <v>234204.616334487</v>
      </c>
      <c r="F1477" s="4" t="n">
        <f aca="false">D1477*Varsayımlar!$B$3</f>
        <v>-0.006558025</v>
      </c>
      <c r="G1477" s="5" t="n">
        <f aca="false">G1476*(1+F1477)</f>
        <v>707456.152835483</v>
      </c>
    </row>
    <row r="1478" customFormat="false" ht="15" hidden="false" customHeight="false" outlineLevel="0" collapsed="false">
      <c r="A1478" s="3" t="n">
        <v>46238</v>
      </c>
      <c r="B1478" s="10" t="n">
        <v>0.0413075</v>
      </c>
      <c r="C1478" s="5" t="n">
        <f aca="false">C1477*(1+B1478)</f>
        <v>54035.5052064152</v>
      </c>
      <c r="D1478" s="10" t="n">
        <v>0.02084505</v>
      </c>
      <c r="E1478" s="5" t="n">
        <f aca="false">E1477*(1+D1478)</f>
        <v>239086.62327221</v>
      </c>
      <c r="F1478" s="4" t="n">
        <f aca="false">D1478*Varsayımlar!$B$3</f>
        <v>0.0260563125</v>
      </c>
      <c r="G1478" s="5" t="n">
        <f aca="false">G1477*(1+F1478)</f>
        <v>725889.851433812</v>
      </c>
    </row>
    <row r="1479" customFormat="false" ht="15" hidden="false" customHeight="false" outlineLevel="0" collapsed="false">
      <c r="A1479" s="3" t="n">
        <v>46239</v>
      </c>
      <c r="B1479" s="10" t="n">
        <v>-0.02710852</v>
      </c>
      <c r="C1479" s="5" t="n">
        <f aca="false">C1478*(1+B1479)</f>
        <v>52570.682632817</v>
      </c>
      <c r="D1479" s="10" t="n">
        <v>-0.00954781</v>
      </c>
      <c r="E1479" s="5" t="n">
        <f aca="false">E1478*(1+D1479)</f>
        <v>236803.869619666</v>
      </c>
      <c r="F1479" s="4" t="n">
        <f aca="false">D1479*Varsayımlar!$B$3</f>
        <v>-0.0119347625</v>
      </c>
      <c r="G1479" s="5" t="n">
        <f aca="false">G1478*(1+F1479)</f>
        <v>717226.528455789</v>
      </c>
    </row>
    <row r="1480" customFormat="false" ht="15" hidden="false" customHeight="false" outlineLevel="0" collapsed="false">
      <c r="A1480" s="3" t="n">
        <v>46240</v>
      </c>
      <c r="B1480" s="10" t="n">
        <v>0.01012458</v>
      </c>
      <c r="C1480" s="5" t="n">
        <f aca="false">C1479*(1+B1480)</f>
        <v>53102.9387147876</v>
      </c>
      <c r="D1480" s="10" t="n">
        <v>-0.0047954</v>
      </c>
      <c r="E1480" s="5" t="n">
        <f aca="false">E1479*(1+D1480)</f>
        <v>235668.300343291</v>
      </c>
      <c r="F1480" s="4" t="n">
        <f aca="false">D1480*Varsayımlar!$B$3</f>
        <v>-0.00599425</v>
      </c>
      <c r="G1480" s="5" t="n">
        <f aca="false">G1479*(1+F1480)</f>
        <v>712927.293337593</v>
      </c>
    </row>
    <row r="1481" customFormat="false" ht="15" hidden="false" customHeight="false" outlineLevel="0" collapsed="false">
      <c r="A1481" s="3" t="n">
        <v>46241</v>
      </c>
      <c r="B1481" s="10" t="n">
        <v>0.01720586</v>
      </c>
      <c r="C1481" s="5" t="n">
        <f aca="false">C1480*(1+B1481)</f>
        <v>54016.6204439028</v>
      </c>
      <c r="D1481" s="10" t="n">
        <v>-0.00587799</v>
      </c>
      <c r="E1481" s="5" t="n">
        <f aca="false">E1480*(1+D1481)</f>
        <v>234283.044430557</v>
      </c>
      <c r="F1481" s="4" t="n">
        <f aca="false">D1481*Varsayımlar!$B$3</f>
        <v>-0.0073474875</v>
      </c>
      <c r="G1481" s="5" t="n">
        <f aca="false">G1480*(1+F1481)</f>
        <v>707689.068961387</v>
      </c>
    </row>
    <row r="1482" customFormat="false" ht="15" hidden="false" customHeight="false" outlineLevel="0" collapsed="false">
      <c r="A1482" s="3" t="n">
        <v>46242</v>
      </c>
      <c r="B1482" s="10" t="n">
        <v>0.01682046</v>
      </c>
      <c r="C1482" s="5" t="n">
        <f aca="false">C1481*(1+B1482)</f>
        <v>54925.2048474146</v>
      </c>
      <c r="D1482" s="10" t="n">
        <v>0.03567572</v>
      </c>
      <c r="E1482" s="5" t="n">
        <f aca="false">E1481*(1+D1482)</f>
        <v>242641.260724409</v>
      </c>
      <c r="F1482" s="4" t="n">
        <f aca="false">D1482*Varsayımlar!$B$3</f>
        <v>0.04459465</v>
      </c>
      <c r="G1482" s="5" t="n">
        <f aca="false">G1481*(1+F1482)</f>
        <v>739248.215300545</v>
      </c>
    </row>
    <row r="1483" customFormat="false" ht="15" hidden="false" customHeight="false" outlineLevel="0" collapsed="false">
      <c r="A1483" s="3" t="n">
        <v>46243</v>
      </c>
      <c r="B1483" s="10" t="n">
        <v>0.01322071</v>
      </c>
      <c r="C1483" s="5" t="n">
        <f aca="false">C1482*(1+B1483)</f>
        <v>55651.3550523929</v>
      </c>
      <c r="D1483" s="10" t="n">
        <v>0.03414751</v>
      </c>
      <c r="E1483" s="5" t="n">
        <f aca="false">E1482*(1+D1483)</f>
        <v>250926.855601408</v>
      </c>
      <c r="F1483" s="4" t="n">
        <f aca="false">D1483*Varsayımlar!$B$3</f>
        <v>0.0426843875</v>
      </c>
      <c r="G1483" s="5" t="n">
        <f aca="false">G1482*(1+F1483)</f>
        <v>770802.572581117</v>
      </c>
    </row>
    <row r="1484" customFormat="false" ht="15" hidden="false" customHeight="false" outlineLevel="0" collapsed="false">
      <c r="A1484" s="3" t="n">
        <v>46244</v>
      </c>
      <c r="B1484" s="10" t="n">
        <v>0.00605642</v>
      </c>
      <c r="C1484" s="5" t="n">
        <f aca="false">C1483*(1+B1484)</f>
        <v>55988.4030321593</v>
      </c>
      <c r="D1484" s="10" t="n">
        <v>0.00998445</v>
      </c>
      <c r="E1484" s="5" t="n">
        <f aca="false">E1483*(1+D1484)</f>
        <v>253432.222244817</v>
      </c>
      <c r="F1484" s="4" t="n">
        <f aca="false">D1484*Varsayımlar!$B$3</f>
        <v>0.0124805625</v>
      </c>
      <c r="G1484" s="5" t="n">
        <f aca="false">G1483*(1+F1484)</f>
        <v>780422.622263377</v>
      </c>
    </row>
    <row r="1485" customFormat="false" ht="15" hidden="false" customHeight="false" outlineLevel="0" collapsed="false">
      <c r="A1485" s="3" t="n">
        <v>46245</v>
      </c>
      <c r="B1485" s="10" t="n">
        <v>-0.00026256</v>
      </c>
      <c r="C1485" s="5" t="n">
        <f aca="false">C1484*(1+B1485)</f>
        <v>55973.7027170592</v>
      </c>
      <c r="D1485" s="10" t="n">
        <v>-0.00667343</v>
      </c>
      <c r="E1485" s="5" t="n">
        <f aca="false">E1484*(1+D1485)</f>
        <v>251740.960049922</v>
      </c>
      <c r="F1485" s="4" t="n">
        <f aca="false">D1485*Varsayımlar!$B$3</f>
        <v>-0.0083417875</v>
      </c>
      <c r="G1485" s="5" t="n">
        <f aca="false">G1484*(1+F1485)</f>
        <v>773912.502588263</v>
      </c>
    </row>
    <row r="1486" customFormat="false" ht="15" hidden="false" customHeight="false" outlineLevel="0" collapsed="false">
      <c r="A1486" s="3" t="n">
        <v>46246</v>
      </c>
      <c r="B1486" s="10" t="n">
        <v>-0.00360176</v>
      </c>
      <c r="C1486" s="5" t="n">
        <f aca="false">C1485*(1+B1486)</f>
        <v>55772.098873561</v>
      </c>
      <c r="D1486" s="10" t="n">
        <v>-0.01457699</v>
      </c>
      <c r="E1486" s="5" t="n">
        <f aca="false">E1485*(1+D1486)</f>
        <v>248071.334592684</v>
      </c>
      <c r="F1486" s="4" t="n">
        <f aca="false">D1486*Varsayımlar!$B$3</f>
        <v>-0.0182212375</v>
      </c>
      <c r="G1486" s="5" t="n">
        <f aca="false">G1485*(1+F1486)</f>
        <v>759810.859074383</v>
      </c>
    </row>
    <row r="1487" customFormat="false" ht="15" hidden="false" customHeight="false" outlineLevel="0" collapsed="false">
      <c r="A1487" s="3" t="n">
        <v>46247</v>
      </c>
      <c r="B1487" s="10" t="n">
        <v>-0.00651299</v>
      </c>
      <c r="C1487" s="5" t="n">
        <f aca="false">C1486*(1+B1487)</f>
        <v>55408.8557513185</v>
      </c>
      <c r="D1487" s="10" t="n">
        <v>-0.03458908</v>
      </c>
      <c r="E1487" s="5" t="n">
        <f aca="false">E1486*(1+D1487)</f>
        <v>239490.775354751</v>
      </c>
      <c r="F1487" s="4" t="n">
        <f aca="false">D1487*Varsayımlar!$B$3</f>
        <v>-0.04323635</v>
      </c>
      <c r="G1487" s="5" t="n">
        <f aca="false">G1486*(1+F1487)</f>
        <v>726959.410837642</v>
      </c>
    </row>
    <row r="1488" customFormat="false" ht="15" hidden="false" customHeight="false" outlineLevel="0" collapsed="false">
      <c r="A1488" s="3" t="n">
        <v>46248</v>
      </c>
      <c r="B1488" s="10" t="n">
        <v>-0.00068885</v>
      </c>
      <c r="C1488" s="5" t="n">
        <f aca="false">C1487*(1+B1488)</f>
        <v>55370.6873610342</v>
      </c>
      <c r="D1488" s="10" t="n">
        <v>-0.01147794</v>
      </c>
      <c r="E1488" s="5" t="n">
        <f aca="false">E1487*(1+D1488)</f>
        <v>236741.914604676</v>
      </c>
      <c r="F1488" s="4" t="n">
        <f aca="false">D1488*Varsayımlar!$B$3</f>
        <v>-0.014347425</v>
      </c>
      <c r="G1488" s="5" t="n">
        <f aca="false">G1487*(1+F1488)</f>
        <v>716529.415212605</v>
      </c>
    </row>
    <row r="1489" customFormat="false" ht="15" hidden="false" customHeight="false" outlineLevel="0" collapsed="false">
      <c r="A1489" s="3" t="n">
        <v>46249</v>
      </c>
      <c r="B1489" s="10" t="n">
        <v>-0.0103403</v>
      </c>
      <c r="C1489" s="5" t="n">
        <f aca="false">C1488*(1+B1489)</f>
        <v>54798.1378425149</v>
      </c>
      <c r="D1489" s="10" t="n">
        <v>-0.03037346</v>
      </c>
      <c r="E1489" s="5" t="n">
        <f aca="false">E1488*(1+D1489)</f>
        <v>229551.243531107</v>
      </c>
      <c r="F1489" s="4" t="n">
        <f aca="false">D1489*Varsayımlar!$B$3</f>
        <v>-0.037966825</v>
      </c>
      <c r="G1489" s="5" t="n">
        <f aca="false">G1488*(1+F1489)</f>
        <v>689325.068297876</v>
      </c>
    </row>
    <row r="1490" customFormat="false" ht="15" hidden="false" customHeight="false" outlineLevel="0" collapsed="false">
      <c r="A1490" s="3" t="n">
        <v>46250</v>
      </c>
      <c r="B1490" s="10" t="n">
        <v>-0.00445843</v>
      </c>
      <c r="C1490" s="5" t="n">
        <f aca="false">C1489*(1+B1490)</f>
        <v>54553.8241808137</v>
      </c>
      <c r="D1490" s="10" t="n">
        <v>-0.0287504</v>
      </c>
      <c r="E1490" s="5" t="n">
        <f aca="false">E1489*(1+D1490)</f>
        <v>222951.55345909</v>
      </c>
      <c r="F1490" s="4" t="n">
        <f aca="false">D1490*Varsayımlar!$B$3</f>
        <v>-0.035938</v>
      </c>
      <c r="G1490" s="5" t="n">
        <f aca="false">G1489*(1+F1490)</f>
        <v>664552.103993387</v>
      </c>
    </row>
    <row r="1491" customFormat="false" ht="15" hidden="false" customHeight="false" outlineLevel="0" collapsed="false">
      <c r="A1491" s="3" t="n">
        <v>46251</v>
      </c>
      <c r="B1491" s="10" t="n">
        <v>0.00672871</v>
      </c>
      <c r="C1491" s="5" t="n">
        <f aca="false">C1490*(1+B1491)</f>
        <v>54920.9010431174</v>
      </c>
      <c r="D1491" s="10" t="n">
        <v>0.00707468</v>
      </c>
      <c r="E1491" s="5" t="n">
        <f aca="false">E1490*(1+D1491)</f>
        <v>224528.864355316</v>
      </c>
      <c r="F1491" s="4" t="n">
        <f aca="false">D1491*Varsayımlar!$B$3</f>
        <v>0.00884335</v>
      </c>
      <c r="G1491" s="5" t="n">
        <f aca="false">G1490*(1+F1491)</f>
        <v>670428.970842236</v>
      </c>
    </row>
    <row r="1492" customFormat="false" ht="15" hidden="false" customHeight="false" outlineLevel="0" collapsed="false">
      <c r="A1492" s="3" t="n">
        <v>46252</v>
      </c>
      <c r="B1492" s="10" t="n">
        <v>0.02363971</v>
      </c>
      <c r="C1492" s="5" t="n">
        <f aca="false">C1491*(1+B1492)</f>
        <v>56219.2152167154</v>
      </c>
      <c r="D1492" s="10" t="n">
        <v>0.00833112</v>
      </c>
      <c r="E1492" s="5" t="n">
        <f aca="false">E1491*(1+D1492)</f>
        <v>226399.441267724</v>
      </c>
      <c r="F1492" s="4" t="n">
        <f aca="false">D1492*Varsayımlar!$B$3</f>
        <v>0.0104139</v>
      </c>
      <c r="G1492" s="5" t="n">
        <f aca="false">G1491*(1+F1492)</f>
        <v>677410.751101691</v>
      </c>
    </row>
    <row r="1493" customFormat="false" ht="15" hidden="false" customHeight="false" outlineLevel="0" collapsed="false">
      <c r="A1493" s="3" t="n">
        <v>46253</v>
      </c>
      <c r="B1493" s="10" t="n">
        <v>-0.02461898</v>
      </c>
      <c r="C1493" s="5" t="n">
        <f aca="false">C1492*(1+B1493)</f>
        <v>54835.1554816793</v>
      </c>
      <c r="D1493" s="10" t="n">
        <v>-0.03204394</v>
      </c>
      <c r="E1493" s="5" t="n">
        <f aca="false">E1492*(1+D1493)</f>
        <v>219144.711155708</v>
      </c>
      <c r="F1493" s="4" t="n">
        <f aca="false">D1493*Varsayımlar!$B$3</f>
        <v>-0.040054925</v>
      </c>
      <c r="G1493" s="5" t="n">
        <f aca="false">G1492*(1+F1493)</f>
        <v>650277.114272119</v>
      </c>
    </row>
    <row r="1494" customFormat="false" ht="15" hidden="false" customHeight="false" outlineLevel="0" collapsed="false">
      <c r="A1494" s="3" t="n">
        <v>46254</v>
      </c>
      <c r="B1494" s="10" t="n">
        <v>0.02517794</v>
      </c>
      <c r="C1494" s="5" t="n">
        <f aca="false">C1493*(1+B1494)</f>
        <v>56215.7917362877</v>
      </c>
      <c r="D1494" s="10" t="n">
        <v>0.05331684</v>
      </c>
      <c r="E1494" s="5" t="n">
        <f aca="false">E1493*(1+D1494)</f>
        <v>230828.814657243</v>
      </c>
      <c r="F1494" s="4" t="n">
        <f aca="false">D1494*Varsayımlar!$B$3</f>
        <v>0.06664605</v>
      </c>
      <c r="G1494" s="5" t="n">
        <f aca="false">G1493*(1+F1494)</f>
        <v>693615.515343754</v>
      </c>
    </row>
    <row r="1495" customFormat="false" ht="15" hidden="false" customHeight="false" outlineLevel="0" collapsed="false">
      <c r="A1495" s="3" t="n">
        <v>46255</v>
      </c>
      <c r="B1495" s="10" t="n">
        <v>-0.01113848</v>
      </c>
      <c r="C1495" s="5" t="n">
        <f aca="false">C1494*(1+B1495)</f>
        <v>55589.6332643489</v>
      </c>
      <c r="D1495" s="10" t="n">
        <v>-0.02503069</v>
      </c>
      <c r="E1495" s="5" t="n">
        <f aca="false">E1494*(1+D1495)</f>
        <v>225051.01015449</v>
      </c>
      <c r="F1495" s="4" t="n">
        <f aca="false">D1495*Varsayımlar!$B$3</f>
        <v>-0.0312883625</v>
      </c>
      <c r="G1495" s="5" t="n">
        <f aca="false">G1494*(1+F1495)</f>
        <v>671913.421664054</v>
      </c>
    </row>
    <row r="1496" customFormat="false" ht="15" hidden="false" customHeight="false" outlineLevel="0" collapsed="false">
      <c r="A1496" s="3" t="n">
        <v>46256</v>
      </c>
      <c r="B1496" s="10" t="n">
        <v>0.01666624</v>
      </c>
      <c r="C1496" s="5" t="n">
        <f aca="false">C1495*(1+B1496)</f>
        <v>56516.1034338445</v>
      </c>
      <c r="D1496" s="10" t="n">
        <v>0.03169574</v>
      </c>
      <c r="E1496" s="5" t="n">
        <f aca="false">E1495*(1+D1496)</f>
        <v>232184.168459084</v>
      </c>
      <c r="F1496" s="4" t="n">
        <f aca="false">D1496*Varsayımlar!$B$3</f>
        <v>0.039619675</v>
      </c>
      <c r="G1496" s="5" t="n">
        <f aca="false">G1495*(1+F1496)</f>
        <v>698534.413058522</v>
      </c>
    </row>
    <row r="1497" customFormat="false" ht="15" hidden="false" customHeight="false" outlineLevel="0" collapsed="false">
      <c r="A1497" s="3" t="n">
        <v>46257</v>
      </c>
      <c r="B1497" s="10" t="n">
        <v>0.00024022</v>
      </c>
      <c r="C1497" s="5" t="n">
        <f aca="false">C1496*(1+B1497)</f>
        <v>56529.6797322114</v>
      </c>
      <c r="D1497" s="10" t="n">
        <v>0.0039303</v>
      </c>
      <c r="E1497" s="5" t="n">
        <f aca="false">E1496*(1+D1497)</f>
        <v>233096.721896379</v>
      </c>
      <c r="F1497" s="4" t="n">
        <f aca="false">D1497*Varsayımlar!$B$3</f>
        <v>0.004912875</v>
      </c>
      <c r="G1497" s="5" t="n">
        <f aca="false">G1496*(1+F1497)</f>
        <v>701966.225313077</v>
      </c>
    </row>
    <row r="1498" customFormat="false" ht="15" hidden="false" customHeight="false" outlineLevel="0" collapsed="false">
      <c r="A1498" s="3" t="n">
        <v>46258</v>
      </c>
      <c r="B1498" s="10" t="n">
        <v>0.00173482</v>
      </c>
      <c r="C1498" s="5" t="n">
        <f aca="false">C1497*(1+B1498)</f>
        <v>56627.7485512045</v>
      </c>
      <c r="D1498" s="10" t="n">
        <v>0.0032711</v>
      </c>
      <c r="E1498" s="5" t="n">
        <f aca="false">E1497*(1+D1498)</f>
        <v>233859.204583374</v>
      </c>
      <c r="F1498" s="4" t="n">
        <f aca="false">D1498*Varsayımlar!$B$3</f>
        <v>0.004088875</v>
      </c>
      <c r="G1498" s="5" t="n">
        <f aca="false">G1497*(1+F1498)</f>
        <v>704836.477462604</v>
      </c>
    </row>
    <row r="1499" customFormat="false" ht="15" hidden="false" customHeight="false" outlineLevel="0" collapsed="false">
      <c r="A1499" s="3" t="n">
        <v>46259</v>
      </c>
      <c r="B1499" s="10" t="n">
        <v>0.01940873</v>
      </c>
      <c r="C1499" s="5" t="n">
        <f aca="false">C1498*(1+B1499)</f>
        <v>57726.8212333427</v>
      </c>
      <c r="D1499" s="10" t="n">
        <v>0.02138504</v>
      </c>
      <c r="E1499" s="5" t="n">
        <f aca="false">E1498*(1+D1499)</f>
        <v>238860.293027758</v>
      </c>
      <c r="F1499" s="4" t="n">
        <f aca="false">D1499*Varsayımlar!$B$3</f>
        <v>0.0267313</v>
      </c>
      <c r="G1499" s="5" t="n">
        <f aca="false">G1498*(1+F1499)</f>
        <v>723677.6727926</v>
      </c>
    </row>
    <row r="1500" customFormat="false" ht="15" hidden="false" customHeight="false" outlineLevel="0" collapsed="false">
      <c r="A1500" s="3" t="n">
        <v>46260</v>
      </c>
      <c r="B1500" s="10" t="n">
        <v>0.02004634</v>
      </c>
      <c r="C1500" s="5" t="n">
        <f aca="false">C1499*(1+B1500)</f>
        <v>58884.0327189055</v>
      </c>
      <c r="D1500" s="10" t="n">
        <v>0.03846098</v>
      </c>
      <c r="E1500" s="5" t="n">
        <f aca="false">E1499*(1+D1500)</f>
        <v>248047.093980692</v>
      </c>
      <c r="F1500" s="4" t="n">
        <f aca="false">D1500*Varsayımlar!$B$3</f>
        <v>0.048076225</v>
      </c>
      <c r="G1500" s="5" t="n">
        <f aca="false">G1499*(1+F1500)</f>
        <v>758469.363417254</v>
      </c>
    </row>
    <row r="1501" customFormat="false" ht="15" hidden="false" customHeight="false" outlineLevel="0" collapsed="false">
      <c r="A1501" s="3" t="n">
        <v>46261</v>
      </c>
      <c r="B1501" s="10" t="n">
        <v>0.0055529</v>
      </c>
      <c r="C1501" s="5" t="n">
        <f aca="false">C1500*(1+B1501)</f>
        <v>59211.0098641903</v>
      </c>
      <c r="D1501" s="10" t="n">
        <v>0.00105861</v>
      </c>
      <c r="E1501" s="5" t="n">
        <f aca="false">E1500*(1+D1501)</f>
        <v>248309.679114851</v>
      </c>
      <c r="F1501" s="4" t="n">
        <f aca="false">D1501*Varsayımlar!$B$3</f>
        <v>0.0013232625</v>
      </c>
      <c r="G1501" s="5" t="n">
        <f aca="false">G1500*(1+F1501)</f>
        <v>759473.017483263</v>
      </c>
    </row>
    <row r="1502" customFormat="false" ht="15" hidden="false" customHeight="false" outlineLevel="0" collapsed="false">
      <c r="A1502" s="3" t="n">
        <v>46262</v>
      </c>
      <c r="B1502" s="10" t="n">
        <v>0.00834484</v>
      </c>
      <c r="C1502" s="5" t="n">
        <f aca="false">C1501*(1+B1502)</f>
        <v>59705.1162677454</v>
      </c>
      <c r="D1502" s="10" t="n">
        <v>0.00231247</v>
      </c>
      <c r="E1502" s="5" t="n">
        <f aca="false">E1501*(1+D1502)</f>
        <v>248883.887798514</v>
      </c>
      <c r="F1502" s="4" t="n">
        <f aca="false">D1502*Varsayımlar!$B$3</f>
        <v>0.0028905875</v>
      </c>
      <c r="G1502" s="5" t="n">
        <f aca="false">G1501*(1+F1502)</f>
        <v>761668.340694187</v>
      </c>
    </row>
    <row r="1503" customFormat="false" ht="15" hidden="false" customHeight="false" outlineLevel="0" collapsed="false">
      <c r="A1503" s="3" t="n">
        <v>46263</v>
      </c>
      <c r="B1503" s="10" t="n">
        <v>0.02621705</v>
      </c>
      <c r="C1503" s="5" t="n">
        <f aca="false">C1502*(1+B1503)</f>
        <v>61270.4082861927</v>
      </c>
      <c r="D1503" s="10" t="n">
        <v>0.03531148</v>
      </c>
      <c r="E1503" s="5" t="n">
        <f aca="false">E1502*(1+D1503)</f>
        <v>257672.346224834</v>
      </c>
      <c r="F1503" s="4" t="n">
        <f aca="false">D1503*Varsayımlar!$B$3</f>
        <v>0.04413935</v>
      </c>
      <c r="G1503" s="5" t="n">
        <f aca="false">G1502*(1+F1503)</f>
        <v>795287.886168007</v>
      </c>
    </row>
    <row r="1504" customFormat="false" ht="15" hidden="false" customHeight="false" outlineLevel="0" collapsed="false">
      <c r="A1504" s="3" t="n">
        <v>46264</v>
      </c>
      <c r="B1504" s="10" t="n">
        <v>0.00098231</v>
      </c>
      <c r="C1504" s="5" t="n">
        <f aca="false">C1503*(1+B1504)</f>
        <v>61330.5948209563</v>
      </c>
      <c r="D1504" s="10" t="n">
        <v>0.00727675</v>
      </c>
      <c r="E1504" s="5" t="n">
        <f aca="false">E1503*(1+D1504)</f>
        <v>259547.363470225</v>
      </c>
      <c r="F1504" s="4" t="n">
        <f aca="false">D1504*Varsayımlar!$B$3</f>
        <v>0.0090959375</v>
      </c>
      <c r="G1504" s="5" t="n">
        <f aca="false">G1503*(1+F1504)</f>
        <v>802521.775075098</v>
      </c>
    </row>
    <row r="1505" customFormat="false" ht="15" hidden="false" customHeight="false" outlineLevel="0" collapsed="false">
      <c r="A1505" s="3" t="n">
        <v>46265</v>
      </c>
      <c r="B1505" s="10" t="n">
        <v>-0.00974216</v>
      </c>
      <c r="C1505" s="5" t="n">
        <f aca="false">C1504*(1+B1505)</f>
        <v>60733.1023533154</v>
      </c>
      <c r="D1505" s="10" t="n">
        <v>-0.00992843</v>
      </c>
      <c r="E1505" s="5" t="n">
        <f aca="false">E1504*(1+D1505)</f>
        <v>256970.465640326</v>
      </c>
      <c r="F1505" s="4" t="n">
        <f aca="false">D1505*Varsayımlar!$B$3</f>
        <v>-0.0124105375</v>
      </c>
      <c r="G1505" s="5" t="n">
        <f aca="false">G1504*(1+F1505)</f>
        <v>792562.048490962</v>
      </c>
    </row>
    <row r="1506" customFormat="false" ht="15" hidden="false" customHeight="false" outlineLevel="0" collapsed="false">
      <c r="A1506" s="3" t="n">
        <v>46266</v>
      </c>
      <c r="B1506" s="10" t="n">
        <v>3.419E-005</v>
      </c>
      <c r="C1506" s="5" t="n">
        <f aca="false">C1505*(1+B1506)</f>
        <v>60735.1788180848</v>
      </c>
      <c r="D1506" s="10" t="n">
        <v>-0.00968475</v>
      </c>
      <c r="E1506" s="5" t="n">
        <f aca="false">E1505*(1+D1506)</f>
        <v>254481.770923216</v>
      </c>
      <c r="F1506" s="4" t="n">
        <f aca="false">D1506*Varsayımlar!$B$3</f>
        <v>-0.0121059375</v>
      </c>
      <c r="G1506" s="5" t="n">
        <f aca="false">G1505*(1+F1506)</f>
        <v>782967.341867058</v>
      </c>
    </row>
    <row r="1507" customFormat="false" ht="15" hidden="false" customHeight="false" outlineLevel="0" collapsed="false">
      <c r="A1507" s="3" t="n">
        <v>46267</v>
      </c>
      <c r="B1507" s="10" t="n">
        <v>-0.00472805</v>
      </c>
      <c r="C1507" s="5" t="n">
        <f aca="false">C1506*(1+B1507)</f>
        <v>60448.019855874</v>
      </c>
      <c r="D1507" s="10" t="n">
        <v>-0.00862145</v>
      </c>
      <c r="E1507" s="5" t="n">
        <f aca="false">E1506*(1+D1507)</f>
        <v>252287.76905929</v>
      </c>
      <c r="F1507" s="4" t="n">
        <f aca="false">D1507*Varsayımlar!$B$3</f>
        <v>-0.0107768125</v>
      </c>
      <c r="G1507" s="5" t="n">
        <f aca="false">G1506*(1+F1507)</f>
        <v>774529.449630134</v>
      </c>
    </row>
    <row r="1508" customFormat="false" ht="15" hidden="false" customHeight="false" outlineLevel="0" collapsed="false">
      <c r="A1508" s="3" t="n">
        <v>46268</v>
      </c>
      <c r="B1508" s="10" t="n">
        <v>0.00584648</v>
      </c>
      <c r="C1508" s="5" t="n">
        <f aca="false">C1507*(1+B1508)</f>
        <v>60801.427995001</v>
      </c>
      <c r="D1508" s="10" t="n">
        <v>0.00739296</v>
      </c>
      <c r="E1508" s="5" t="n">
        <f aca="false">E1507*(1+D1508)</f>
        <v>254152.922444435</v>
      </c>
      <c r="F1508" s="4" t="n">
        <f aca="false">D1508*Varsayımlar!$B$3</f>
        <v>0.0092412</v>
      </c>
      <c r="G1508" s="5" t="n">
        <f aca="false">G1507*(1+F1508)</f>
        <v>781687.031180056</v>
      </c>
    </row>
    <row r="1509" customFormat="false" ht="15" hidden="false" customHeight="false" outlineLevel="0" collapsed="false">
      <c r="A1509" s="3" t="n">
        <v>46269</v>
      </c>
      <c r="B1509" s="10" t="n">
        <v>0.01333319</v>
      </c>
      <c r="C1509" s="5" t="n">
        <f aca="false">C1508*(1+B1509)</f>
        <v>61612.1049867296</v>
      </c>
      <c r="D1509" s="10" t="n">
        <v>0.01469284</v>
      </c>
      <c r="E1509" s="5" t="n">
        <f aca="false">E1508*(1+D1509)</f>
        <v>257887.150669443</v>
      </c>
      <c r="F1509" s="4" t="n">
        <f aca="false">D1509*Varsayımlar!$B$3</f>
        <v>0.01836605</v>
      </c>
      <c r="G1509" s="5" t="n">
        <f aca="false">G1508*(1+F1509)</f>
        <v>796043.53427906</v>
      </c>
    </row>
    <row r="1510" customFormat="false" ht="15" hidden="false" customHeight="false" outlineLevel="0" collapsed="false">
      <c r="A1510" s="3" t="n">
        <v>46270</v>
      </c>
      <c r="B1510" s="10" t="n">
        <v>-0.01351008</v>
      </c>
      <c r="C1510" s="5" t="n">
        <f aca="false">C1509*(1+B1510)</f>
        <v>60779.7205193905</v>
      </c>
      <c r="D1510" s="10" t="n">
        <v>-0.01374352</v>
      </c>
      <c r="E1510" s="5" t="n">
        <f aca="false">E1509*(1+D1510)</f>
        <v>254342.873456475</v>
      </c>
      <c r="F1510" s="4" t="n">
        <f aca="false">D1510*Varsayımlar!$B$3</f>
        <v>-0.0171794</v>
      </c>
      <c r="G1510" s="5" t="n">
        <f aca="false">G1509*(1+F1510)</f>
        <v>782367.983986267</v>
      </c>
    </row>
    <row r="1511" customFormat="false" ht="15" hidden="false" customHeight="false" outlineLevel="0" collapsed="false">
      <c r="A1511" s="3" t="n">
        <v>46271</v>
      </c>
      <c r="B1511" s="10" t="n">
        <v>0.01357189</v>
      </c>
      <c r="C1511" s="5" t="n">
        <f aca="false">C1510*(1+B1511)</f>
        <v>61604.6162005104</v>
      </c>
      <c r="D1511" s="10" t="n">
        <v>0.01120254</v>
      </c>
      <c r="E1511" s="5" t="n">
        <f aca="false">E1510*(1+D1511)</f>
        <v>257192.159670086</v>
      </c>
      <c r="F1511" s="4" t="n">
        <f aca="false">D1511*Varsayımlar!$B$3</f>
        <v>0.014003175</v>
      </c>
      <c r="G1511" s="5" t="n">
        <f aca="false">G1510*(1+F1511)</f>
        <v>793323.619780424</v>
      </c>
    </row>
    <row r="1512" customFormat="false" ht="15" hidden="false" customHeight="false" outlineLevel="0" collapsed="false">
      <c r="A1512" s="3" t="n">
        <v>46272</v>
      </c>
      <c r="B1512" s="10" t="n">
        <v>0.00884968</v>
      </c>
      <c r="C1512" s="5" t="n">
        <f aca="false">C1511*(1+B1512)</f>
        <v>62149.7973404077</v>
      </c>
      <c r="D1512" s="10" t="n">
        <v>0.00966942</v>
      </c>
      <c r="E1512" s="5" t="n">
        <f aca="false">E1511*(1+D1512)</f>
        <v>259679.058682643</v>
      </c>
      <c r="F1512" s="4" t="n">
        <f aca="false">D1512*Varsayımlar!$B$3</f>
        <v>0.012086775</v>
      </c>
      <c r="G1512" s="5" t="n">
        <f aca="false">G1511*(1+F1512)</f>
        <v>802912.343874895</v>
      </c>
    </row>
    <row r="1513" customFormat="false" ht="15" hidden="false" customHeight="false" outlineLevel="0" collapsed="false">
      <c r="A1513" s="3" t="n">
        <v>46273</v>
      </c>
      <c r="B1513" s="10" t="n">
        <v>0.00595561</v>
      </c>
      <c r="C1513" s="5" t="n">
        <f aca="false">C1512*(1+B1513)</f>
        <v>62519.9372949462</v>
      </c>
      <c r="D1513" s="10" t="n">
        <v>0.00242921</v>
      </c>
      <c r="E1513" s="5" t="n">
        <f aca="false">E1512*(1+D1513)</f>
        <v>260309.873648785</v>
      </c>
      <c r="F1513" s="4" t="n">
        <f aca="false">D1513*Varsayımlar!$B$3</f>
        <v>0.0030365125</v>
      </c>
      <c r="G1513" s="5" t="n">
        <f aca="false">G1512*(1+F1513)</f>
        <v>805350.397243476</v>
      </c>
    </row>
    <row r="1514" customFormat="false" ht="15" hidden="false" customHeight="false" outlineLevel="0" collapsed="false">
      <c r="A1514" s="3" t="n">
        <v>46274</v>
      </c>
      <c r="B1514" s="10" t="n">
        <v>0.01274089</v>
      </c>
      <c r="C1514" s="5" t="n">
        <f aca="false">C1513*(1+B1514)</f>
        <v>63316.496938828</v>
      </c>
      <c r="D1514" s="10" t="n">
        <v>0.01367523</v>
      </c>
      <c r="E1514" s="5" t="n">
        <f aca="false">E1513*(1+D1514)</f>
        <v>263869.671042204</v>
      </c>
      <c r="F1514" s="4" t="n">
        <f aca="false">D1514*Varsayımlar!$B$3</f>
        <v>0.0170940375</v>
      </c>
      <c r="G1514" s="5" t="n">
        <f aca="false">G1513*(1+F1514)</f>
        <v>819117.087134595</v>
      </c>
    </row>
    <row r="1515" customFormat="false" ht="15" hidden="false" customHeight="false" outlineLevel="0" collapsed="false">
      <c r="A1515" s="3" t="n">
        <v>46275</v>
      </c>
      <c r="B1515" s="10" t="n">
        <v>-0.00904316</v>
      </c>
      <c r="C1515" s="5" t="n">
        <f aca="false">C1514*(1+B1515)</f>
        <v>62743.9157263707</v>
      </c>
      <c r="D1515" s="10" t="n">
        <v>-0.01414169</v>
      </c>
      <c r="E1515" s="5" t="n">
        <f aca="false">E1514*(1+D1515)</f>
        <v>260138.107953923</v>
      </c>
      <c r="F1515" s="4" t="n">
        <f aca="false">D1515*Varsayımlar!$B$3</f>
        <v>-0.0176771125</v>
      </c>
      <c r="G1515" s="5" t="n">
        <f aca="false">G1514*(1+F1515)</f>
        <v>804637.462234645</v>
      </c>
    </row>
    <row r="1516" customFormat="false" ht="15" hidden="false" customHeight="false" outlineLevel="0" collapsed="false">
      <c r="A1516" s="3" t="n">
        <v>46276</v>
      </c>
      <c r="B1516" s="10" t="n">
        <v>0.01161896</v>
      </c>
      <c r="C1516" s="5" t="n">
        <f aca="false">C1515*(1+B1516)</f>
        <v>63472.9347734388</v>
      </c>
      <c r="D1516" s="10" t="n">
        <v>0.00807047</v>
      </c>
      <c r="E1516" s="5" t="n">
        <f aca="false">E1515*(1+D1516)</f>
        <v>262237.544750022</v>
      </c>
      <c r="F1516" s="4" t="n">
        <f aca="false">D1516*Varsayımlar!$B$3</f>
        <v>0.0100880875</v>
      </c>
      <c r="G1516" s="5" t="n">
        <f aca="false">G1515*(1+F1516)</f>
        <v>812754.715359446</v>
      </c>
    </row>
    <row r="1517" customFormat="false" ht="15" hidden="false" customHeight="false" outlineLevel="0" collapsed="false">
      <c r="A1517" s="3" t="n">
        <v>46277</v>
      </c>
      <c r="B1517" s="10" t="n">
        <v>0.02257154</v>
      </c>
      <c r="C1517" s="5" t="n">
        <f aca="false">C1516*(1+B1517)</f>
        <v>64905.6166595948</v>
      </c>
      <c r="D1517" s="10" t="n">
        <v>0.025544</v>
      </c>
      <c r="E1517" s="5" t="n">
        <f aca="false">E1516*(1+D1517)</f>
        <v>268936.140593116</v>
      </c>
      <c r="F1517" s="4" t="n">
        <f aca="false">D1517*Varsayımlar!$B$3</f>
        <v>0.03193</v>
      </c>
      <c r="G1517" s="5" t="n">
        <f aca="false">G1516*(1+F1517)</f>
        <v>838705.973420873</v>
      </c>
    </row>
    <row r="1518" customFormat="false" ht="15" hidden="false" customHeight="false" outlineLevel="0" collapsed="false">
      <c r="A1518" s="3" t="n">
        <v>46278</v>
      </c>
      <c r="B1518" s="10" t="n">
        <v>0.00379664</v>
      </c>
      <c r="C1518" s="5" t="n">
        <f aca="false">C1517*(1+B1518)</f>
        <v>65152.0399200293</v>
      </c>
      <c r="D1518" s="10" t="n">
        <v>0.02362197</v>
      </c>
      <c r="E1518" s="5" t="n">
        <f aca="false">E1517*(1+D1518)</f>
        <v>275288.942038123</v>
      </c>
      <c r="F1518" s="4" t="n">
        <f aca="false">D1518*Varsayımlar!$B$3</f>
        <v>0.0295274625</v>
      </c>
      <c r="G1518" s="5" t="n">
        <f aca="false">G1517*(1+F1518)</f>
        <v>863470.832599584</v>
      </c>
    </row>
    <row r="1519" customFormat="false" ht="15" hidden="false" customHeight="false" outlineLevel="0" collapsed="false">
      <c r="A1519" s="3" t="n">
        <v>46279</v>
      </c>
      <c r="B1519" s="10" t="n">
        <v>-0.0023025</v>
      </c>
      <c r="C1519" s="5" t="n">
        <f aca="false">C1518*(1+B1519)</f>
        <v>65002.0273481135</v>
      </c>
      <c r="D1519" s="10" t="n">
        <v>-0.01093853</v>
      </c>
      <c r="E1519" s="5" t="n">
        <f aca="false">E1518*(1+D1519)</f>
        <v>272277.68568697</v>
      </c>
      <c r="F1519" s="4" t="n">
        <f aca="false">D1519*Varsayımlar!$B$3</f>
        <v>-0.0136731625</v>
      </c>
      <c r="G1519" s="5" t="n">
        <f aca="false">G1518*(1+F1519)</f>
        <v>851664.455591439</v>
      </c>
    </row>
    <row r="1520" customFormat="false" ht="15" hidden="false" customHeight="false" outlineLevel="0" collapsed="false">
      <c r="A1520" s="3" t="n">
        <v>46280</v>
      </c>
      <c r="B1520" s="10" t="n">
        <v>0.00573034</v>
      </c>
      <c r="C1520" s="5" t="n">
        <f aca="false">C1519*(1+B1520)</f>
        <v>65374.5110655074</v>
      </c>
      <c r="D1520" s="10" t="n">
        <v>0.00653868</v>
      </c>
      <c r="E1520" s="5" t="n">
        <f aca="false">E1519*(1+D1520)</f>
        <v>274058.022344818</v>
      </c>
      <c r="F1520" s="4" t="n">
        <f aca="false">D1520*Varsayımlar!$B$3</f>
        <v>0.00817335</v>
      </c>
      <c r="G1520" s="5" t="n">
        <f aca="false">G1519*(1+F1520)</f>
        <v>858625.407269548</v>
      </c>
    </row>
    <row r="1521" customFormat="false" ht="15" hidden="false" customHeight="false" outlineLevel="0" collapsed="false">
      <c r="A1521" s="3" t="n">
        <v>46281</v>
      </c>
      <c r="B1521" s="10" t="n">
        <v>0.02906821</v>
      </c>
      <c r="C1521" s="5" t="n">
        <f aca="false">C1520*(1+B1521)</f>
        <v>67274.8310818069</v>
      </c>
      <c r="D1521" s="10" t="n">
        <v>0.03079257</v>
      </c>
      <c r="E1521" s="5" t="n">
        <f aca="false">E1520*(1+D1521)</f>
        <v>282496.973181932</v>
      </c>
      <c r="F1521" s="4" t="n">
        <f aca="false">D1521*Varsayımlar!$B$3</f>
        <v>0.0384907125</v>
      </c>
      <c r="G1521" s="5" t="n">
        <f aca="false">G1520*(1+F1521)</f>
        <v>891674.510965955</v>
      </c>
    </row>
    <row r="1522" customFormat="false" ht="15" hidden="false" customHeight="false" outlineLevel="0" collapsed="false">
      <c r="A1522" s="3" t="n">
        <v>46282</v>
      </c>
      <c r="B1522" s="10" t="n">
        <v>0.0059076</v>
      </c>
      <c r="C1522" s="5" t="n">
        <f aca="false">C1521*(1+B1522)</f>
        <v>67672.2638739058</v>
      </c>
      <c r="D1522" s="10" t="n">
        <v>0.00245486</v>
      </c>
      <c r="E1522" s="5" t="n">
        <f aca="false">E1521*(1+D1522)</f>
        <v>283190.463701518</v>
      </c>
      <c r="F1522" s="4" t="n">
        <f aca="false">D1522*Varsayımlar!$B$3</f>
        <v>0.003068575</v>
      </c>
      <c r="G1522" s="5" t="n">
        <f aca="false">G1521*(1+F1522)</f>
        <v>894410.681078443</v>
      </c>
    </row>
    <row r="1523" customFormat="false" ht="15" hidden="false" customHeight="false" outlineLevel="0" collapsed="false">
      <c r="A1523" s="3" t="n">
        <v>46283</v>
      </c>
      <c r="B1523" s="10" t="n">
        <v>0.00941017</v>
      </c>
      <c r="C1523" s="5" t="n">
        <f aca="false">C1522*(1+B1523)</f>
        <v>68309.0713812441</v>
      </c>
      <c r="D1523" s="10" t="n">
        <v>0.00944927</v>
      </c>
      <c r="E1523" s="5" t="n">
        <f aca="false">E1522*(1+D1523)</f>
        <v>285866.406854459</v>
      </c>
      <c r="F1523" s="4" t="n">
        <f aca="false">D1523*Varsayımlar!$B$3</f>
        <v>0.0118115875</v>
      </c>
      <c r="G1523" s="5" t="n">
        <f aca="false">G1522*(1+F1523)</f>
        <v>904975.091098935</v>
      </c>
    </row>
    <row r="1524" customFormat="false" ht="15" hidden="false" customHeight="false" outlineLevel="0" collapsed="false">
      <c r="A1524" s="3" t="n">
        <v>46284</v>
      </c>
      <c r="B1524" s="10" t="n">
        <v>0.00276267</v>
      </c>
      <c r="C1524" s="5" t="n">
        <f aca="false">C1523*(1+B1524)</f>
        <v>68497.786803477</v>
      </c>
      <c r="D1524" s="10" t="n">
        <v>0.00337916</v>
      </c>
      <c r="E1524" s="5" t="n">
        <f aca="false">E1523*(1+D1524)</f>
        <v>286832.395181845</v>
      </c>
      <c r="F1524" s="4" t="n">
        <f aca="false">D1524*Varsayımlar!$B$3</f>
        <v>0.00422395</v>
      </c>
      <c r="G1524" s="5" t="n">
        <f aca="false">G1523*(1+F1524)</f>
        <v>908797.660634983</v>
      </c>
    </row>
    <row r="1525" customFormat="false" ht="15" hidden="false" customHeight="false" outlineLevel="0" collapsed="false">
      <c r="A1525" s="3" t="n">
        <v>46285</v>
      </c>
      <c r="B1525" s="10" t="n">
        <v>-0.0193015</v>
      </c>
      <c r="C1525" s="5" t="n">
        <f aca="false">C1524*(1+B1525)</f>
        <v>67175.6767714896</v>
      </c>
      <c r="D1525" s="10" t="n">
        <v>-0.02000103</v>
      </c>
      <c r="E1525" s="5" t="n">
        <f aca="false">E1524*(1+D1525)</f>
        <v>281095.451840841</v>
      </c>
      <c r="F1525" s="4" t="n">
        <f aca="false">D1525*Varsayımlar!$B$3</f>
        <v>-0.0250012875</v>
      </c>
      <c r="G1525" s="5" t="n">
        <f aca="false">G1524*(1+F1525)</f>
        <v>886076.54904212</v>
      </c>
    </row>
    <row r="1526" customFormat="false" ht="15" hidden="false" customHeight="false" outlineLevel="0" collapsed="false">
      <c r="A1526" s="3" t="n">
        <v>46286</v>
      </c>
      <c r="B1526" s="10" t="n">
        <v>-0.02556166</v>
      </c>
      <c r="C1526" s="5" t="n">
        <f aca="false">C1525*(1+B1526)</f>
        <v>65458.5549615869</v>
      </c>
      <c r="D1526" s="10" t="n">
        <v>-0.01091491</v>
      </c>
      <c r="E1526" s="5" t="n">
        <f aca="false">E1525*(1+D1526)</f>
        <v>278027.320282589</v>
      </c>
      <c r="F1526" s="4" t="n">
        <f aca="false">D1526*Varsayımlar!$B$3</f>
        <v>-0.0136436375</v>
      </c>
      <c r="G1526" s="5" t="n">
        <f aca="false">G1525*(1+F1526)</f>
        <v>873987.241809738</v>
      </c>
    </row>
    <row r="1527" customFormat="false" ht="15" hidden="false" customHeight="false" outlineLevel="0" collapsed="false">
      <c r="A1527" s="3" t="n">
        <v>46287</v>
      </c>
      <c r="B1527" s="10" t="n">
        <v>0.00433496</v>
      </c>
      <c r="C1527" s="5" t="n">
        <f aca="false">C1526*(1+B1527)</f>
        <v>65742.3151790032</v>
      </c>
      <c r="D1527" s="10" t="n">
        <v>0.00114651</v>
      </c>
      <c r="E1527" s="5" t="n">
        <f aca="false">E1526*(1+D1527)</f>
        <v>278346.081385566</v>
      </c>
      <c r="F1527" s="4" t="n">
        <f aca="false">D1527*Varsayımlar!$B$3</f>
        <v>0.0014331375</v>
      </c>
      <c r="G1527" s="5" t="n">
        <f aca="false">G1526*(1+F1527)</f>
        <v>875239.785700498</v>
      </c>
    </row>
    <row r="1528" customFormat="false" ht="15" hidden="false" customHeight="false" outlineLevel="0" collapsed="false">
      <c r="A1528" s="3" t="n">
        <v>46288</v>
      </c>
      <c r="B1528" s="10" t="n">
        <v>-0.00177653</v>
      </c>
      <c r="C1528" s="5" t="n">
        <f aca="false">C1527*(1+B1528)</f>
        <v>65625.5219838182</v>
      </c>
      <c r="D1528" s="10" t="n">
        <v>0.00174377</v>
      </c>
      <c r="E1528" s="5" t="n">
        <f aca="false">E1527*(1+D1528)</f>
        <v>278831.452931904</v>
      </c>
      <c r="F1528" s="4" t="n">
        <f aca="false">D1528*Varsayımlar!$B$3</f>
        <v>0.0021797125</v>
      </c>
      <c r="G1528" s="5" t="n">
        <f aca="false">G1527*(1+F1528)</f>
        <v>877147.556801886</v>
      </c>
    </row>
    <row r="1529" customFormat="false" ht="15" hidden="false" customHeight="false" outlineLevel="0" collapsed="false">
      <c r="A1529" s="3" t="n">
        <v>46289</v>
      </c>
      <c r="B1529" s="10" t="n">
        <v>-0.04351551</v>
      </c>
      <c r="C1529" s="5" t="n">
        <f aca="false">C1528*(1+B1529)</f>
        <v>62769.7939256762</v>
      </c>
      <c r="D1529" s="10" t="n">
        <v>-0.05799941</v>
      </c>
      <c r="E1529" s="5" t="n">
        <f aca="false">E1528*(1+D1529)</f>
        <v>262659.393172411</v>
      </c>
      <c r="F1529" s="4" t="n">
        <f aca="false">D1529*Varsayımlar!$B$3</f>
        <v>-0.0724992625</v>
      </c>
      <c r="G1529" s="5" t="n">
        <f aca="false">G1528*(1+F1529)</f>
        <v>813555.005830073</v>
      </c>
    </row>
    <row r="1530" customFormat="false" ht="15" hidden="false" customHeight="false" outlineLevel="0" collapsed="false">
      <c r="A1530" s="3" t="n">
        <v>46290</v>
      </c>
      <c r="B1530" s="10" t="n">
        <v>-0.01163443</v>
      </c>
      <c r="C1530" s="5" t="n">
        <f aca="false">C1529*(1+B1530)</f>
        <v>62039.5031521335</v>
      </c>
      <c r="D1530" s="10" t="n">
        <v>0.01135839</v>
      </c>
      <c r="E1530" s="5" t="n">
        <f aca="false">E1529*(1+D1530)</f>
        <v>265642.780997226</v>
      </c>
      <c r="F1530" s="4" t="n">
        <f aca="false">D1530*Varsayımlar!$B$3</f>
        <v>0.0141979875</v>
      </c>
      <c r="G1530" s="5" t="n">
        <f aca="false">G1529*(1+F1530)</f>
        <v>825105.84963341</v>
      </c>
    </row>
    <row r="1531" customFormat="false" ht="15" hidden="false" customHeight="false" outlineLevel="0" collapsed="false">
      <c r="A1531" s="3" t="n">
        <v>46291</v>
      </c>
      <c r="B1531" s="10" t="n">
        <v>0.02108924</v>
      </c>
      <c r="C1531" s="5" t="n">
        <f aca="false">C1530*(1+B1531)</f>
        <v>63347.8691235896</v>
      </c>
      <c r="D1531" s="10" t="n">
        <v>0.0139332</v>
      </c>
      <c r="E1531" s="5" t="n">
        <f aca="false">E1530*(1+D1531)</f>
        <v>269344.034993417</v>
      </c>
      <c r="F1531" s="4" t="n">
        <f aca="false">D1531*Varsayımlar!$B$3</f>
        <v>0.0174165</v>
      </c>
      <c r="G1531" s="5" t="n">
        <f aca="false">G1530*(1+F1531)</f>
        <v>839476.305663551</v>
      </c>
    </row>
    <row r="1532" customFormat="false" ht="15" hidden="false" customHeight="false" outlineLevel="0" collapsed="false">
      <c r="A1532" s="3" t="n">
        <v>46292</v>
      </c>
      <c r="B1532" s="10" t="n">
        <v>-0.00194888</v>
      </c>
      <c r="C1532" s="5" t="n">
        <f aca="false">C1531*(1+B1532)</f>
        <v>63224.411728412</v>
      </c>
      <c r="D1532" s="10" t="n">
        <v>-0.01249142</v>
      </c>
      <c r="E1532" s="5" t="n">
        <f aca="false">E1531*(1+D1532)</f>
        <v>265979.545527819</v>
      </c>
      <c r="F1532" s="4" t="n">
        <f aca="false">D1532*Varsayımlar!$B$3</f>
        <v>-0.015614275</v>
      </c>
      <c r="G1532" s="5" t="n">
        <f aca="false">G1531*(1+F1532)</f>
        <v>826368.491770936</v>
      </c>
    </row>
    <row r="1533" customFormat="false" ht="15" hidden="false" customHeight="false" outlineLevel="0" collapsed="false">
      <c r="A1533" s="3" t="n">
        <v>46293</v>
      </c>
      <c r="B1533" s="10" t="n">
        <v>0.01186176</v>
      </c>
      <c r="C1533" s="5" t="n">
        <f aca="false">C1532*(1+B1533)</f>
        <v>63974.3645264756</v>
      </c>
      <c r="D1533" s="10" t="n">
        <v>0.01376585</v>
      </c>
      <c r="E1533" s="5" t="n">
        <f aca="false">E1532*(1+D1533)</f>
        <v>269640.980054624</v>
      </c>
      <c r="F1533" s="4" t="n">
        <f aca="false">D1533*Varsayımlar!$B$3</f>
        <v>0.0172073125</v>
      </c>
      <c r="G1533" s="5" t="n">
        <f aca="false">G1532*(1+F1533)</f>
        <v>840588.072648992</v>
      </c>
    </row>
    <row r="1534" customFormat="false" ht="15" hidden="false" customHeight="false" outlineLevel="0" collapsed="false">
      <c r="A1534" s="3" t="n">
        <v>46294</v>
      </c>
      <c r="B1534" s="10" t="n">
        <v>0.01102494</v>
      </c>
      <c r="C1534" s="5" t="n">
        <f aca="false">C1533*(1+B1534)</f>
        <v>64679.6780569181</v>
      </c>
      <c r="D1534" s="10" t="n">
        <v>0.01869222</v>
      </c>
      <c r="E1534" s="5" t="n">
        <f aca="false">E1533*(1+D1534)</f>
        <v>274681.16857482</v>
      </c>
      <c r="F1534" s="4" t="n">
        <f aca="false">D1534*Varsayımlar!$B$3</f>
        <v>0.023365275</v>
      </c>
      <c r="G1534" s="5" t="n">
        <f aca="false">G1533*(1+F1534)</f>
        <v>860228.644128156</v>
      </c>
    </row>
    <row r="1535" customFormat="false" ht="15" hidden="false" customHeight="false" outlineLevel="0" collapsed="false">
      <c r="A1535" s="3" t="n">
        <v>46295</v>
      </c>
      <c r="B1535" s="10" t="n">
        <v>-0.00604751</v>
      </c>
      <c r="C1535" s="5" t="n">
        <f aca="false">C1534*(1+B1535)</f>
        <v>64288.5270570721</v>
      </c>
      <c r="D1535" s="10" t="n">
        <v>-0.01009028</v>
      </c>
      <c r="E1535" s="5" t="n">
        <f aca="false">E1534*(1+D1535)</f>
        <v>271909.558673173</v>
      </c>
      <c r="F1535" s="4" t="n">
        <f aca="false">D1535*Varsayımlar!$B$3</f>
        <v>-0.01261285</v>
      </c>
      <c r="G1535" s="5" t="n">
        <f aca="false">G1534*(1+F1535)</f>
        <v>849378.709274064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75"/>
  </cols>
  <sheetData>
    <row r="1" customFormat="false" ht="15" hidden="false" customHeight="false" outlineLevel="0" collapsed="false">
      <c r="A1" s="11" t="s">
        <v>73</v>
      </c>
      <c r="B1" s="11" t="s">
        <v>74</v>
      </c>
      <c r="C1" s="11" t="s">
        <v>75</v>
      </c>
    </row>
    <row r="2" customFormat="false" ht="15" hidden="false" customHeight="false" outlineLevel="0" collapsed="false">
      <c r="A2" s="2" t="s">
        <v>76</v>
      </c>
      <c r="B2" s="12" t="n">
        <v>2000</v>
      </c>
      <c r="C2" s="2" t="s">
        <v>77</v>
      </c>
    </row>
    <row r="3" customFormat="false" ht="15" hidden="false" customHeight="false" outlineLevel="0" collapsed="false">
      <c r="A3" s="2" t="s">
        <v>78</v>
      </c>
      <c r="B3" s="13" t="n">
        <v>1.25</v>
      </c>
      <c r="C3" s="2" t="s">
        <v>79</v>
      </c>
    </row>
    <row r="4" customFormat="false" ht="15" hidden="false" customHeight="false" outlineLevel="0" collapsed="false">
      <c r="A4" s="2" t="s">
        <v>80</v>
      </c>
      <c r="B4" s="14" t="n">
        <v>44762</v>
      </c>
      <c r="C4" s="2" t="s">
        <v>81</v>
      </c>
    </row>
    <row r="5" customFormat="false" ht="15" hidden="false" customHeight="false" outlineLevel="0" collapsed="false">
      <c r="A5" s="2" t="s">
        <v>82</v>
      </c>
      <c r="B5" s="14" t="n">
        <v>46295</v>
      </c>
      <c r="C5" s="2" t="s">
        <v>83</v>
      </c>
    </row>
    <row r="8" customFormat="false" ht="15" hidden="false" customHeight="false" outlineLevel="0" collapsed="false">
      <c r="A8" s="9" t="s">
        <v>84</v>
      </c>
    </row>
    <row r="9" customFormat="false" ht="15" hidden="false" customHeight="false" outlineLevel="0" collapsed="false">
      <c r="A9" s="9" t="s">
        <v>85</v>
      </c>
    </row>
    <row r="10" customFormat="false" ht="15" hidden="false" customHeight="false" outlineLevel="0" collapsed="false">
      <c r="A10" s="9" t="s">
        <v>86</v>
      </c>
    </row>
    <row r="11" customFormat="false" ht="15" hidden="false" customHeight="false" outlineLevel="0" collapsed="false">
      <c r="A11" s="9" t="s">
        <v>87</v>
      </c>
    </row>
    <row r="12" customFormat="false" ht="15" hidden="false" customHeight="false" outlineLevel="0" collapsed="false">
      <c r="A12" s="9" t="s">
        <v>88</v>
      </c>
    </row>
    <row r="13" customFormat="false" ht="15" hidden="false" customHeight="false" outlineLevel="0" collapsed="false">
      <c r="A13" s="9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2026-10-22T13:04:56Z</dcterms:created>
  <dc:creator>openpyxl</dc:creator>
  <dc:description/>
  <dc:language>en-US</dc:language>
  <cp:lastModifiedBy/>
  <dcterms:modified xsi:type="dcterms:W3CDTF">2026-10-22T13:04:57Z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