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sayımlar" sheetId="1" state="visible" r:id="rId3"/>
    <sheet name="Özet" sheetId="2" state="visible" r:id="rId4"/>
    <sheet name="Günlük" sheetId="3" state="visible" r:id="rId5"/>
    <sheet name="Haftalık" sheetId="4" state="visible" r:id="rId6"/>
    <sheet name="Aylı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<sst xmlns="http://schemas.openxmlformats.org/spreadsheetml/2006/main" count="407" uniqueCount="122">
  <si>
    <t xml:space="preserve">2026 kazanç defteri — varsayımlar</t>
  </si>
  <si>
    <t xml:space="preserve">Başlangıç bakiyesi (1 Ocak 2026, $)</t>
  </si>
  <si>
    <t xml:space="preserve">← değiştirilebilir (bu sayfadaki getiriler 1000 $ seviyesinin evreniyle ölçüldü)</t>
  </si>
  <si>
    <t xml:space="preserve">Kaynak: binance-carry-bot backtest motoru (g33.py), KAR_HARITASI madde 601 / 623 / 628 / 629. Günlük getiriler 'Günlük' sayfasında (mavi = motor çıktısı).</t>
  </si>
  <si>
    <t xml:space="preserve">Model: gerçekçi (canlı gibi tek hesap girişi + işlem başı 5 bp + düzeltilmiş kademe dolumu), iki dilim hizasının ortalaması. Evren: D9 = D8 + AVAX (1.000 $, madde 349/630).</t>
  </si>
  <si>
    <t xml:space="preserve">T4 = kod varsayılanı, kaldıraçsız. T7K 1,15x: günlük getiri × kaldıraç (T4 ile aynı 6 yıllık maks düşüş, madde 596 yöntemi).</t>
  </si>
  <si>
    <t xml:space="preserve">Koşullu stop = CARRY_LONG_24S_PIYASA=0,03 (24 sa long stop yalnız piyasa medyanı ≤ −%3 iken). Bot ritminde (8 sa'te bir kontrol). 'Eski stop' = borsada koşulsuz 24 sa stop.</t>
  </si>
  <si>
    <t xml:space="preserve">Kâr her gün yeniden yatırılır (bileşik). 2026 ölçümü 1 Ocak – 30 Eylül (Ekim verisi henüz yok).</t>
  </si>
  <si>
    <t xml:space="preserve">Bunlar geçmiş verinin simülasyonudur; canlı hesabın gerçek sonucu değildir ve gelecek için garanti vermez.</t>
  </si>
  <si>
    <t xml:space="preserve">2026 (1 Ocak – 30 Eylül) özet — 1.000 $ (D9)</t>
  </si>
  <si>
    <t xml:space="preserve">Ölçü</t>
  </si>
  <si>
    <t xml:space="preserve">T4 (şimdiki)</t>
  </si>
  <si>
    <t xml:space="preserve">T7K 1,15x + koşullu stop</t>
  </si>
  <si>
    <t xml:space="preserve">T7K 1,15x eski stop</t>
  </si>
  <si>
    <t xml:space="preserve">Eski bot T1</t>
  </si>
  <si>
    <t xml:space="preserve">T6 1x + koşullu stop (bilgi)</t>
  </si>
  <si>
    <t xml:space="preserve">Başlangıç bakiyesi $</t>
  </si>
  <si>
    <t xml:space="preserve">30 Eylül bakiyesi $</t>
  </si>
  <si>
    <t xml:space="preserve">Toplam kâr $</t>
  </si>
  <si>
    <t xml:space="preserve">Toplam getiri %</t>
  </si>
  <si>
    <t xml:space="preserve">Ortalama günlük getiri %</t>
  </si>
  <si>
    <t xml:space="preserve">En iyi gün %</t>
  </si>
  <si>
    <t xml:space="preserve">En kötü gün %</t>
  </si>
  <si>
    <t xml:space="preserve">Kazançlı gün sayısı</t>
  </si>
  <si>
    <t xml:space="preserve">Zararlı gün sayısı</t>
  </si>
  <si>
    <t xml:space="preserve">−%3'ten kötü gün</t>
  </si>
  <si>
    <t xml:space="preserve">−%5'ten kötü gün</t>
  </si>
  <si>
    <t xml:space="preserve">En kötü hafta %</t>
  </si>
  <si>
    <t xml:space="preserve">En kötü ay %</t>
  </si>
  <si>
    <t xml:space="preserve">Zararlı hafta sayısı</t>
  </si>
  <si>
    <t xml:space="preserve">Tarih</t>
  </si>
  <si>
    <t xml:space="preserve">Gün</t>
  </si>
  <si>
    <t xml:space="preserve">T4 (şimdiki) günlük %</t>
  </si>
  <si>
    <t xml:space="preserve">T7K 1,15x + koşullu stop günlük %</t>
  </si>
  <si>
    <t xml:space="preserve">T7K 1,15x eski stop günlük %</t>
  </si>
  <si>
    <t xml:space="preserve">Eski bot T1 günlük %</t>
  </si>
  <si>
    <t xml:space="preserve">T6 1x + koşullu stop (bilgi) günlük %</t>
  </si>
  <si>
    <t xml:space="preserve">T4 (şimdiki) bakiye $</t>
  </si>
  <si>
    <t xml:space="preserve">T7K 1,15x + koşullu stop bakiye $</t>
  </si>
  <si>
    <t xml:space="preserve">T7K 1,15x eski stop bakiye $</t>
  </si>
  <si>
    <t xml:space="preserve">Eski bot T1 bakiye $</t>
  </si>
  <si>
    <t xml:space="preserve">T6 1x + koşullu stop (bilgi) bakiye $</t>
  </si>
  <si>
    <t xml:space="preserve">T4 (şimdiki) günlük kâr $</t>
  </si>
  <si>
    <t xml:space="preserve">T7K 1,15x + koşullu stop günlük kâr $</t>
  </si>
  <si>
    <t xml:space="preserve">T7K 1,15x eski stop günlük kâr $</t>
  </si>
  <si>
    <t xml:space="preserve">Eski bot T1 günlük kâr $</t>
  </si>
  <si>
    <t xml:space="preserve">T6 1x + koşullu stop (bilgi) günlük kâr $</t>
  </si>
  <si>
    <t xml:space="preserve">Per</t>
  </si>
  <si>
    <t xml:space="preserve">Cum</t>
  </si>
  <si>
    <t xml:space="preserve">Cmt</t>
  </si>
  <si>
    <t xml:space="preserve">Paz</t>
  </si>
  <si>
    <t xml:space="preserve">Pzt</t>
  </si>
  <si>
    <t xml:space="preserve">Sal</t>
  </si>
  <si>
    <t xml:space="preserve">Çar</t>
  </si>
  <si>
    <t xml:space="preserve">Hafta</t>
  </si>
  <si>
    <t xml:space="preserve">Başlangıç</t>
  </si>
  <si>
    <t xml:space="preserve">Bitiş</t>
  </si>
  <si>
    <t xml:space="preserve">T4 (şimdiki) getiri %</t>
  </si>
  <si>
    <t xml:space="preserve">T7K 1,15x + koşullu stop getiri %</t>
  </si>
  <si>
    <t xml:space="preserve">T7K 1,15x eski stop getiri %</t>
  </si>
  <si>
    <t xml:space="preserve">Eski bot T1 getiri %</t>
  </si>
  <si>
    <t xml:space="preserve">T6 1x + koşullu stop (bilgi) getiri %</t>
  </si>
  <si>
    <t xml:space="preserve">T4 (şimdiki) kâr $</t>
  </si>
  <si>
    <t xml:space="preserve">T7K 1,15x + koşullu stop kâr $</t>
  </si>
  <si>
    <t xml:space="preserve">T7K 1,15x eski stop kâr $</t>
  </si>
  <si>
    <t xml:space="preserve">Eski bot T1 kâr $</t>
  </si>
  <si>
    <t xml:space="preserve">T6 1x + koşullu stop (bilgi) kâr $</t>
  </si>
  <si>
    <t xml:space="preserve">T4 (şimdiki) dönem sonu bakiye $</t>
  </si>
  <si>
    <t xml:space="preserve">T7K 1,15x + koşullu stop dönem sonu bakiye $</t>
  </si>
  <si>
    <t xml:space="preserve">T7K 1,15x eski stop dönem sonu bakiye $</t>
  </si>
  <si>
    <t xml:space="preserve">Eski bot T1 dönem sonu bakiye $</t>
  </si>
  <si>
    <t xml:space="preserve">T6 1x + koşullu stop (bilgi) dönem sonu bakiye $</t>
  </si>
  <si>
    <t xml:space="preserve">29.12 haftası</t>
  </si>
  <si>
    <t xml:space="preserve">05.01 haftası</t>
  </si>
  <si>
    <t xml:space="preserve">12.01 haftası</t>
  </si>
  <si>
    <t xml:space="preserve">19.01 haftası</t>
  </si>
  <si>
    <t xml:space="preserve">26.01 haftası</t>
  </si>
  <si>
    <t xml:space="preserve">02.02 haftası</t>
  </si>
  <si>
    <t xml:space="preserve">09.02 haftası</t>
  </si>
  <si>
    <t xml:space="preserve">16.02 haftası</t>
  </si>
  <si>
    <t xml:space="preserve">23.02 haftası</t>
  </si>
  <si>
    <t xml:space="preserve">02.03 haftası</t>
  </si>
  <si>
    <t xml:space="preserve">09.03 haftası</t>
  </si>
  <si>
    <t xml:space="preserve">16.03 haftası</t>
  </si>
  <si>
    <t xml:space="preserve">23.03 haftası</t>
  </si>
  <si>
    <t xml:space="preserve">30.03 haftası</t>
  </si>
  <si>
    <t xml:space="preserve">06.04 haftası</t>
  </si>
  <si>
    <t xml:space="preserve">13.04 haftası</t>
  </si>
  <si>
    <t xml:space="preserve">20.04 haftası</t>
  </si>
  <si>
    <t xml:space="preserve">27.04 haftası</t>
  </si>
  <si>
    <t xml:space="preserve">04.05 haftası</t>
  </si>
  <si>
    <t xml:space="preserve">11.05 haftası</t>
  </si>
  <si>
    <t xml:space="preserve">18.05 haftası</t>
  </si>
  <si>
    <t xml:space="preserve">25.05 haftası</t>
  </si>
  <si>
    <t xml:space="preserve">01.06 haftası</t>
  </si>
  <si>
    <t xml:space="preserve">08.06 haftası</t>
  </si>
  <si>
    <t xml:space="preserve">15.06 haftası</t>
  </si>
  <si>
    <t xml:space="preserve">22.06 haftası</t>
  </si>
  <si>
    <t xml:space="preserve">29.06 haftası</t>
  </si>
  <si>
    <t xml:space="preserve">06.07 haftası</t>
  </si>
  <si>
    <t xml:space="preserve">13.07 haftası</t>
  </si>
  <si>
    <t xml:space="preserve">20.07 haftası</t>
  </si>
  <si>
    <t xml:space="preserve">27.07 haftası</t>
  </si>
  <si>
    <t xml:space="preserve">03.08 haftası</t>
  </si>
  <si>
    <t xml:space="preserve">10.08 haftası</t>
  </si>
  <si>
    <t xml:space="preserve">17.08 haftası</t>
  </si>
  <si>
    <t xml:space="preserve">24.08 haftası</t>
  </si>
  <si>
    <t xml:space="preserve">31.08 haftası</t>
  </si>
  <si>
    <t xml:space="preserve">07.09 haftası</t>
  </si>
  <si>
    <t xml:space="preserve">14.09 haftası</t>
  </si>
  <si>
    <t xml:space="preserve">21.09 haftası</t>
  </si>
  <si>
    <t xml:space="preserve">28.09 haftası</t>
  </si>
  <si>
    <t xml:space="preserve">Ay</t>
  </si>
  <si>
    <t xml:space="preserve">Ocak 2026</t>
  </si>
  <si>
    <t xml:space="preserve">Şubat 2026</t>
  </si>
  <si>
    <t xml:space="preserve">Mart 2026</t>
  </si>
  <si>
    <t xml:space="preserve">Nisan 2026</t>
  </si>
  <si>
    <t xml:space="preserve">Mayıs 2026</t>
  </si>
  <si>
    <t xml:space="preserve">Haziran 2026</t>
  </si>
  <si>
    <t xml:space="preserve">Temmuz 2026</t>
  </si>
  <si>
    <t xml:space="preserve">Ağustos 2026</t>
  </si>
  <si>
    <t xml:space="preserve">Eylül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</si>
</sst>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%;\-0.00%;\-"/>
    <numFmt numFmtId="168" formatCode="0"/>
    <numFmt numFmtId="169" formatCode="dd\.mm\.yyyy"/>
    <numFmt numFmtId="170" formatCode="0.0%;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1000</v>
      </c>
      <c r="C3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9</v>
      </c>
    </row>
    <row r="3" customFormat="false" ht="31.5" hidden="false" customHeight="true" outlineLevel="0" collapsed="false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</row>
    <row r="4" customFormat="false" ht="15" hidden="false" customHeight="false" outlineLevel="0" collapsed="false">
      <c r="A4" s="2" t="s">
        <v>16</v>
      </c>
      <c r="B4" s="7" t="n">
        <f aca="false">Varsayımlar!$B$3</f>
        <v>1000</v>
      </c>
      <c r="C4" s="7" t="n">
        <f aca="false">Varsayımlar!$B$3</f>
        <v>1000</v>
      </c>
      <c r="D4" s="7" t="n">
        <f aca="false">Varsayımlar!$B$3</f>
        <v>1000</v>
      </c>
      <c r="E4" s="7" t="n">
        <f aca="false">Varsayımlar!$B$3</f>
        <v>1000</v>
      </c>
      <c r="F4" s="7" t="n">
        <f aca="false">Varsayımlar!$B$3</f>
        <v>1000</v>
      </c>
    </row>
    <row r="5" customFormat="false" ht="15" hidden="false" customHeight="false" outlineLevel="0" collapsed="false">
      <c r="A5" s="2" t="s">
        <v>17</v>
      </c>
      <c r="B5" s="7" t="n">
        <f aca="false">Günlük!H274</f>
        <v>3982.12562046419</v>
      </c>
      <c r="C5" s="7" t="n">
        <f aca="false">Günlük!I274</f>
        <v>4335.92020589969</v>
      </c>
      <c r="D5" s="7" t="n">
        <f aca="false">Günlük!J274</f>
        <v>4231.61865994329</v>
      </c>
      <c r="E5" s="7" t="n">
        <f aca="false">Günlük!K274</f>
        <v>3189.37354905967</v>
      </c>
      <c r="F5" s="7" t="n">
        <f aca="false">Günlük!L274</f>
        <v>4565.98290107306</v>
      </c>
    </row>
    <row r="6" customFormat="false" ht="15" hidden="false" customHeight="false" outlineLevel="0" collapsed="false">
      <c r="A6" s="2" t="s">
        <v>18</v>
      </c>
      <c r="B6" s="7" t="n">
        <f aca="false">Günlük!H274-Varsayımlar!$B$3</f>
        <v>2982.12562046419</v>
      </c>
      <c r="C6" s="7" t="n">
        <f aca="false">Günlük!I274-Varsayımlar!$B$3</f>
        <v>3335.92020589969</v>
      </c>
      <c r="D6" s="7" t="n">
        <f aca="false">Günlük!J274-Varsayımlar!$B$3</f>
        <v>3231.61865994329</v>
      </c>
      <c r="E6" s="7" t="n">
        <f aca="false">Günlük!K274-Varsayımlar!$B$3</f>
        <v>2189.37354905967</v>
      </c>
      <c r="F6" s="7" t="n">
        <f aca="false">Günlük!L274-Varsayımlar!$B$3</f>
        <v>3565.98290107306</v>
      </c>
    </row>
    <row r="7" customFormat="false" ht="15" hidden="false" customHeight="false" outlineLevel="0" collapsed="false">
      <c r="A7" s="2" t="s">
        <v>19</v>
      </c>
      <c r="B7" s="8" t="n">
        <f aca="false">Günlük!H274/Varsayımlar!$B$3-1</f>
        <v>2.98212562046419</v>
      </c>
      <c r="C7" s="8" t="n">
        <f aca="false">Günlük!I274/Varsayımlar!$B$3-1</f>
        <v>3.33592020589969</v>
      </c>
      <c r="D7" s="8" t="n">
        <f aca="false">Günlük!J274/Varsayımlar!$B$3-1</f>
        <v>3.23161865994329</v>
      </c>
      <c r="E7" s="8" t="n">
        <f aca="false">Günlük!K274/Varsayımlar!$B$3-1</f>
        <v>2.18937354905967</v>
      </c>
      <c r="F7" s="8" t="n">
        <f aca="false">Günlük!L274/Varsayımlar!$B$3-1</f>
        <v>3.56598290107306</v>
      </c>
    </row>
    <row r="8" customFormat="false" ht="15" hidden="false" customHeight="false" outlineLevel="0" collapsed="false">
      <c r="A8" s="2" t="s">
        <v>20</v>
      </c>
      <c r="B8" s="9" t="n">
        <f aca="false">AVERAGE(Günlük!C2:C274)</f>
        <v>0.00529276365733974</v>
      </c>
      <c r="C8" s="9" t="n">
        <f aca="false">AVERAGE(Günlük!D2:D274)</f>
        <v>0.0056543275590498</v>
      </c>
      <c r="D8" s="9" t="n">
        <f aca="false">AVERAGE(Günlük!E2:E274)</f>
        <v>0.00554953129587128</v>
      </c>
      <c r="E8" s="9" t="n">
        <f aca="false">AVERAGE(Günlük!F2:F274)</f>
        <v>0.00447103937106782</v>
      </c>
      <c r="F8" s="9" t="n">
        <f aca="false">AVERAGE(Günlük!G2:G274)</f>
        <v>0.00584912803229181</v>
      </c>
    </row>
    <row r="9" customFormat="false" ht="15" hidden="false" customHeight="false" outlineLevel="0" collapsed="false">
      <c r="A9" s="2" t="s">
        <v>21</v>
      </c>
      <c r="B9" s="9" t="n">
        <f aca="false">MAX(Günlük!C2:C274)</f>
        <v>0.0789029016099136</v>
      </c>
      <c r="C9" s="9" t="n">
        <f aca="false">MAX(Günlük!D2:D274)</f>
        <v>0.0906999356080284</v>
      </c>
      <c r="D9" s="9" t="n">
        <f aca="false">MAX(Günlük!E2:E274)</f>
        <v>0.0905380062456757</v>
      </c>
      <c r="E9" s="9" t="n">
        <f aca="false">MAX(Günlük!F2:F274)</f>
        <v>0.0694403191701166</v>
      </c>
      <c r="F9" s="9" t="n">
        <f aca="false">MAX(Günlük!G2:G274)</f>
        <v>0.0796373095239078</v>
      </c>
    </row>
    <row r="10" customFormat="false" ht="15" hidden="false" customHeight="false" outlineLevel="0" collapsed="false">
      <c r="A10" s="2" t="s">
        <v>22</v>
      </c>
      <c r="B10" s="9" t="n">
        <f aca="false">MIN(Günlük!C2:C274)</f>
        <v>-0.0480350298234957</v>
      </c>
      <c r="C10" s="9" t="n">
        <f aca="false">MIN(Günlük!D2:D274)</f>
        <v>-0.0609851088124047</v>
      </c>
      <c r="D10" s="9" t="n">
        <f aca="false">MIN(Günlük!E2:E274)</f>
        <v>-0.0535395577429918</v>
      </c>
      <c r="E10" s="9" t="n">
        <f aca="false">MIN(Günlük!F2:F274)</f>
        <v>-0.0540765722431805</v>
      </c>
      <c r="F10" s="9" t="n">
        <f aca="false">MIN(Günlük!G2:G274)</f>
        <v>-0.0581251210683181</v>
      </c>
    </row>
    <row r="11" customFormat="false" ht="15" hidden="false" customHeight="false" outlineLevel="0" collapsed="false">
      <c r="A11" s="2" t="s">
        <v>23</v>
      </c>
      <c r="B11" s="10" t="n">
        <f aca="false">COUNTIF(Günlük!C2:C274,"&gt;0")</f>
        <v>155</v>
      </c>
      <c r="C11" s="10" t="n">
        <f aca="false">COUNTIF(Günlük!D2:D274,"&gt;0")</f>
        <v>163</v>
      </c>
      <c r="D11" s="10" t="n">
        <f aca="false">COUNTIF(Günlük!E2:E274,"&gt;0")</f>
        <v>160</v>
      </c>
      <c r="E11" s="10" t="n">
        <f aca="false">COUNTIF(Günlük!F2:F274,"&gt;0")</f>
        <v>159</v>
      </c>
      <c r="F11" s="10" t="n">
        <f aca="false">COUNTIF(Günlük!G2:G274,"&gt;0")</f>
        <v>165</v>
      </c>
    </row>
    <row r="12" customFormat="false" ht="15" hidden="false" customHeight="false" outlineLevel="0" collapsed="false">
      <c r="A12" s="2" t="s">
        <v>24</v>
      </c>
      <c r="B12" s="10" t="n">
        <f aca="false">COUNTIF(Günlük!C2:C274,"&lt;0")</f>
        <v>118</v>
      </c>
      <c r="C12" s="10" t="n">
        <f aca="false">COUNTIF(Günlük!D2:D274,"&lt;0")</f>
        <v>110</v>
      </c>
      <c r="D12" s="10" t="n">
        <f aca="false">COUNTIF(Günlük!E2:E274,"&lt;0")</f>
        <v>113</v>
      </c>
      <c r="E12" s="10" t="n">
        <f aca="false">COUNTIF(Günlük!F2:F274,"&lt;0")</f>
        <v>114</v>
      </c>
      <c r="F12" s="10" t="n">
        <f aca="false">COUNTIF(Günlük!G2:G274,"&lt;0")</f>
        <v>108</v>
      </c>
    </row>
    <row r="13" customFormat="false" ht="15" hidden="false" customHeight="false" outlineLevel="0" collapsed="false">
      <c r="A13" s="2" t="s">
        <v>25</v>
      </c>
      <c r="B13" s="10" t="n">
        <f aca="false">COUNTIF(Günlük!C2:C274,"&lt;-0.03")</f>
        <v>13</v>
      </c>
      <c r="C13" s="10" t="n">
        <f aca="false">COUNTIF(Günlük!D2:D274,"&lt;-0.03")</f>
        <v>16</v>
      </c>
      <c r="D13" s="10" t="n">
        <f aca="false">COUNTIF(Günlük!E2:E274,"&lt;-0.03")</f>
        <v>15</v>
      </c>
      <c r="E13" s="10" t="n">
        <f aca="false">COUNTIF(Günlük!F2:F274,"&lt;-0.03")</f>
        <v>12</v>
      </c>
      <c r="F13" s="10" t="n">
        <f aca="false">COUNTIF(Günlük!G2:G274,"&lt;-0.03")</f>
        <v>19</v>
      </c>
    </row>
    <row r="14" customFormat="false" ht="15" hidden="false" customHeight="false" outlineLevel="0" collapsed="false">
      <c r="A14" s="2" t="s">
        <v>26</v>
      </c>
      <c r="B14" s="10" t="n">
        <f aca="false">COUNTIF(Günlük!C2:C274,"&lt;-0.05")</f>
        <v>0</v>
      </c>
      <c r="C14" s="10" t="n">
        <f aca="false">COUNTIF(Günlük!D2:D274,"&lt;-0.05")</f>
        <v>3</v>
      </c>
      <c r="D14" s="10" t="n">
        <f aca="false">COUNTIF(Günlük!E2:E274,"&lt;-0.05")</f>
        <v>2</v>
      </c>
      <c r="E14" s="10" t="n">
        <f aca="false">COUNTIF(Günlük!F2:F274,"&lt;-0.05")</f>
        <v>1</v>
      </c>
      <c r="F14" s="10" t="n">
        <f aca="false">COUNTIF(Günlük!G2:G274,"&lt;-0.05")</f>
        <v>3</v>
      </c>
    </row>
    <row r="15" customFormat="false" ht="15" hidden="false" customHeight="false" outlineLevel="0" collapsed="false">
      <c r="A15" s="2" t="s">
        <v>27</v>
      </c>
      <c r="B15" s="8" t="n">
        <f aca="false">MIN(Haftalık!E2:E41)</f>
        <v>-0.0803682786198107</v>
      </c>
      <c r="C15" s="8" t="n">
        <f aca="false">MIN(Haftalık!F2:F41)</f>
        <v>-0.0941015717433114</v>
      </c>
      <c r="D15" s="8" t="n">
        <f aca="false">MIN(Haftalık!G2:G41)</f>
        <v>-0.0837553729890258</v>
      </c>
      <c r="E15" s="8" t="n">
        <f aca="false">MIN(Haftalık!H2:H41)</f>
        <v>-0.103540254025344</v>
      </c>
      <c r="F15" s="8" t="n">
        <f aca="false">MIN(Haftalık!I2:I41)</f>
        <v>-0.10634246522075</v>
      </c>
    </row>
    <row r="16" customFormat="false" ht="15" hidden="false" customHeight="false" outlineLevel="0" collapsed="false">
      <c r="A16" s="2" t="s">
        <v>28</v>
      </c>
      <c r="B16" s="8" t="n">
        <f aca="false">MIN(Aylık!E2:E10)</f>
        <v>0.0331825113767756</v>
      </c>
      <c r="C16" s="8" t="n">
        <f aca="false">MIN(Aylık!F2:F10)</f>
        <v>0.0170725656951767</v>
      </c>
      <c r="D16" s="8" t="n">
        <f aca="false">MIN(Aylık!G2:G10)</f>
        <v>0.0228054505296049</v>
      </c>
      <c r="E16" s="8" t="n">
        <f aca="false">MIN(Aylık!H2:H10)</f>
        <v>-0.0248678326412276</v>
      </c>
      <c r="F16" s="8" t="n">
        <f aca="false">MIN(Aylık!I2:I10)</f>
        <v>0.0245734300568321</v>
      </c>
    </row>
    <row r="17" customFormat="false" ht="15" hidden="false" customHeight="false" outlineLevel="0" collapsed="false">
      <c r="A17" s="2" t="s">
        <v>29</v>
      </c>
      <c r="B17" s="10" t="n">
        <f aca="false">COUNTIF(Haftalık!E2:E41,"&lt;0")</f>
        <v>11</v>
      </c>
      <c r="C17" s="10" t="n">
        <f aca="false">COUNTIF(Haftalık!F2:F41,"&lt;0")</f>
        <v>10</v>
      </c>
      <c r="D17" s="10" t="n">
        <f aca="false">COUNTIF(Haftalık!G2:G41,"&lt;0")</f>
        <v>11</v>
      </c>
      <c r="E17" s="10" t="n">
        <f aca="false">COUNTIF(Haftalık!H2:H41,"&lt;0")</f>
        <v>11</v>
      </c>
      <c r="F17" s="10" t="n">
        <f aca="false">COUNTIF(Haftalık!I2:I41,"&lt;0")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17" min="3" style="0" width="15"/>
  </cols>
  <sheetData>
    <row r="1" customFormat="false" ht="31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</row>
    <row r="2" customFormat="false" ht="15" hidden="false" customHeight="false" outlineLevel="0" collapsed="false">
      <c r="A2" s="11" t="n">
        <v>46023</v>
      </c>
      <c r="B2" s="12" t="s">
        <v>47</v>
      </c>
      <c r="C2" s="13" t="n">
        <v>-0.00382514040566284</v>
      </c>
      <c r="D2" s="13" t="n">
        <v>-0.0114708830506875</v>
      </c>
      <c r="E2" s="13" t="n">
        <v>-0.0129235281898178</v>
      </c>
      <c r="F2" s="13" t="n">
        <v>-0.0111986724141625</v>
      </c>
      <c r="G2" s="13" t="n">
        <v>-0.0119662860573226</v>
      </c>
      <c r="H2" s="14" t="n">
        <f aca="false">Varsayımlar!$B$3*(1+C2)</f>
        <v>996.174859594337</v>
      </c>
      <c r="I2" s="14" t="n">
        <f aca="false">Varsayımlar!$B$3*(1+D2)</f>
        <v>988.529116949312</v>
      </c>
      <c r="J2" s="14" t="n">
        <f aca="false">Varsayımlar!$B$3*(1+E2)</f>
        <v>987.076471810182</v>
      </c>
      <c r="K2" s="14" t="n">
        <f aca="false">Varsayımlar!$B$3*(1+F2)</f>
        <v>988.801327585838</v>
      </c>
      <c r="L2" s="14" t="n">
        <f aca="false">Varsayımlar!$B$3*(1+G2)</f>
        <v>988.033713942677</v>
      </c>
      <c r="M2" s="14" t="n">
        <f aca="false">H2-Varsayımlar!$B$3</f>
        <v>-3.82514040566286</v>
      </c>
      <c r="N2" s="14" t="n">
        <f aca="false">I2-Varsayımlar!$B$3</f>
        <v>-11.4708830506876</v>
      </c>
      <c r="O2" s="14" t="n">
        <f aca="false">J2-Varsayımlar!$B$3</f>
        <v>-12.9235281898178</v>
      </c>
      <c r="P2" s="14" t="n">
        <f aca="false">K2-Varsayımlar!$B$3</f>
        <v>-11.1986724141625</v>
      </c>
      <c r="Q2" s="14" t="n">
        <f aca="false">L2-Varsayımlar!$B$3</f>
        <v>-11.9662860573226</v>
      </c>
    </row>
    <row r="3" customFormat="false" ht="15" hidden="false" customHeight="false" outlineLevel="0" collapsed="false">
      <c r="A3" s="11" t="n">
        <v>46024</v>
      </c>
      <c r="B3" s="12" t="s">
        <v>48</v>
      </c>
      <c r="C3" s="13" t="n">
        <v>-0.0246388110249916</v>
      </c>
      <c r="D3" s="13" t="n">
        <v>-0.0336050363140005</v>
      </c>
      <c r="E3" s="13" t="n">
        <v>-0.0339709584629132</v>
      </c>
      <c r="F3" s="13" t="n">
        <v>-0.0275251326172972</v>
      </c>
      <c r="G3" s="13" t="n">
        <v>-0.0362025172855581</v>
      </c>
      <c r="H3" s="14" t="n">
        <f aca="false">H2*(1+C3)</f>
        <v>971.630295480945</v>
      </c>
      <c r="I3" s="14" t="n">
        <f aca="false">I2*(1+D3)</f>
        <v>955.309560076784</v>
      </c>
      <c r="J3" s="14" t="n">
        <f aca="false">J2*(1+E3)</f>
        <v>953.5445379866</v>
      </c>
      <c r="K3" s="14" t="n">
        <f aca="false">K2*(1+F3)</f>
        <v>961.584439911878</v>
      </c>
      <c r="L3" s="14" t="n">
        <f aca="false">L2*(1+G3)</f>
        <v>952.264406334954</v>
      </c>
      <c r="M3" s="14" t="n">
        <f aca="false">H3-H2</f>
        <v>-24.5445641133923</v>
      </c>
      <c r="N3" s="14" t="n">
        <f aca="false">I3-I2</f>
        <v>-33.2195568725285</v>
      </c>
      <c r="O3" s="14" t="n">
        <f aca="false">J3-J2</f>
        <v>-33.5319338235826</v>
      </c>
      <c r="P3" s="14" t="n">
        <f aca="false">K3-K2</f>
        <v>-27.2168876739597</v>
      </c>
      <c r="Q3" s="14" t="n">
        <f aca="false">L3-L2</f>
        <v>-35.7693076077238</v>
      </c>
    </row>
    <row r="4" customFormat="false" ht="15" hidden="false" customHeight="false" outlineLevel="0" collapsed="false">
      <c r="A4" s="11" t="n">
        <v>46025</v>
      </c>
      <c r="B4" s="12" t="s">
        <v>49</v>
      </c>
      <c r="C4" s="13" t="n">
        <v>0.00231643632425116</v>
      </c>
      <c r="D4" s="13" t="n">
        <v>-2.82702248664279E-005</v>
      </c>
      <c r="E4" s="13" t="n">
        <v>0.00093396594937134</v>
      </c>
      <c r="F4" s="13" t="n">
        <v>-0.000372503718963857</v>
      </c>
      <c r="G4" s="13" t="n">
        <v>-8.26930977044227E-005</v>
      </c>
      <c r="H4" s="14" t="n">
        <f aca="false">H3*(1+C4)</f>
        <v>973.88101519114</v>
      </c>
      <c r="I4" s="14" t="n">
        <f aca="false">I3*(1+D4)</f>
        <v>955.282553260704</v>
      </c>
      <c r="J4" s="14" t="n">
        <f aca="false">J3*(1+E4)</f>
        <v>954.435116116288</v>
      </c>
      <c r="K4" s="14" t="n">
        <f aca="false">K3*(1+F4)</f>
        <v>961.226246131913</v>
      </c>
      <c r="L4" s="14" t="n">
        <f aca="false">L3*(1+G4)</f>
        <v>952.18566064136</v>
      </c>
      <c r="M4" s="14" t="n">
        <f aca="false">H4-H3</f>
        <v>2.25071971019497</v>
      </c>
      <c r="N4" s="14" t="n">
        <f aca="false">I4-I3</f>
        <v>-0.0270068160804158</v>
      </c>
      <c r="O4" s="14" t="n">
        <f aca="false">J4-J3</f>
        <v>0.890578129688379</v>
      </c>
      <c r="P4" s="14" t="n">
        <f aca="false">K4-K3</f>
        <v>-0.35819377996495</v>
      </c>
      <c r="Q4" s="14" t="n">
        <f aca="false">L4-L3</f>
        <v>-0.0787456935935325</v>
      </c>
    </row>
    <row r="5" customFormat="false" ht="15" hidden="false" customHeight="false" outlineLevel="0" collapsed="false">
      <c r="A5" s="11" t="n">
        <v>46026</v>
      </c>
      <c r="B5" s="12" t="s">
        <v>50</v>
      </c>
      <c r="C5" s="13" t="n">
        <v>0.0058943508407372</v>
      </c>
      <c r="D5" s="13" t="n">
        <v>0.0111220829303535</v>
      </c>
      <c r="E5" s="13" t="n">
        <v>0.0110159988414796</v>
      </c>
      <c r="F5" s="13" t="n">
        <v>-0.000520446982687717</v>
      </c>
      <c r="G5" s="13" t="n">
        <v>0.00792490482168418</v>
      </c>
      <c r="H5" s="14" t="n">
        <f aca="false">H4*(1+C5)</f>
        <v>979.62141157181</v>
      </c>
      <c r="I5" s="14" t="n">
        <f aca="false">I4*(1+D5)</f>
        <v>965.907285039989</v>
      </c>
      <c r="J5" s="14" t="n">
        <f aca="false">J4*(1+E5)</f>
        <v>964.949172249693</v>
      </c>
      <c r="K5" s="14" t="n">
        <f aca="false">K4*(1+F5)</f>
        <v>960.725978832433</v>
      </c>
      <c r="L5" s="14" t="n">
        <f aca="false">L4*(1+G5)</f>
        <v>959.731641374515</v>
      </c>
      <c r="M5" s="14" t="n">
        <f aca="false">H5-H4</f>
        <v>5.74039638066984</v>
      </c>
      <c r="N5" s="14" t="n">
        <f aca="false">I5-I4</f>
        <v>10.6247317792854</v>
      </c>
      <c r="O5" s="14" t="n">
        <f aca="false">J5-J4</f>
        <v>10.5140561334047</v>
      </c>
      <c r="P5" s="14" t="n">
        <f aca="false">K5-K4</f>
        <v>-0.50026729947956</v>
      </c>
      <c r="Q5" s="14" t="n">
        <f aca="false">L5-L4</f>
        <v>7.54598073315538</v>
      </c>
    </row>
    <row r="6" customFormat="false" ht="15" hidden="false" customHeight="false" outlineLevel="0" collapsed="false">
      <c r="A6" s="11" t="n">
        <v>46027</v>
      </c>
      <c r="B6" s="12" t="s">
        <v>51</v>
      </c>
      <c r="C6" s="13" t="n">
        <v>0.0224085822895737</v>
      </c>
      <c r="D6" s="13" t="n">
        <v>0.0225123009375976</v>
      </c>
      <c r="E6" s="13" t="n">
        <v>0.0226288912185781</v>
      </c>
      <c r="F6" s="13" t="n">
        <v>0.024685119880866</v>
      </c>
      <c r="G6" s="13" t="n">
        <v>0.0182685288286369</v>
      </c>
      <c r="H6" s="14" t="n">
        <f aca="false">H5*(1+C6)</f>
        <v>1001.57333858564</v>
      </c>
      <c r="I6" s="14" t="n">
        <f aca="false">I5*(1+D6)</f>
        <v>987.652080518627</v>
      </c>
      <c r="J6" s="14" t="n">
        <f aca="false">J5*(1+E6)</f>
        <v>986.784902099988</v>
      </c>
      <c r="K6" s="14" t="n">
        <f aca="false">K5*(1+F6)</f>
        <v>984.441614792574</v>
      </c>
      <c r="L6" s="14" t="n">
        <f aca="false">L5*(1+G6)</f>
        <v>977.264526532721</v>
      </c>
      <c r="M6" s="14" t="n">
        <f aca="false">H6-H5</f>
        <v>21.9519270138352</v>
      </c>
      <c r="N6" s="14" t="n">
        <f aca="false">I6-I5</f>
        <v>21.7447954786381</v>
      </c>
      <c r="O6" s="14" t="n">
        <f aca="false">J6-J5</f>
        <v>21.8357298502954</v>
      </c>
      <c r="P6" s="14" t="n">
        <f aca="false">K6-K5</f>
        <v>23.715635960141</v>
      </c>
      <c r="Q6" s="14" t="n">
        <f aca="false">L6-L5</f>
        <v>17.5328851582053</v>
      </c>
    </row>
    <row r="7" customFormat="false" ht="15" hidden="false" customHeight="false" outlineLevel="0" collapsed="false">
      <c r="A7" s="11" t="n">
        <v>46028</v>
      </c>
      <c r="B7" s="12" t="s">
        <v>52</v>
      </c>
      <c r="C7" s="13" t="n">
        <v>0.0411077944139991</v>
      </c>
      <c r="D7" s="13" t="n">
        <v>0.0466816214185074</v>
      </c>
      <c r="E7" s="13" t="n">
        <v>0.0467404206473562</v>
      </c>
      <c r="F7" s="13" t="n">
        <v>0.0425148672816169</v>
      </c>
      <c r="G7" s="13" t="n">
        <v>0.0395563991830688</v>
      </c>
      <c r="H7" s="14" t="n">
        <f aca="false">H6*(1+C7)</f>
        <v>1042.74580947877</v>
      </c>
      <c r="I7" s="14" t="n">
        <f aca="false">I6*(1+D7)</f>
        <v>1033.7572810346</v>
      </c>
      <c r="J7" s="14" t="n">
        <f aca="false">J6*(1+E7)</f>
        <v>1032.9076435126</v>
      </c>
      <c r="K7" s="14" t="n">
        <f aca="false">K6*(1+F7)</f>
        <v>1026.29501939198</v>
      </c>
      <c r="L7" s="14" t="n">
        <f aca="false">L6*(1+G7)</f>
        <v>1015.9215922517</v>
      </c>
      <c r="M7" s="14" t="n">
        <f aca="false">H7-H6</f>
        <v>41.1724708931214</v>
      </c>
      <c r="N7" s="14" t="n">
        <f aca="false">I7-I6</f>
        <v>46.1052005159719</v>
      </c>
      <c r="O7" s="14" t="n">
        <f aca="false">J7-J6</f>
        <v>46.1227414126134</v>
      </c>
      <c r="P7" s="14" t="n">
        <f aca="false">K7-K6</f>
        <v>41.853404599407</v>
      </c>
      <c r="Q7" s="14" t="n">
        <f aca="false">L7-L6</f>
        <v>38.657065718981</v>
      </c>
    </row>
    <row r="8" customFormat="false" ht="15" hidden="false" customHeight="false" outlineLevel="0" collapsed="false">
      <c r="A8" s="11" t="n">
        <v>46029</v>
      </c>
      <c r="B8" s="12" t="s">
        <v>53</v>
      </c>
      <c r="C8" s="13" t="n">
        <v>-0.00183296845992736</v>
      </c>
      <c r="D8" s="13" t="n">
        <v>-0.000518068882107978</v>
      </c>
      <c r="E8" s="13" t="n">
        <v>-0.000518089202496283</v>
      </c>
      <c r="F8" s="13" t="n">
        <v>0.00685235024798847</v>
      </c>
      <c r="G8" s="13" t="n">
        <v>0.00640088026993613</v>
      </c>
      <c r="H8" s="14" t="n">
        <f aca="false">H7*(1+C8)</f>
        <v>1040.83448929827</v>
      </c>
      <c r="I8" s="14" t="n">
        <f aca="false">I7*(1+D8)</f>
        <v>1033.22172355564</v>
      </c>
      <c r="J8" s="14" t="n">
        <f aca="false">J7*(1+E8)</f>
        <v>1032.37250521532</v>
      </c>
      <c r="K8" s="14" t="n">
        <f aca="false">K7*(1+F8)</f>
        <v>1033.32755232262</v>
      </c>
      <c r="L8" s="14" t="n">
        <f aca="false">L7*(1+G8)</f>
        <v>1022.42438472735</v>
      </c>
      <c r="M8" s="14" t="n">
        <f aca="false">H8-H7</f>
        <v>-1.91132018049598</v>
      </c>
      <c r="N8" s="14" t="n">
        <f aca="false">I8-I7</f>
        <v>-0.535557478956434</v>
      </c>
      <c r="O8" s="14" t="n">
        <f aca="false">J8-J7</f>
        <v>-0.535138297279673</v>
      </c>
      <c r="P8" s="14" t="n">
        <f aca="false">K8-K7</f>
        <v>7.03253293063995</v>
      </c>
      <c r="Q8" s="14" t="n">
        <f aca="false">L8-L7</f>
        <v>6.50279247564617</v>
      </c>
    </row>
    <row r="9" customFormat="false" ht="15" hidden="false" customHeight="false" outlineLevel="0" collapsed="false">
      <c r="A9" s="11" t="n">
        <v>46030</v>
      </c>
      <c r="B9" s="12" t="s">
        <v>47</v>
      </c>
      <c r="C9" s="13" t="n">
        <v>0.0117103330070726</v>
      </c>
      <c r="D9" s="13" t="n">
        <v>0.0123008793209429</v>
      </c>
      <c r="E9" s="13" t="n">
        <v>0.012300796707506</v>
      </c>
      <c r="F9" s="13" t="n">
        <v>0.0140762230623784</v>
      </c>
      <c r="G9" s="13" t="n">
        <v>0.0152411032806046</v>
      </c>
      <c r="H9" s="14" t="n">
        <f aca="false">H8*(1+C9)</f>
        <v>1053.0230077732</v>
      </c>
      <c r="I9" s="14" t="n">
        <f aca="false">I8*(1+D9)</f>
        <v>1045.93125928888</v>
      </c>
      <c r="J9" s="14" t="n">
        <f aca="false">J8*(1+E9)</f>
        <v>1045.07150952839</v>
      </c>
      <c r="K9" s="14" t="n">
        <f aca="false">K8*(1+F9)</f>
        <v>1047.87290144562</v>
      </c>
      <c r="L9" s="14" t="n">
        <f aca="false">L8*(1+G9)</f>
        <v>1038.00726037159</v>
      </c>
      <c r="M9" s="14" t="n">
        <f aca="false">H9-H8</f>
        <v>12.188518474929</v>
      </c>
      <c r="N9" s="14" t="n">
        <f aca="false">I9-I8</f>
        <v>12.7095357332346</v>
      </c>
      <c r="O9" s="14" t="n">
        <f aca="false">J9-J8</f>
        <v>12.6990043130722</v>
      </c>
      <c r="P9" s="14" t="n">
        <f aca="false">K9-K8</f>
        <v>14.5453491229946</v>
      </c>
      <c r="Q9" s="14" t="n">
        <f aca="false">L9-L8</f>
        <v>15.582875644238</v>
      </c>
    </row>
    <row r="10" customFormat="false" ht="15" hidden="false" customHeight="false" outlineLevel="0" collapsed="false">
      <c r="A10" s="11" t="n">
        <v>46031</v>
      </c>
      <c r="B10" s="12" t="s">
        <v>48</v>
      </c>
      <c r="C10" s="13" t="n">
        <v>-0.00396915055919628</v>
      </c>
      <c r="D10" s="13" t="n">
        <v>-0.00310942890175765</v>
      </c>
      <c r="E10" s="13" t="n">
        <v>-0.00310929580542078</v>
      </c>
      <c r="F10" s="13" t="n">
        <v>-0.00343747860115384</v>
      </c>
      <c r="G10" s="13" t="n">
        <v>-0.00218034864410521</v>
      </c>
      <c r="H10" s="14" t="n">
        <f aca="false">H9*(1+C10)</f>
        <v>1048.84340091305</v>
      </c>
      <c r="I10" s="14" t="n">
        <f aca="false">I9*(1+D10)</f>
        <v>1042.67901040199</v>
      </c>
      <c r="J10" s="14" t="n">
        <f aca="false">J9*(1+E10)</f>
        <v>1041.82207306745</v>
      </c>
      <c r="K10" s="14" t="n">
        <f aca="false">K9*(1+F10)</f>
        <v>1044.27086077017</v>
      </c>
      <c r="L10" s="14" t="n">
        <f aca="false">L9*(1+G10)</f>
        <v>1035.74404264886</v>
      </c>
      <c r="M10" s="14" t="n">
        <f aca="false">H10-H9</f>
        <v>-4.17960686014953</v>
      </c>
      <c r="N10" s="14" t="n">
        <f aca="false">I10-I9</f>
        <v>-3.25224888688467</v>
      </c>
      <c r="O10" s="14" t="n">
        <f aca="false">J10-J9</f>
        <v>-3.2494364609413</v>
      </c>
      <c r="P10" s="14" t="n">
        <f aca="false">K10-K9</f>
        <v>-3.60204067544828</v>
      </c>
      <c r="Q10" s="14" t="n">
        <f aca="false">L10-L9</f>
        <v>-2.26321772272263</v>
      </c>
    </row>
    <row r="11" customFormat="false" ht="15" hidden="false" customHeight="false" outlineLevel="0" collapsed="false">
      <c r="A11" s="11" t="n">
        <v>46032</v>
      </c>
      <c r="B11" s="12" t="s">
        <v>49</v>
      </c>
      <c r="C11" s="13" t="n">
        <v>-0.000191049229518236</v>
      </c>
      <c r="D11" s="13" t="n">
        <v>-0.00280684214731709</v>
      </c>
      <c r="E11" s="13" t="n">
        <v>-0.00280677308677467</v>
      </c>
      <c r="F11" s="13" t="n">
        <v>-0.0065383356731179</v>
      </c>
      <c r="G11" s="13" t="n">
        <v>-0.00208305242638684</v>
      </c>
      <c r="H11" s="14" t="n">
        <f aca="false">H10*(1+C11)</f>
        <v>1048.64302018942</v>
      </c>
      <c r="I11" s="14" t="n">
        <f aca="false">I10*(1+D11)</f>
        <v>1039.75237500947</v>
      </c>
      <c r="J11" s="14" t="n">
        <f aca="false">J10*(1+E11)</f>
        <v>1038.89791491156</v>
      </c>
      <c r="K11" s="14" t="n">
        <f aca="false">K10*(1+F11)</f>
        <v>1037.4430673488</v>
      </c>
      <c r="L11" s="14" t="n">
        <f aca="false">L10*(1+G11)</f>
        <v>1033.58653350771</v>
      </c>
      <c r="M11" s="14" t="n">
        <f aca="false">H11-H10</f>
        <v>-0.200380723629678</v>
      </c>
      <c r="N11" s="14" t="n">
        <f aca="false">I11-I10</f>
        <v>-2.92663539251907</v>
      </c>
      <c r="O11" s="14" t="n">
        <f aca="false">J11-J10</f>
        <v>-2.92415815589357</v>
      </c>
      <c r="P11" s="14" t="n">
        <f aca="false">K11-K10</f>
        <v>-6.8277934213711</v>
      </c>
      <c r="Q11" s="14" t="n">
        <f aca="false">L11-L10</f>
        <v>-2.15750914115552</v>
      </c>
    </row>
    <row r="12" customFormat="false" ht="15" hidden="false" customHeight="false" outlineLevel="0" collapsed="false">
      <c r="A12" s="11" t="n">
        <v>46033</v>
      </c>
      <c r="B12" s="12" t="s">
        <v>50</v>
      </c>
      <c r="C12" s="13" t="n">
        <v>0.0297578607040733</v>
      </c>
      <c r="D12" s="13" t="n">
        <v>0.0351788042029083</v>
      </c>
      <c r="E12" s="13" t="n">
        <v>0.035177881893265</v>
      </c>
      <c r="F12" s="13" t="n">
        <v>0.0346040425340628</v>
      </c>
      <c r="G12" s="13" t="n">
        <v>0.0308022410093745</v>
      </c>
      <c r="H12" s="14" t="n">
        <f aca="false">H11*(1+C12)</f>
        <v>1079.84839311252</v>
      </c>
      <c r="I12" s="14" t="n">
        <f aca="false">I11*(1+D12)</f>
        <v>1076.32962022944</v>
      </c>
      <c r="J12" s="14" t="n">
        <f aca="false">J11*(1+E12)</f>
        <v>1075.44414306148</v>
      </c>
      <c r="K12" s="14" t="n">
        <f aca="false">K11*(1+F12)</f>
        <v>1073.342791378</v>
      </c>
      <c r="L12" s="14" t="n">
        <f aca="false">L11*(1+G12)</f>
        <v>1065.42331501686</v>
      </c>
      <c r="M12" s="14" t="n">
        <f aca="false">H12-H11</f>
        <v>31.2053729230956</v>
      </c>
      <c r="N12" s="14" t="n">
        <f aca="false">I12-I11</f>
        <v>36.5772452199672</v>
      </c>
      <c r="O12" s="14" t="n">
        <f aca="false">J12-J11</f>
        <v>36.5462281499181</v>
      </c>
      <c r="P12" s="14" t="n">
        <f aca="false">K12-K11</f>
        <v>35.8997240292063</v>
      </c>
      <c r="Q12" s="14" t="n">
        <f aca="false">L12-L11</f>
        <v>31.8367815091483</v>
      </c>
    </row>
    <row r="13" customFormat="false" ht="15" hidden="false" customHeight="false" outlineLevel="0" collapsed="false">
      <c r="A13" s="11" t="n">
        <v>46034</v>
      </c>
      <c r="B13" s="12" t="s">
        <v>51</v>
      </c>
      <c r="C13" s="13" t="n">
        <v>0.0106852592493036</v>
      </c>
      <c r="D13" s="13" t="n">
        <v>0.0142191420892983</v>
      </c>
      <c r="E13" s="13" t="n">
        <v>0.0142023877635366</v>
      </c>
      <c r="F13" s="13" t="n">
        <v>0.0129594959924098</v>
      </c>
      <c r="G13" s="13" t="n">
        <v>0.014905204614607</v>
      </c>
      <c r="H13" s="14" t="n">
        <f aca="false">H12*(1+C13)</f>
        <v>1091.38685314287</v>
      </c>
      <c r="I13" s="14" t="n">
        <f aca="false">I12*(1+D13)</f>
        <v>1091.6341040344</v>
      </c>
      <c r="J13" s="14" t="n">
        <f aca="false">J12*(1+E13)</f>
        <v>1090.71801779926</v>
      </c>
      <c r="K13" s="14" t="n">
        <f aca="false">K12*(1+F13)</f>
        <v>1087.25277298135</v>
      </c>
      <c r="L13" s="14" t="n">
        <f aca="false">L12*(1+G13)</f>
        <v>1081.30366752836</v>
      </c>
      <c r="M13" s="14" t="n">
        <f aca="false">H13-H12</f>
        <v>11.5384600303512</v>
      </c>
      <c r="N13" s="14" t="n">
        <f aca="false">I13-I12</f>
        <v>15.304483804963</v>
      </c>
      <c r="O13" s="14" t="n">
        <f aca="false">J13-J12</f>
        <v>15.2738747377834</v>
      </c>
      <c r="P13" s="14" t="n">
        <f aca="false">K13-K12</f>
        <v>13.9099816033452</v>
      </c>
      <c r="Q13" s="14" t="n">
        <f aca="false">L13-L12</f>
        <v>15.880352511499</v>
      </c>
    </row>
    <row r="14" customFormat="false" ht="15" hidden="false" customHeight="false" outlineLevel="0" collapsed="false">
      <c r="A14" s="11" t="n">
        <v>46035</v>
      </c>
      <c r="B14" s="12" t="s">
        <v>52</v>
      </c>
      <c r="C14" s="13" t="n">
        <v>0.0107388604477107</v>
      </c>
      <c r="D14" s="13" t="n">
        <v>0.00789956833685066</v>
      </c>
      <c r="E14" s="13" t="n">
        <v>0.00787835312990861</v>
      </c>
      <c r="F14" s="13" t="n">
        <v>0.000126640510987652</v>
      </c>
      <c r="G14" s="13" t="n">
        <v>-0.000323879958140816</v>
      </c>
      <c r="H14" s="14" t="n">
        <f aca="false">H13*(1+C14)</f>
        <v>1103.10710425323</v>
      </c>
      <c r="I14" s="14" t="n">
        <f aca="false">I13*(1+D14)</f>
        <v>1100.25754223806</v>
      </c>
      <c r="J14" s="14" t="n">
        <f aca="false">J13*(1+E14)</f>
        <v>1099.31107950864</v>
      </c>
      <c r="K14" s="14" t="n">
        <f aca="false">K13*(1+F14)</f>
        <v>1087.39046322809</v>
      </c>
      <c r="L14" s="14" t="n">
        <f aca="false">L13*(1+G14)</f>
        <v>1080.95345494178</v>
      </c>
      <c r="M14" s="14" t="n">
        <f aca="false">H14-H13</f>
        <v>11.7202511103671</v>
      </c>
      <c r="N14" s="14" t="n">
        <f aca="false">I14-I13</f>
        <v>8.62343820365641</v>
      </c>
      <c r="O14" s="14" t="n">
        <f aca="false">J14-J13</f>
        <v>8.59306170937657</v>
      </c>
      <c r="P14" s="14" t="n">
        <f aca="false">K14-K13</f>
        <v>0.137690246743205</v>
      </c>
      <c r="Q14" s="14" t="n">
        <f aca="false">L14-L13</f>
        <v>-0.350212586576617</v>
      </c>
    </row>
    <row r="15" customFormat="false" ht="15" hidden="false" customHeight="false" outlineLevel="0" collapsed="false">
      <c r="A15" s="11" t="n">
        <v>46036</v>
      </c>
      <c r="B15" s="12" t="s">
        <v>53</v>
      </c>
      <c r="C15" s="13" t="n">
        <v>0.0269364117182859</v>
      </c>
      <c r="D15" s="13" t="n">
        <v>0.0296821983738959</v>
      </c>
      <c r="E15" s="13" t="n">
        <v>0.0296696679540857</v>
      </c>
      <c r="F15" s="13" t="n">
        <v>0.028370724142997</v>
      </c>
      <c r="G15" s="13" t="n">
        <v>0.0259783764914836</v>
      </c>
      <c r="H15" s="14" t="n">
        <f aca="false">H14*(1+C15)</f>
        <v>1132.82085138277</v>
      </c>
      <c r="I15" s="14" t="n">
        <f aca="false">I14*(1+D15)</f>
        <v>1132.91560486915</v>
      </c>
      <c r="J15" s="14" t="n">
        <f aca="false">J14*(1+E15)</f>
        <v>1131.92727421591</v>
      </c>
      <c r="K15" s="14" t="n">
        <f aca="false">K14*(1+F15)</f>
        <v>1118.24051809606</v>
      </c>
      <c r="L15" s="14" t="n">
        <f aca="false">L14*(1+G15)</f>
        <v>1109.03487076403</v>
      </c>
      <c r="M15" s="14" t="n">
        <f aca="false">H15-H14</f>
        <v>29.7137471295312</v>
      </c>
      <c r="N15" s="14" t="n">
        <f aca="false">I15-I14</f>
        <v>32.6580626310854</v>
      </c>
      <c r="O15" s="14" t="n">
        <f aca="false">J15-J14</f>
        <v>32.6161947072687</v>
      </c>
      <c r="P15" s="14" t="n">
        <f aca="false">K15-K14</f>
        <v>30.8500548679701</v>
      </c>
      <c r="Q15" s="14" t="n">
        <f aca="false">L15-L14</f>
        <v>28.0814158222474</v>
      </c>
    </row>
    <row r="16" customFormat="false" ht="15" hidden="false" customHeight="false" outlineLevel="0" collapsed="false">
      <c r="A16" s="11" t="n">
        <v>46037</v>
      </c>
      <c r="B16" s="12" t="s">
        <v>47</v>
      </c>
      <c r="C16" s="13" t="n">
        <v>0.019760633549347</v>
      </c>
      <c r="D16" s="13" t="n">
        <v>0.0197872625713294</v>
      </c>
      <c r="E16" s="13" t="n">
        <v>0.019786960372033</v>
      </c>
      <c r="F16" s="13" t="n">
        <v>0.0210139239823729</v>
      </c>
      <c r="G16" s="13" t="n">
        <v>0.0215443896460994</v>
      </c>
      <c r="H16" s="14" t="n">
        <f aca="false">H15*(1+C16)</f>
        <v>1155.206109104</v>
      </c>
      <c r="I16" s="14" t="n">
        <f aca="false">I15*(1+D16)</f>
        <v>1155.33290341385</v>
      </c>
      <c r="J16" s="14" t="n">
        <f aca="false">J15*(1+E16)</f>
        <v>1154.32467433484</v>
      </c>
      <c r="K16" s="14" t="n">
        <f aca="false">K15*(1+F16)</f>
        <v>1141.73913933734</v>
      </c>
      <c r="L16" s="14" t="n">
        <f aca="false">L15*(1+G16)</f>
        <v>1132.92835015088</v>
      </c>
      <c r="M16" s="14" t="n">
        <f aca="false">H16-H15</f>
        <v>22.385257721234</v>
      </c>
      <c r="N16" s="14" t="n">
        <f aca="false">I16-I15</f>
        <v>22.4172985447021</v>
      </c>
      <c r="O16" s="14" t="n">
        <f aca="false">J16-J15</f>
        <v>22.3974001189335</v>
      </c>
      <c r="P16" s="14" t="n">
        <f aca="false">K16-K15</f>
        <v>23.49862124128</v>
      </c>
      <c r="Q16" s="14" t="n">
        <f aca="false">L16-L15</f>
        <v>23.8934793868516</v>
      </c>
    </row>
    <row r="17" customFormat="false" ht="15" hidden="false" customHeight="false" outlineLevel="0" collapsed="false">
      <c r="A17" s="11" t="n">
        <v>46038</v>
      </c>
      <c r="B17" s="12" t="s">
        <v>48</v>
      </c>
      <c r="C17" s="13" t="n">
        <v>0.0248097943100973</v>
      </c>
      <c r="D17" s="13" t="n">
        <v>0.0260212855033145</v>
      </c>
      <c r="E17" s="13" t="n">
        <v>0.0260202492332131</v>
      </c>
      <c r="F17" s="13" t="n">
        <v>0.0162556842647499</v>
      </c>
      <c r="G17" s="13" t="n">
        <v>0.0221073603720703</v>
      </c>
      <c r="H17" s="14" t="n">
        <f aca="false">H16*(1+C17)</f>
        <v>1183.86653505664</v>
      </c>
      <c r="I17" s="14" t="n">
        <f aca="false">I16*(1+D17)</f>
        <v>1185.39615074495</v>
      </c>
      <c r="J17" s="14" t="n">
        <f aca="false">J16*(1+E17)</f>
        <v>1184.36049005708</v>
      </c>
      <c r="K17" s="14" t="n">
        <f aca="false">K16*(1+F17)</f>
        <v>1160.29889029912</v>
      </c>
      <c r="L17" s="14" t="n">
        <f aca="false">L16*(1+G17)</f>
        <v>1157.9744054634</v>
      </c>
      <c r="M17" s="14" t="n">
        <f aca="false">H17-H16</f>
        <v>28.660425952638</v>
      </c>
      <c r="N17" s="14" t="n">
        <f aca="false">I17-I16</f>
        <v>30.0632473311048</v>
      </c>
      <c r="O17" s="14" t="n">
        <f aca="false">J17-J16</f>
        <v>30.0358157222402</v>
      </c>
      <c r="P17" s="14" t="n">
        <f aca="false">K17-K16</f>
        <v>18.5597509617751</v>
      </c>
      <c r="Q17" s="14" t="n">
        <f aca="false">L17-L16</f>
        <v>25.0460553125204</v>
      </c>
    </row>
    <row r="18" customFormat="false" ht="15" hidden="false" customHeight="false" outlineLevel="0" collapsed="false">
      <c r="A18" s="11" t="n">
        <v>46039</v>
      </c>
      <c r="B18" s="12" t="s">
        <v>49</v>
      </c>
      <c r="C18" s="13" t="n">
        <v>-0.0366608564808638</v>
      </c>
      <c r="D18" s="13" t="n">
        <v>-0.0396198854145143</v>
      </c>
      <c r="E18" s="13" t="n">
        <v>-0.0396206366317777</v>
      </c>
      <c r="F18" s="13" t="n">
        <v>-0.0382339147769062</v>
      </c>
      <c r="G18" s="13" t="n">
        <v>-0.0349230952954622</v>
      </c>
      <c r="H18" s="14" t="n">
        <f aca="false">H17*(1+C18)</f>
        <v>1140.46497392243</v>
      </c>
      <c r="I18" s="14" t="n">
        <f aca="false">I17*(1+D18)</f>
        <v>1138.43089108163</v>
      </c>
      <c r="J18" s="14" t="n">
        <f aca="false">J17*(1+E18)</f>
        <v>1137.43537343949</v>
      </c>
      <c r="K18" s="14" t="n">
        <f aca="false">K17*(1+F18)</f>
        <v>1115.93612141168</v>
      </c>
      <c r="L18" s="14" t="n">
        <f aca="false">L17*(1+G18)</f>
        <v>1117.53435495169</v>
      </c>
      <c r="M18" s="14" t="n">
        <f aca="false">H18-H17</f>
        <v>-43.4015611342088</v>
      </c>
      <c r="N18" s="14" t="n">
        <f aca="false">I18-I17</f>
        <v>-46.9652596633214</v>
      </c>
      <c r="O18" s="14" t="n">
        <f aca="false">J18-J17</f>
        <v>-46.9251166175857</v>
      </c>
      <c r="P18" s="14" t="n">
        <f aca="false">K18-K17</f>
        <v>-44.3627688874353</v>
      </c>
      <c r="Q18" s="14" t="n">
        <f aca="false">L18-L17</f>
        <v>-40.4400505117044</v>
      </c>
    </row>
    <row r="19" customFormat="false" ht="15" hidden="false" customHeight="false" outlineLevel="0" collapsed="false">
      <c r="A19" s="11" t="n">
        <v>46040</v>
      </c>
      <c r="B19" s="12" t="s">
        <v>50</v>
      </c>
      <c r="C19" s="13" t="n">
        <v>0.0457891174417786</v>
      </c>
      <c r="D19" s="13" t="n">
        <v>0.0522170592318139</v>
      </c>
      <c r="E19" s="13" t="n">
        <v>0.0522134869368794</v>
      </c>
      <c r="F19" s="13" t="n">
        <v>0.0540561741786546</v>
      </c>
      <c r="G19" s="13" t="n">
        <v>0.0486556961094703</v>
      </c>
      <c r="H19" s="14" t="n">
        <f aca="false">H18*(1+C19)</f>
        <v>1192.6858585516</v>
      </c>
      <c r="I19" s="14" t="n">
        <f aca="false">I18*(1+D19)</f>
        <v>1197.87640435257</v>
      </c>
      <c r="J19" s="14" t="n">
        <f aca="false">J18*(1+E19)</f>
        <v>1196.82484045212</v>
      </c>
      <c r="K19" s="14" t="n">
        <f aca="false">K18*(1+F19)</f>
        <v>1176.25935876296</v>
      </c>
      <c r="L19" s="14" t="n">
        <f aca="false">L18*(1+G19)</f>
        <v>1171.90876691812</v>
      </c>
      <c r="M19" s="14" t="n">
        <f aca="false">H19-H18</f>
        <v>52.220884629169</v>
      </c>
      <c r="N19" s="14" t="n">
        <f aca="false">I19-I18</f>
        <v>59.4455132709361</v>
      </c>
      <c r="O19" s="14" t="n">
        <f aca="false">J19-J18</f>
        <v>59.3894670126274</v>
      </c>
      <c r="P19" s="14" t="n">
        <f aca="false">K19-K18</f>
        <v>60.3232373512819</v>
      </c>
      <c r="Q19" s="14" t="n">
        <f aca="false">L19-L18</f>
        <v>54.3744119664225</v>
      </c>
    </row>
    <row r="20" customFormat="false" ht="15" hidden="false" customHeight="false" outlineLevel="0" collapsed="false">
      <c r="A20" s="11" t="n">
        <v>46041</v>
      </c>
      <c r="B20" s="12" t="s">
        <v>51</v>
      </c>
      <c r="C20" s="13" t="n">
        <v>0.0254142943064591</v>
      </c>
      <c r="D20" s="13" t="n">
        <v>0.0267921391707732</v>
      </c>
      <c r="E20" s="13" t="n">
        <v>0.0267917917375344</v>
      </c>
      <c r="F20" s="13" t="n">
        <v>0.0329518653398442</v>
      </c>
      <c r="G20" s="13" t="n">
        <v>0.02801449314438</v>
      </c>
      <c r="H20" s="14" t="n">
        <f aca="false">H19*(1+C20)</f>
        <v>1222.99712797598</v>
      </c>
      <c r="I20" s="14" t="n">
        <f aca="false">I19*(1+D20)</f>
        <v>1229.97007568737</v>
      </c>
      <c r="J20" s="14" t="n">
        <f aca="false">J19*(1+E20)</f>
        <v>1228.88992232382</v>
      </c>
      <c r="K20" s="14" t="n">
        <f aca="false">K19*(1+F20)</f>
        <v>1215.01929875765</v>
      </c>
      <c r="L20" s="14" t="n">
        <f aca="false">L19*(1+G20)</f>
        <v>1204.73919703478</v>
      </c>
      <c r="M20" s="14" t="n">
        <f aca="false">H20-H19</f>
        <v>30.3112694243823</v>
      </c>
      <c r="N20" s="14" t="n">
        <f aca="false">I20-I19</f>
        <v>32.0936713347994</v>
      </c>
      <c r="O20" s="14" t="n">
        <f aca="false">J20-J19</f>
        <v>32.0650818717011</v>
      </c>
      <c r="P20" s="14" t="n">
        <f aca="false">K20-K19</f>
        <v>38.7599399946887</v>
      </c>
      <c r="Q20" s="14" t="n">
        <f aca="false">L20-L19</f>
        <v>32.8304301166663</v>
      </c>
    </row>
    <row r="21" customFormat="false" ht="15" hidden="false" customHeight="false" outlineLevel="0" collapsed="false">
      <c r="A21" s="11" t="n">
        <v>46042</v>
      </c>
      <c r="B21" s="12" t="s">
        <v>52</v>
      </c>
      <c r="C21" s="13" t="n">
        <v>0.0430984717085263</v>
      </c>
      <c r="D21" s="13" t="n">
        <v>0.0520105717350436</v>
      </c>
      <c r="E21" s="13" t="n">
        <v>0.0520105825528715</v>
      </c>
      <c r="F21" s="13" t="n">
        <v>0.0343934123177923</v>
      </c>
      <c r="G21" s="13" t="n">
        <v>0.0458219106431609</v>
      </c>
      <c r="H21" s="14" t="n">
        <f aca="false">H20*(1+C21)</f>
        <v>1275.70643509566</v>
      </c>
      <c r="I21" s="14" t="n">
        <f aca="false">I20*(1+D21)</f>
        <v>1293.94152254086</v>
      </c>
      <c r="J21" s="14" t="n">
        <f aca="false">J20*(1+E21)</f>
        <v>1292.80520307724</v>
      </c>
      <c r="K21" s="14" t="n">
        <f aca="false">K20*(1+F21)</f>
        <v>1256.8079584739</v>
      </c>
      <c r="L21" s="14" t="n">
        <f aca="false">L20*(1+G21)</f>
        <v>1259.94264886962</v>
      </c>
      <c r="M21" s="14" t="n">
        <f aca="false">H21-H20</f>
        <v>52.7093071196816</v>
      </c>
      <c r="N21" s="14" t="n">
        <f aca="false">I21-I20</f>
        <v>63.9714468534949</v>
      </c>
      <c r="O21" s="14" t="n">
        <f aca="false">J21-J20</f>
        <v>63.9152807534149</v>
      </c>
      <c r="P21" s="14" t="n">
        <f aca="false">K21-K20</f>
        <v>41.7886597162467</v>
      </c>
      <c r="Q21" s="14" t="n">
        <f aca="false">L21-L20</f>
        <v>55.2034518348414</v>
      </c>
    </row>
    <row r="22" customFormat="false" ht="15" hidden="false" customHeight="false" outlineLevel="0" collapsed="false">
      <c r="A22" s="11" t="n">
        <v>46043</v>
      </c>
      <c r="B22" s="12" t="s">
        <v>53</v>
      </c>
      <c r="C22" s="13" t="n">
        <v>0.0222117319653284</v>
      </c>
      <c r="D22" s="13" t="n">
        <v>0.0157579068825077</v>
      </c>
      <c r="E22" s="13" t="n">
        <v>0.0157579264680956</v>
      </c>
      <c r="F22" s="13" t="n">
        <v>0.0287606128510327</v>
      </c>
      <c r="G22" s="13" t="n">
        <v>0.0129257706200749</v>
      </c>
      <c r="H22" s="14" t="n">
        <f aca="false">H21*(1+C22)</f>
        <v>1304.04208449845</v>
      </c>
      <c r="I22" s="14" t="n">
        <f aca="false">I21*(1+D22)</f>
        <v>1314.33133256447</v>
      </c>
      <c r="J22" s="14" t="n">
        <f aca="false">J21*(1+E22)</f>
        <v>1313.1771324049</v>
      </c>
      <c r="K22" s="14" t="n">
        <f aca="false">K21*(1+F22)</f>
        <v>1292.95452559566</v>
      </c>
      <c r="L22" s="14" t="n">
        <f aca="false">L21*(1+G22)</f>
        <v>1276.22837854336</v>
      </c>
      <c r="M22" s="14" t="n">
        <f aca="false">H22-H21</f>
        <v>28.3356494027894</v>
      </c>
      <c r="N22" s="14" t="n">
        <f aca="false">I22-I21</f>
        <v>20.3898100236092</v>
      </c>
      <c r="O22" s="14" t="n">
        <f aca="false">J22-J21</f>
        <v>20.3719293276624</v>
      </c>
      <c r="P22" s="14" t="n">
        <f aca="false">K22-K21</f>
        <v>36.1465671217645</v>
      </c>
      <c r="Q22" s="14" t="n">
        <f aca="false">L22-L21</f>
        <v>16.2857296737384</v>
      </c>
    </row>
    <row r="23" customFormat="false" ht="15" hidden="false" customHeight="false" outlineLevel="0" collapsed="false">
      <c r="A23" s="11" t="n">
        <v>46044</v>
      </c>
      <c r="B23" s="12" t="s">
        <v>47</v>
      </c>
      <c r="C23" s="13" t="n">
        <v>0.021820714078353</v>
      </c>
      <c r="D23" s="13" t="n">
        <v>0.0120050210528768</v>
      </c>
      <c r="E23" s="13" t="n">
        <v>0.012005023448975</v>
      </c>
      <c r="F23" s="13" t="n">
        <v>0.0163959732000805</v>
      </c>
      <c r="G23" s="13" t="n">
        <v>0.0110467553420721</v>
      </c>
      <c r="H23" s="14" t="n">
        <f aca="false">H22*(1+C23)</f>
        <v>1332.49721397043</v>
      </c>
      <c r="I23" s="14" t="n">
        <f aca="false">I22*(1+D23)</f>
        <v>1330.10990788236</v>
      </c>
      <c r="J23" s="14" t="n">
        <f aca="false">J22*(1+E23)</f>
        <v>1328.94185467208</v>
      </c>
      <c r="K23" s="14" t="n">
        <f aca="false">K22*(1+F23)</f>
        <v>1314.15377334625</v>
      </c>
      <c r="L23" s="14" t="n">
        <f aca="false">L22*(1+G23)</f>
        <v>1290.32656120174</v>
      </c>
      <c r="M23" s="14" t="n">
        <f aca="false">H23-H22</f>
        <v>28.4551294719799</v>
      </c>
      <c r="N23" s="14" t="n">
        <f aca="false">I23-I22</f>
        <v>15.7785753178921</v>
      </c>
      <c r="O23" s="14" t="n">
        <f aca="false">J23-J22</f>
        <v>15.7647222671785</v>
      </c>
      <c r="P23" s="14" t="n">
        <f aca="false">K23-K22</f>
        <v>21.1992477505892</v>
      </c>
      <c r="Q23" s="14" t="n">
        <f aca="false">L23-L22</f>
        <v>14.0981826583779</v>
      </c>
    </row>
    <row r="24" customFormat="false" ht="15" hidden="false" customHeight="false" outlineLevel="0" collapsed="false">
      <c r="A24" s="11" t="n">
        <v>46045</v>
      </c>
      <c r="B24" s="12" t="s">
        <v>48</v>
      </c>
      <c r="C24" s="13" t="n">
        <v>-0.00176141522969925</v>
      </c>
      <c r="D24" s="13" t="n">
        <v>-0.0107962413620721</v>
      </c>
      <c r="E24" s="13" t="n">
        <v>-0.0107962409024611</v>
      </c>
      <c r="F24" s="13" t="n">
        <v>-0.0104120955059545</v>
      </c>
      <c r="G24" s="13" t="n">
        <v>-0.00951936781110968</v>
      </c>
      <c r="H24" s="14" t="n">
        <f aca="false">H23*(1+C24)</f>
        <v>1330.15013308421</v>
      </c>
      <c r="I24" s="14" t="n">
        <f aca="false">I23*(1+D24)</f>
        <v>1315.74972027878</v>
      </c>
      <c r="J24" s="14" t="n">
        <f aca="false">J23*(1+E24)</f>
        <v>1314.59427826368</v>
      </c>
      <c r="K24" s="14" t="n">
        <f aca="false">K23*(1+F24)</f>
        <v>1300.47067874866</v>
      </c>
      <c r="L24" s="14" t="n">
        <f aca="false">L23*(1+G24)</f>
        <v>1278.04346806922</v>
      </c>
      <c r="M24" s="14" t="n">
        <f aca="false">H24-H23</f>
        <v>-2.34708088621937</v>
      </c>
      <c r="N24" s="14" t="n">
        <f aca="false">I24-I23</f>
        <v>-14.3601876035816</v>
      </c>
      <c r="O24" s="14" t="n">
        <f aca="false">J24-J23</f>
        <v>-14.3475764084033</v>
      </c>
      <c r="P24" s="14" t="n">
        <f aca="false">K24-K23</f>
        <v>-13.6830945975917</v>
      </c>
      <c r="Q24" s="14" t="n">
        <f aca="false">L24-L23</f>
        <v>-12.2830931325236</v>
      </c>
    </row>
    <row r="25" customFormat="false" ht="15" hidden="false" customHeight="false" outlineLevel="0" collapsed="false">
      <c r="A25" s="11" t="n">
        <v>46046</v>
      </c>
      <c r="B25" s="12" t="s">
        <v>49</v>
      </c>
      <c r="C25" s="13" t="n">
        <v>0.032588644509094</v>
      </c>
      <c r="D25" s="13" t="n">
        <v>0.0367372495771211</v>
      </c>
      <c r="E25" s="13" t="n">
        <v>0.0367372494883029</v>
      </c>
      <c r="F25" s="13" t="n">
        <v>0.0334835309947305</v>
      </c>
      <c r="G25" s="13" t="n">
        <v>0.0322264999646839</v>
      </c>
      <c r="H25" s="14" t="n">
        <f aca="false">H24*(1+C25)</f>
        <v>1373.49792291502</v>
      </c>
      <c r="I25" s="14" t="n">
        <f aca="false">I24*(1+D25)</f>
        <v>1364.08674613369</v>
      </c>
      <c r="J25" s="14" t="n">
        <f aca="false">J24*(1+E25)</f>
        <v>1362.88885624014</v>
      </c>
      <c r="K25" s="14" t="n">
        <f aca="false">K24*(1+F25)</f>
        <v>1344.01502902828</v>
      </c>
      <c r="L25" s="14" t="n">
        <f aca="false">L24*(1+G25)</f>
        <v>1319.23033584781</v>
      </c>
      <c r="M25" s="14" t="n">
        <f aca="false">H25-H24</f>
        <v>43.3477898308054</v>
      </c>
      <c r="N25" s="14" t="n">
        <f aca="false">I25-I24</f>
        <v>48.3370258549089</v>
      </c>
      <c r="O25" s="14" t="n">
        <f aca="false">J25-J24</f>
        <v>48.2945779764682</v>
      </c>
      <c r="P25" s="14" t="n">
        <f aca="false">K25-K24</f>
        <v>43.5443502796188</v>
      </c>
      <c r="Q25" s="14" t="n">
        <f aca="false">L25-L24</f>
        <v>41.1868677785972</v>
      </c>
    </row>
    <row r="26" customFormat="false" ht="15" hidden="false" customHeight="false" outlineLevel="0" collapsed="false">
      <c r="A26" s="11" t="n">
        <v>46047</v>
      </c>
      <c r="B26" s="12" t="s">
        <v>50</v>
      </c>
      <c r="C26" s="13" t="n">
        <v>0.0195586681310138</v>
      </c>
      <c r="D26" s="13" t="n">
        <v>0.0154977594660744</v>
      </c>
      <c r="E26" s="13" t="n">
        <v>0.0154977594939277</v>
      </c>
      <c r="F26" s="13" t="n">
        <v>0.0250886124985699</v>
      </c>
      <c r="G26" s="13" t="n">
        <v>0.0206623036208418</v>
      </c>
      <c r="H26" s="14" t="n">
        <f aca="false">H25*(1+C26)</f>
        <v>1400.36171296795</v>
      </c>
      <c r="I26" s="14" t="n">
        <f aca="false">I25*(1+D26)</f>
        <v>1385.22703441613</v>
      </c>
      <c r="J26" s="14" t="n">
        <f aca="false">J25*(1+E26)</f>
        <v>1384.01057995111</v>
      </c>
      <c r="K26" s="14" t="n">
        <f aca="false">K25*(1+F26)</f>
        <v>1377.73450128382</v>
      </c>
      <c r="L26" s="14" t="n">
        <f aca="false">L25*(1+G26)</f>
        <v>1346.48867359293</v>
      </c>
      <c r="M26" s="14" t="n">
        <f aca="false">H26-H25</f>
        <v>26.8637900529316</v>
      </c>
      <c r="N26" s="14" t="n">
        <f aca="false">I26-I25</f>
        <v>21.14028828244</v>
      </c>
      <c r="O26" s="14" t="n">
        <f aca="false">J26-J25</f>
        <v>21.1217237109638</v>
      </c>
      <c r="P26" s="14" t="n">
        <f aca="false">K26-K25</f>
        <v>33.7194722555446</v>
      </c>
      <c r="Q26" s="14" t="n">
        <f aca="false">L26-L25</f>
        <v>27.2583377451126</v>
      </c>
    </row>
    <row r="27" customFormat="false" ht="15" hidden="false" customHeight="false" outlineLevel="0" collapsed="false">
      <c r="A27" s="11" t="n">
        <v>46048</v>
      </c>
      <c r="B27" s="12" t="s">
        <v>51</v>
      </c>
      <c r="C27" s="13" t="n">
        <v>-0.0074971686211302</v>
      </c>
      <c r="D27" s="13" t="n">
        <v>-0.0124459418075451</v>
      </c>
      <c r="E27" s="13" t="n">
        <v>-0.012445941801042</v>
      </c>
      <c r="F27" s="13" t="n">
        <v>-0.00931780186807341</v>
      </c>
      <c r="G27" s="13" t="n">
        <v>-0.0141717666467126</v>
      </c>
      <c r="H27" s="14" t="n">
        <f aca="false">H26*(1+C27)</f>
        <v>1389.86296507525</v>
      </c>
      <c r="I27" s="14" t="n">
        <f aca="false">I26*(1+D27)</f>
        <v>1367.98657935555</v>
      </c>
      <c r="J27" s="14" t="n">
        <f aca="false">J26*(1+E27)</f>
        <v>1366.78526482101</v>
      </c>
      <c r="K27" s="14" t="n">
        <f aca="false">K26*(1+F27)</f>
        <v>1364.89704417405</v>
      </c>
      <c r="L27" s="14" t="n">
        <f aca="false">L26*(1+G27)</f>
        <v>1327.40655031833</v>
      </c>
      <c r="M27" s="14" t="n">
        <f aca="false">H27-H26</f>
        <v>-10.4987478926955</v>
      </c>
      <c r="N27" s="14" t="n">
        <f aca="false">I27-I26</f>
        <v>-17.2404550605813</v>
      </c>
      <c r="O27" s="14" t="n">
        <f aca="false">J27-J26</f>
        <v>-17.2253151300979</v>
      </c>
      <c r="P27" s="14" t="n">
        <f aca="false">K27-K26</f>
        <v>-12.8374571097715</v>
      </c>
      <c r="Q27" s="14" t="n">
        <f aca="false">L27-L26</f>
        <v>-19.0821232746005</v>
      </c>
    </row>
    <row r="28" customFormat="false" ht="15" hidden="false" customHeight="false" outlineLevel="0" collapsed="false">
      <c r="A28" s="11" t="n">
        <v>46049</v>
      </c>
      <c r="B28" s="12" t="s">
        <v>52</v>
      </c>
      <c r="C28" s="13" t="n">
        <v>0.00885629931285226</v>
      </c>
      <c r="D28" s="13" t="n">
        <v>0.0192618583344079</v>
      </c>
      <c r="E28" s="13" t="n">
        <v>0.00739101723891146</v>
      </c>
      <c r="F28" s="13" t="n">
        <v>0.00788385980455486</v>
      </c>
      <c r="G28" s="13" t="n">
        <v>0.0158688703969119</v>
      </c>
      <c r="H28" s="14" t="n">
        <f aca="false">H27*(1+C28)</f>
        <v>1402.17200749781</v>
      </c>
      <c r="I28" s="14" t="n">
        <f aca="false">I27*(1+D28)</f>
        <v>1394.33654305047</v>
      </c>
      <c r="J28" s="14" t="n">
        <f aca="false">J27*(1+E28)</f>
        <v>1376.88719827519</v>
      </c>
      <c r="K28" s="14" t="n">
        <f aca="false">K27*(1+F28)</f>
        <v>1375.65770111797</v>
      </c>
      <c r="L28" s="14" t="n">
        <f aca="false">L27*(1+G28)</f>
        <v>1348.47099282934</v>
      </c>
      <c r="M28" s="14" t="n">
        <f aca="false">H28-H27</f>
        <v>12.3090424225547</v>
      </c>
      <c r="N28" s="14" t="n">
        <f aca="false">I28-I27</f>
        <v>26.349963694918</v>
      </c>
      <c r="O28" s="14" t="n">
        <f aca="false">J28-J27</f>
        <v>10.1019334541825</v>
      </c>
      <c r="P28" s="14" t="n">
        <f aca="false">K28-K27</f>
        <v>10.7606569439195</v>
      </c>
      <c r="Q28" s="14" t="n">
        <f aca="false">L28-L27</f>
        <v>21.0644425110133</v>
      </c>
    </row>
    <row r="29" customFormat="false" ht="15" hidden="false" customHeight="false" outlineLevel="0" collapsed="false">
      <c r="A29" s="11" t="n">
        <v>46050</v>
      </c>
      <c r="B29" s="12" t="s">
        <v>53</v>
      </c>
      <c r="C29" s="13" t="n">
        <v>-0.00759507666346376</v>
      </c>
      <c r="D29" s="13" t="n">
        <v>-0.0100146241327086</v>
      </c>
      <c r="E29" s="13" t="n">
        <v>-0.00931757725017107</v>
      </c>
      <c r="F29" s="13" t="n">
        <v>-0.00682369819740969</v>
      </c>
      <c r="G29" s="13" t="n">
        <v>-0.00872456510474351</v>
      </c>
      <c r="H29" s="14" t="n">
        <f aca="false">H28*(1+C29)</f>
        <v>1391.5224036055</v>
      </c>
      <c r="I29" s="14" t="n">
        <f aca="false">I28*(1+D29)</f>
        <v>1380.37278665732</v>
      </c>
      <c r="J29" s="14" t="n">
        <f aca="false">J28*(1+E29)</f>
        <v>1364.05794544049</v>
      </c>
      <c r="K29" s="14" t="n">
        <f aca="false">K28*(1+F29)</f>
        <v>1366.2706281426</v>
      </c>
      <c r="L29" s="14" t="n">
        <f aca="false">L28*(1+G29)</f>
        <v>1336.70616986054</v>
      </c>
      <c r="M29" s="14" t="n">
        <f aca="false">H29-H28</f>
        <v>-10.6496038923087</v>
      </c>
      <c r="N29" s="14" t="n">
        <f aca="false">I29-I28</f>
        <v>-13.9637563931508</v>
      </c>
      <c r="O29" s="14" t="n">
        <f aca="false">J29-J28</f>
        <v>-12.8292528347006</v>
      </c>
      <c r="P29" s="14" t="n">
        <f aca="false">K29-K28</f>
        <v>-9.38707297537144</v>
      </c>
      <c r="Q29" s="14" t="n">
        <f aca="false">L29-L28</f>
        <v>-11.7648229687977</v>
      </c>
    </row>
    <row r="30" customFormat="false" ht="15" hidden="false" customHeight="false" outlineLevel="0" collapsed="false">
      <c r="A30" s="11" t="n">
        <v>46051</v>
      </c>
      <c r="B30" s="12" t="s">
        <v>47</v>
      </c>
      <c r="C30" s="13" t="n">
        <v>-0.0154836476133347</v>
      </c>
      <c r="D30" s="13" t="n">
        <v>-0.0228973067100186</v>
      </c>
      <c r="E30" s="13" t="n">
        <v>-0.0244418078630236</v>
      </c>
      <c r="F30" s="13" t="n">
        <v>-0.0200757746465767</v>
      </c>
      <c r="G30" s="13" t="n">
        <v>-0.0172838374607782</v>
      </c>
      <c r="H30" s="14" t="n">
        <f aca="false">H29*(1+C30)</f>
        <v>1369.97656106201</v>
      </c>
      <c r="I30" s="14" t="n">
        <f aca="false">I29*(1+D30)</f>
        <v>1348.76596758706</v>
      </c>
      <c r="J30" s="14" t="n">
        <f aca="false">J29*(1+E30)</f>
        <v>1330.717903224</v>
      </c>
      <c r="K30" s="14" t="n">
        <f aca="false">K29*(1+F30)</f>
        <v>1338.84168690577</v>
      </c>
      <c r="L30" s="14" t="n">
        <f aca="false">L29*(1+G30)</f>
        <v>1313.60275768785</v>
      </c>
      <c r="M30" s="14" t="n">
        <f aca="false">H30-H29</f>
        <v>-21.5458425434879</v>
      </c>
      <c r="N30" s="14" t="n">
        <f aca="false">I30-I29</f>
        <v>-31.6068190702556</v>
      </c>
      <c r="O30" s="14" t="n">
        <f aca="false">J30-J29</f>
        <v>-33.3400422164871</v>
      </c>
      <c r="P30" s="14" t="n">
        <f aca="false">K30-K29</f>
        <v>-27.4289412368275</v>
      </c>
      <c r="Q30" s="14" t="n">
        <f aca="false">L30-L29</f>
        <v>-23.1034121726889</v>
      </c>
    </row>
    <row r="31" customFormat="false" ht="15" hidden="false" customHeight="false" outlineLevel="0" collapsed="false">
      <c r="A31" s="11" t="n">
        <v>46052</v>
      </c>
      <c r="B31" s="12" t="s">
        <v>48</v>
      </c>
      <c r="C31" s="13" t="n">
        <v>0.00292116218685157</v>
      </c>
      <c r="D31" s="13" t="n">
        <v>0.0098199996494185</v>
      </c>
      <c r="E31" s="13" t="n">
        <v>0.00975385891212142</v>
      </c>
      <c r="F31" s="13" t="n">
        <v>-0.00267695104300947</v>
      </c>
      <c r="G31" s="13" t="n">
        <v>0.0114676597848408</v>
      </c>
      <c r="H31" s="14" t="n">
        <f aca="false">H30*(1+C31)</f>
        <v>1373.97848478906</v>
      </c>
      <c r="I31" s="14" t="n">
        <f aca="false">I30*(1+D31)</f>
        <v>1362.01084891591</v>
      </c>
      <c r="J31" s="14" t="n">
        <f aca="false">J30*(1+E31)</f>
        <v>1343.69753790388</v>
      </c>
      <c r="K31" s="14" t="n">
        <f aca="false">K30*(1+F31)</f>
        <v>1335.25767325559</v>
      </c>
      <c r="L31" s="14" t="n">
        <f aca="false">L30*(1+G31)</f>
        <v>1328.66670720545</v>
      </c>
      <c r="M31" s="14" t="n">
        <f aca="false">H31-H30</f>
        <v>4.00192372704737</v>
      </c>
      <c r="N31" s="14" t="n">
        <f aca="false">I31-I30</f>
        <v>13.2448813288527</v>
      </c>
      <c r="O31" s="14" t="n">
        <f aca="false">J31-J30</f>
        <v>12.9796346798807</v>
      </c>
      <c r="P31" s="14" t="n">
        <f aca="false">K31-K30</f>
        <v>-3.58401365018699</v>
      </c>
      <c r="Q31" s="14" t="n">
        <f aca="false">L31-L30</f>
        <v>15.0639495175931</v>
      </c>
    </row>
    <row r="32" customFormat="false" ht="15" hidden="false" customHeight="false" outlineLevel="0" collapsed="false">
      <c r="A32" s="11" t="n">
        <v>46053</v>
      </c>
      <c r="B32" s="12" t="s">
        <v>49</v>
      </c>
      <c r="C32" s="13" t="n">
        <v>0.0292055932615236</v>
      </c>
      <c r="D32" s="13" t="n">
        <v>0.0528185643574649</v>
      </c>
      <c r="E32" s="13" t="n">
        <v>0.0522497985382081</v>
      </c>
      <c r="F32" s="13" t="n">
        <v>0.0315650492016169</v>
      </c>
      <c r="G32" s="13" t="n">
        <v>0.0579408606352454</v>
      </c>
      <c r="H32" s="14" t="n">
        <f aca="false">H31*(1+C32)</f>
        <v>1414.10634156589</v>
      </c>
      <c r="I32" s="14" t="n">
        <f aca="false">I31*(1+D32)</f>
        <v>1433.95030659494</v>
      </c>
      <c r="J32" s="14" t="n">
        <f aca="false">J31*(1+E32)</f>
        <v>1413.90546355565</v>
      </c>
      <c r="K32" s="14" t="n">
        <f aca="false">K31*(1+F32)</f>
        <v>1377.40514740873</v>
      </c>
      <c r="L32" s="14" t="n">
        <f aca="false">L31*(1+G32)</f>
        <v>1405.65079971833</v>
      </c>
      <c r="M32" s="14" t="n">
        <f aca="false">H32-H31</f>
        <v>40.1278567768338</v>
      </c>
      <c r="N32" s="14" t="n">
        <f aca="false">I32-I31</f>
        <v>71.9394576790303</v>
      </c>
      <c r="O32" s="14" t="n">
        <f aca="false">J32-J31</f>
        <v>70.2079256517641</v>
      </c>
      <c r="P32" s="14" t="n">
        <f aca="false">K32-K31</f>
        <v>42.147474153149</v>
      </c>
      <c r="Q32" s="14" t="n">
        <f aca="false">L32-L31</f>
        <v>76.984092512881</v>
      </c>
    </row>
    <row r="33" customFormat="false" ht="15" hidden="false" customHeight="false" outlineLevel="0" collapsed="false">
      <c r="A33" s="11" t="n">
        <v>46054</v>
      </c>
      <c r="B33" s="12" t="s">
        <v>50</v>
      </c>
      <c r="C33" s="13" t="n">
        <v>-0.000937624141588933</v>
      </c>
      <c r="D33" s="13" t="n">
        <v>-0.027238137322927</v>
      </c>
      <c r="E33" s="13" t="n">
        <v>-0.023100850670775</v>
      </c>
      <c r="F33" s="13" t="n">
        <v>-0.0220825483469677</v>
      </c>
      <c r="G33" s="13" t="n">
        <v>-0.0230110855343582</v>
      </c>
      <c r="H33" s="14" t="n">
        <f aca="false">H32*(1+C33)</f>
        <v>1412.78044132127</v>
      </c>
      <c r="I33" s="14" t="n">
        <f aca="false">I32*(1+D33)</f>
        <v>1394.89217122966</v>
      </c>
      <c r="J33" s="14" t="n">
        <f aca="false">J32*(1+E33)</f>
        <v>1381.24304457946</v>
      </c>
      <c r="K33" s="14" t="n">
        <f aca="false">K32*(1+F33)</f>
        <v>1346.98853164772</v>
      </c>
      <c r="L33" s="14" t="n">
        <f aca="false">L32*(1+G33)</f>
        <v>1373.30524893457</v>
      </c>
      <c r="M33" s="14" t="n">
        <f aca="false">H33-H32</f>
        <v>-1.32590024462615</v>
      </c>
      <c r="N33" s="14" t="n">
        <f aca="false">I33-I32</f>
        <v>-39.0581353652863</v>
      </c>
      <c r="O33" s="14" t="n">
        <f aca="false">J33-J32</f>
        <v>-32.6624189761919</v>
      </c>
      <c r="P33" s="14" t="n">
        <f aca="false">K33-K32</f>
        <v>-30.4166157610155</v>
      </c>
      <c r="Q33" s="14" t="n">
        <f aca="false">L33-L32</f>
        <v>-32.3455507837573</v>
      </c>
    </row>
    <row r="34" customFormat="false" ht="15" hidden="false" customHeight="false" outlineLevel="0" collapsed="false">
      <c r="A34" s="11" t="n">
        <v>46055</v>
      </c>
      <c r="B34" s="12" t="s">
        <v>51</v>
      </c>
      <c r="C34" s="13" t="n">
        <v>-0.0104079740956046</v>
      </c>
      <c r="D34" s="13" t="n">
        <v>-0.00955548113392228</v>
      </c>
      <c r="E34" s="13" t="n">
        <v>-0.00965808701636894</v>
      </c>
      <c r="F34" s="13" t="n">
        <v>-0.00121740419275235</v>
      </c>
      <c r="G34" s="13" t="n">
        <v>-0.0112743885903115</v>
      </c>
      <c r="H34" s="14" t="n">
        <f aca="false">H33*(1+C34)</f>
        <v>1398.07625908522</v>
      </c>
      <c r="I34" s="14" t="n">
        <f aca="false">I33*(1+D34)</f>
        <v>1381.56330540362</v>
      </c>
      <c r="J34" s="14" t="n">
        <f aca="false">J33*(1+E34)</f>
        <v>1367.90287906415</v>
      </c>
      <c r="K34" s="14" t="n">
        <f aca="false">K33*(1+F34)</f>
        <v>1345.3487021617</v>
      </c>
      <c r="L34" s="14" t="n">
        <f aca="false">L33*(1+G34)</f>
        <v>1357.82207190497</v>
      </c>
      <c r="M34" s="14" t="n">
        <f aca="false">H34-H33</f>
        <v>-14.7041822360486</v>
      </c>
      <c r="N34" s="14" t="n">
        <f aca="false">I34-I33</f>
        <v>-13.3288658260408</v>
      </c>
      <c r="O34" s="14" t="n">
        <f aca="false">J34-J33</f>
        <v>-13.3401655153027</v>
      </c>
      <c r="P34" s="14" t="n">
        <f aca="false">K34-K33</f>
        <v>-1.63982948601711</v>
      </c>
      <c r="Q34" s="14" t="n">
        <f aca="false">L34-L33</f>
        <v>-15.4831770296028</v>
      </c>
    </row>
    <row r="35" customFormat="false" ht="15" hidden="false" customHeight="false" outlineLevel="0" collapsed="false">
      <c r="A35" s="11" t="n">
        <v>46056</v>
      </c>
      <c r="B35" s="12" t="s">
        <v>52</v>
      </c>
      <c r="C35" s="13" t="n">
        <v>-0.000818924109169172</v>
      </c>
      <c r="D35" s="13" t="n">
        <v>0.00326288960241654</v>
      </c>
      <c r="E35" s="13" t="n">
        <v>0.00325832709115232</v>
      </c>
      <c r="F35" s="13" t="n">
        <v>-0.00186728429875571</v>
      </c>
      <c r="G35" s="13" t="n">
        <v>0.00322878563881135</v>
      </c>
      <c r="H35" s="14" t="n">
        <f aca="false">H34*(1+C35)</f>
        <v>1396.9313407302</v>
      </c>
      <c r="I35" s="14" t="n">
        <f aca="false">I34*(1+D35)</f>
        <v>1386.0711939479</v>
      </c>
      <c r="J35" s="14" t="n">
        <f aca="false">J34*(1+E35)</f>
        <v>1372.35995407307</v>
      </c>
      <c r="K35" s="14" t="n">
        <f aca="false">K34*(1+F35)</f>
        <v>1342.8365536538</v>
      </c>
      <c r="L35" s="14" t="n">
        <f aca="false">L34*(1+G35)</f>
        <v>1362.20618831079</v>
      </c>
      <c r="M35" s="14" t="n">
        <f aca="false">H35-H34</f>
        <v>-1.1449183550219</v>
      </c>
      <c r="N35" s="14" t="n">
        <f aca="false">I35-I34</f>
        <v>4.50788854428151</v>
      </c>
      <c r="O35" s="14" t="n">
        <f aca="false">J35-J34</f>
        <v>4.45707500892013</v>
      </c>
      <c r="P35" s="14" t="n">
        <f aca="false">K35-K34</f>
        <v>-2.51214850789802</v>
      </c>
      <c r="Q35" s="14" t="n">
        <f aca="false">L35-L34</f>
        <v>4.38411640582785</v>
      </c>
    </row>
    <row r="36" customFormat="false" ht="15" hidden="false" customHeight="false" outlineLevel="0" collapsed="false">
      <c r="A36" s="11" t="n">
        <v>46057</v>
      </c>
      <c r="B36" s="12" t="s">
        <v>53</v>
      </c>
      <c r="C36" s="13" t="n">
        <v>-0.00268128356517616</v>
      </c>
      <c r="D36" s="13" t="n">
        <v>0.0069647435041686</v>
      </c>
      <c r="E36" s="13" t="n">
        <v>0.00701116585181856</v>
      </c>
      <c r="F36" s="13" t="n">
        <v>0.00592193615042747</v>
      </c>
      <c r="G36" s="13" t="n">
        <v>0.00775046120957845</v>
      </c>
      <c r="H36" s="14" t="n">
        <f aca="false">H35*(1+C36)</f>
        <v>1393.18577168462</v>
      </c>
      <c r="I36" s="14" t="n">
        <f aca="false">I35*(1+D36)</f>
        <v>1395.72482429226</v>
      </c>
      <c r="J36" s="14" t="n">
        <f aca="false">J35*(1+E36)</f>
        <v>1381.98179731947</v>
      </c>
      <c r="K36" s="14" t="n">
        <f aca="false">K35*(1+F36)</f>
        <v>1350.788745985</v>
      </c>
      <c r="L36" s="14" t="n">
        <f aca="false">L35*(1+G36)</f>
        <v>1372.76391453275</v>
      </c>
      <c r="M36" s="14" t="n">
        <f aca="false">H36-H35</f>
        <v>-3.74556904557949</v>
      </c>
      <c r="N36" s="14" t="n">
        <f aca="false">I36-I35</f>
        <v>9.65363034436382</v>
      </c>
      <c r="O36" s="14" t="n">
        <f aca="false">J36-J35</f>
        <v>9.62184324640043</v>
      </c>
      <c r="P36" s="14" t="n">
        <f aca="false">K36-K35</f>
        <v>7.95219233119792</v>
      </c>
      <c r="Q36" s="14" t="n">
        <f aca="false">L36-L35</f>
        <v>10.5577262219506</v>
      </c>
    </row>
    <row r="37" customFormat="false" ht="15" hidden="false" customHeight="false" outlineLevel="0" collapsed="false">
      <c r="A37" s="11" t="n">
        <v>46058</v>
      </c>
      <c r="B37" s="12" t="s">
        <v>47</v>
      </c>
      <c r="C37" s="13" t="n">
        <v>0.0107671183602844</v>
      </c>
      <c r="D37" s="13" t="n">
        <v>0.00352064762314722</v>
      </c>
      <c r="E37" s="13" t="n">
        <v>0.0038057169982923</v>
      </c>
      <c r="F37" s="13" t="n">
        <v>0.00812057723589377</v>
      </c>
      <c r="G37" s="13" t="n">
        <v>0.0152894339696235</v>
      </c>
      <c r="H37" s="14" t="n">
        <f aca="false">H36*(1+C37)</f>
        <v>1408.18636778621</v>
      </c>
      <c r="I37" s="14" t="n">
        <f aca="false">I36*(1+D37)</f>
        <v>1400.63867957747</v>
      </c>
      <c r="J37" s="14" t="n">
        <f aca="false">J36*(1+E37)</f>
        <v>1387.24122893686</v>
      </c>
      <c r="K37" s="14" t="n">
        <f aca="false">K36*(1+F37)</f>
        <v>1361.75793032615</v>
      </c>
      <c r="L37" s="14" t="n">
        <f aca="false">L36*(1+G37)</f>
        <v>1393.75269775988</v>
      </c>
      <c r="M37" s="14" t="n">
        <f aca="false">H37-H36</f>
        <v>15.0005961015925</v>
      </c>
      <c r="N37" s="14" t="n">
        <f aca="false">I37-I36</f>
        <v>4.91385528521232</v>
      </c>
      <c r="O37" s="14" t="n">
        <f aca="false">J37-J36</f>
        <v>5.25943161738928</v>
      </c>
      <c r="P37" s="14" t="n">
        <f aca="false">K37-K36</f>
        <v>10.9691843411472</v>
      </c>
      <c r="Q37" s="14" t="n">
        <f aca="false">L37-L36</f>
        <v>20.9887832271302</v>
      </c>
    </row>
    <row r="38" customFormat="false" ht="15" hidden="false" customHeight="false" outlineLevel="0" collapsed="false">
      <c r="A38" s="11" t="n">
        <v>46059</v>
      </c>
      <c r="B38" s="12" t="s">
        <v>48</v>
      </c>
      <c r="C38" s="13" t="n">
        <v>0.0356794966363478</v>
      </c>
      <c r="D38" s="13" t="n">
        <v>0.0465204700128388</v>
      </c>
      <c r="E38" s="13" t="n">
        <v>0.0464007291802729</v>
      </c>
      <c r="F38" s="13" t="n">
        <v>0.0377941181315785</v>
      </c>
      <c r="G38" s="13" t="n">
        <v>0.0418983458354774</v>
      </c>
      <c r="H38" s="14" t="n">
        <f aca="false">H37*(1+C38)</f>
        <v>1458.42974855899</v>
      </c>
      <c r="I38" s="14" t="n">
        <f aca="false">I37*(1+D38)</f>
        <v>1465.79704926958</v>
      </c>
      <c r="J38" s="14" t="n">
        <f aca="false">J37*(1+E38)</f>
        <v>1451.61023350847</v>
      </c>
      <c r="K38" s="14" t="n">
        <f aca="false">K37*(1+F38)</f>
        <v>1413.22437041151</v>
      </c>
      <c r="L38" s="14" t="n">
        <f aca="false">L37*(1+G38)</f>
        <v>1452.14863029975</v>
      </c>
      <c r="M38" s="14" t="n">
        <f aca="false">H38-H37</f>
        <v>50.2433807727789</v>
      </c>
      <c r="N38" s="14" t="n">
        <f aca="false">I38-I37</f>
        <v>65.1583696921059</v>
      </c>
      <c r="O38" s="14" t="n">
        <f aca="false">J38-J37</f>
        <v>64.3690045716082</v>
      </c>
      <c r="P38" s="14" t="n">
        <f aca="false">K38-K37</f>
        <v>51.4664400853601</v>
      </c>
      <c r="Q38" s="14" t="n">
        <f aca="false">L38-L37</f>
        <v>58.3959325398728</v>
      </c>
    </row>
    <row r="39" customFormat="false" ht="15" hidden="false" customHeight="false" outlineLevel="0" collapsed="false">
      <c r="A39" s="11" t="n">
        <v>46060</v>
      </c>
      <c r="B39" s="12" t="s">
        <v>49</v>
      </c>
      <c r="C39" s="13" t="n">
        <v>-0.0137357736173078</v>
      </c>
      <c r="D39" s="13" t="n">
        <v>-0.0144731979112186</v>
      </c>
      <c r="E39" s="13" t="n">
        <v>-0.0144732995952203</v>
      </c>
      <c r="F39" s="13" t="n">
        <v>-0.0144270030243936</v>
      </c>
      <c r="G39" s="13" t="n">
        <v>-0.0130227883940992</v>
      </c>
      <c r="H39" s="14" t="n">
        <f aca="false">H38*(1+C39)</f>
        <v>1438.39708769603</v>
      </c>
      <c r="I39" s="14" t="n">
        <f aca="false">I38*(1+D39)</f>
        <v>1444.58227847782</v>
      </c>
      <c r="J39" s="14" t="n">
        <f aca="false">J38*(1+E39)</f>
        <v>1430.60064370342</v>
      </c>
      <c r="K39" s="14" t="n">
        <f aca="false">K38*(1+F39)</f>
        <v>1392.83577814544</v>
      </c>
      <c r="L39" s="14" t="n">
        <f aca="false">L38*(1+G39)</f>
        <v>1433.23760597057</v>
      </c>
      <c r="M39" s="14" t="n">
        <f aca="false">H39-H38</f>
        <v>-20.0326608629534</v>
      </c>
      <c r="N39" s="14" t="n">
        <f aca="false">I39-I38</f>
        <v>-21.2147707917588</v>
      </c>
      <c r="O39" s="14" t="n">
        <f aca="false">J39-J38</f>
        <v>-21.0095898050558</v>
      </c>
      <c r="P39" s="14" t="n">
        <f aca="false">K39-K38</f>
        <v>-20.3885922660736</v>
      </c>
      <c r="Q39" s="14" t="n">
        <f aca="false">L39-L38</f>
        <v>-18.9110243291746</v>
      </c>
    </row>
    <row r="40" customFormat="false" ht="15" hidden="false" customHeight="false" outlineLevel="0" collapsed="false">
      <c r="A40" s="11" t="n">
        <v>46061</v>
      </c>
      <c r="B40" s="12" t="s">
        <v>50</v>
      </c>
      <c r="C40" s="13" t="n">
        <v>0.00721473295301345</v>
      </c>
      <c r="D40" s="13" t="n">
        <v>0.00969621617798074</v>
      </c>
      <c r="E40" s="13" t="n">
        <v>0.00969617501197256</v>
      </c>
      <c r="F40" s="13" t="n">
        <v>0.00471870384133188</v>
      </c>
      <c r="G40" s="13" t="n">
        <v>0.00936905660132692</v>
      </c>
      <c r="H40" s="14" t="n">
        <f aca="false">H39*(1+C40)</f>
        <v>1448.77473856415</v>
      </c>
      <c r="I40" s="14" t="n">
        <f aca="false">I39*(1+D40)</f>
        <v>1458.58926053682</v>
      </c>
      <c r="J40" s="14" t="n">
        <f aca="false">J39*(1+E40)</f>
        <v>1444.47199791701</v>
      </c>
      <c r="K40" s="14" t="n">
        <f aca="false">K39*(1+F40)</f>
        <v>1399.40815768212</v>
      </c>
      <c r="L40" s="14" t="n">
        <f aca="false">L39*(1+G40)</f>
        <v>1446.66569022406</v>
      </c>
      <c r="M40" s="14" t="n">
        <f aca="false">H40-H39</f>
        <v>10.3776508681192</v>
      </c>
      <c r="N40" s="14" t="n">
        <f aca="false">I40-I39</f>
        <v>14.0069820590011</v>
      </c>
      <c r="O40" s="14" t="n">
        <f aca="false">J40-J39</f>
        <v>13.871354213589</v>
      </c>
      <c r="P40" s="14" t="n">
        <f aca="false">K40-K39</f>
        <v>6.57237953667936</v>
      </c>
      <c r="Q40" s="14" t="n">
        <f aca="false">L40-L39</f>
        <v>13.4280842534886</v>
      </c>
    </row>
    <row r="41" customFormat="false" ht="15" hidden="false" customHeight="false" outlineLevel="0" collapsed="false">
      <c r="A41" s="11" t="n">
        <v>46062</v>
      </c>
      <c r="B41" s="12" t="s">
        <v>51</v>
      </c>
      <c r="C41" s="13" t="n">
        <v>0.0140642771646756</v>
      </c>
      <c r="D41" s="13" t="n">
        <v>0.0172735546388468</v>
      </c>
      <c r="E41" s="13" t="n">
        <v>0.0172735509709191</v>
      </c>
      <c r="F41" s="13" t="n">
        <v>0.0139785732382026</v>
      </c>
      <c r="G41" s="13" t="n">
        <v>0.0149309599197444</v>
      </c>
      <c r="H41" s="14" t="n">
        <f aca="false">H40*(1+C41)</f>
        <v>1469.1507080365</v>
      </c>
      <c r="I41" s="14" t="n">
        <f aca="false">I40*(1+D41)</f>
        <v>1483.78428182434</v>
      </c>
      <c r="J41" s="14" t="n">
        <f aca="false">J40*(1+E41)</f>
        <v>1469.42315859909</v>
      </c>
      <c r="K41" s="14" t="n">
        <f aca="false">K40*(1+F41)</f>
        <v>1418.96988710441</v>
      </c>
      <c r="L41" s="14" t="n">
        <f aca="false">L40*(1+G41)</f>
        <v>1468.26579766207</v>
      </c>
      <c r="M41" s="14" t="n">
        <f aca="false">H41-H40</f>
        <v>20.3759694723465</v>
      </c>
      <c r="N41" s="14" t="n">
        <f aca="false">I41-I40</f>
        <v>25.1950212875179</v>
      </c>
      <c r="O41" s="14" t="n">
        <f aca="false">J41-J40</f>
        <v>24.9511606820845</v>
      </c>
      <c r="P41" s="14" t="n">
        <f aca="false">K41-K40</f>
        <v>19.5617294222977</v>
      </c>
      <c r="Q41" s="14" t="n">
        <f aca="false">L41-L40</f>
        <v>21.6001074380049</v>
      </c>
    </row>
    <row r="42" customFormat="false" ht="15" hidden="false" customHeight="false" outlineLevel="0" collapsed="false">
      <c r="A42" s="11" t="n">
        <v>46063</v>
      </c>
      <c r="B42" s="12" t="s">
        <v>52</v>
      </c>
      <c r="C42" s="13" t="n">
        <v>0.0176106221750614</v>
      </c>
      <c r="D42" s="13" t="n">
        <v>0.0158621154219513</v>
      </c>
      <c r="E42" s="13" t="n">
        <v>0.0158621015241905</v>
      </c>
      <c r="F42" s="13" t="n">
        <v>0.0116357199104414</v>
      </c>
      <c r="G42" s="13" t="n">
        <v>0.0162530942937604</v>
      </c>
      <c r="H42" s="14" t="n">
        <f aca="false">H41*(1+C42)</f>
        <v>1495.02336607395</v>
      </c>
      <c r="I42" s="14" t="n">
        <f aca="false">I41*(1+D42)</f>
        <v>1507.32023936391</v>
      </c>
      <c r="J42" s="14" t="n">
        <f aca="false">J41*(1+E42)</f>
        <v>1492.73129792279</v>
      </c>
      <c r="K42" s="14" t="n">
        <f aca="false">K41*(1+F42)</f>
        <v>1435.48062327211</v>
      </c>
      <c r="L42" s="14" t="n">
        <f aca="false">L41*(1+G42)</f>
        <v>1492.12966011977</v>
      </c>
      <c r="M42" s="14" t="n">
        <f aca="false">H42-H41</f>
        <v>25.8726580374546</v>
      </c>
      <c r="N42" s="14" t="n">
        <f aca="false">I42-I41</f>
        <v>23.5359575395748</v>
      </c>
      <c r="O42" s="14" t="n">
        <f aca="false">J42-J41</f>
        <v>23.3081393236953</v>
      </c>
      <c r="P42" s="14" t="n">
        <f aca="false">K42-K41</f>
        <v>16.5107361676976</v>
      </c>
      <c r="Q42" s="14" t="n">
        <f aca="false">L42-L41</f>
        <v>23.863862457705</v>
      </c>
    </row>
    <row r="43" customFormat="false" ht="15" hidden="false" customHeight="false" outlineLevel="0" collapsed="false">
      <c r="A43" s="11" t="n">
        <v>46064</v>
      </c>
      <c r="B43" s="12" t="s">
        <v>53</v>
      </c>
      <c r="C43" s="13" t="n">
        <v>0.0482496551656969</v>
      </c>
      <c r="D43" s="13" t="n">
        <v>0.0587332738679741</v>
      </c>
      <c r="E43" s="13" t="n">
        <v>0.058733216985626</v>
      </c>
      <c r="F43" s="13" t="n">
        <v>0.0503414233741136</v>
      </c>
      <c r="G43" s="13" t="n">
        <v>0.0506770026800734</v>
      </c>
      <c r="H43" s="14" t="n">
        <f aca="false">H42*(1+C43)</f>
        <v>1567.15772795168</v>
      </c>
      <c r="I43" s="14" t="n">
        <f aca="false">I42*(1+D43)</f>
        <v>1595.85009178922</v>
      </c>
      <c r="J43" s="14" t="n">
        <f aca="false">J42*(1+E43)</f>
        <v>1580.40420914492</v>
      </c>
      <c r="K43" s="14" t="n">
        <f aca="false">K42*(1+F43)</f>
        <v>1507.74476107359</v>
      </c>
      <c r="L43" s="14" t="n">
        <f aca="false">L42*(1+G43)</f>
        <v>1567.74631890468</v>
      </c>
      <c r="M43" s="14" t="n">
        <f aca="false">H43-H42</f>
        <v>72.134361877728</v>
      </c>
      <c r="N43" s="14" t="n">
        <f aca="false">I43-I42</f>
        <v>88.5298524253012</v>
      </c>
      <c r="O43" s="14" t="n">
        <f aca="false">J43-J42</f>
        <v>87.6729112221342</v>
      </c>
      <c r="P43" s="14" t="n">
        <f aca="false">K43-K42</f>
        <v>72.264137801478</v>
      </c>
      <c r="Q43" s="14" t="n">
        <f aca="false">L43-L42</f>
        <v>75.6166587849066</v>
      </c>
    </row>
    <row r="44" customFormat="false" ht="15" hidden="false" customHeight="false" outlineLevel="0" collapsed="false">
      <c r="A44" s="11" t="n">
        <v>46065</v>
      </c>
      <c r="B44" s="12" t="s">
        <v>47</v>
      </c>
      <c r="C44" s="13" t="n">
        <v>-0.00892025089212944</v>
      </c>
      <c r="D44" s="13" t="n">
        <v>-0.00947746478387729</v>
      </c>
      <c r="E44" s="13" t="n">
        <v>-0.00947746431558433</v>
      </c>
      <c r="F44" s="13" t="n">
        <v>-0.0132713990931576</v>
      </c>
      <c r="G44" s="13" t="n">
        <v>-0.00981465374943319</v>
      </c>
      <c r="H44" s="14" t="n">
        <f aca="false">H43*(1+C44)</f>
        <v>1553.17828783081</v>
      </c>
      <c r="I44" s="14" t="n">
        <f aca="false">I43*(1+D44)</f>
        <v>1580.72547874394</v>
      </c>
      <c r="J44" s="14" t="n">
        <f aca="false">J43*(1+E44)</f>
        <v>1565.42598464855</v>
      </c>
      <c r="K44" s="14" t="n">
        <f aca="false">K43*(1+F44)</f>
        <v>1487.73487861876</v>
      </c>
      <c r="L44" s="14" t="n">
        <f aca="false">L43*(1+G44)</f>
        <v>1552.35943161768</v>
      </c>
      <c r="M44" s="14" t="n">
        <f aca="false">H44-H43</f>
        <v>-13.9794401208685</v>
      </c>
      <c r="N44" s="14" t="n">
        <f aca="false">I44-I43</f>
        <v>-15.1246130452798</v>
      </c>
      <c r="O44" s="14" t="n">
        <f aca="false">J44-J43</f>
        <v>-14.9782244963703</v>
      </c>
      <c r="P44" s="14" t="n">
        <f aca="false">K44-K43</f>
        <v>-20.0098824548252</v>
      </c>
      <c r="Q44" s="14" t="n">
        <f aca="false">L44-L43</f>
        <v>-15.386887286998</v>
      </c>
    </row>
    <row r="45" customFormat="false" ht="15" hidden="false" customHeight="false" outlineLevel="0" collapsed="false">
      <c r="A45" s="11" t="n">
        <v>46066</v>
      </c>
      <c r="B45" s="12" t="s">
        <v>48</v>
      </c>
      <c r="C45" s="13" t="n">
        <v>-0.0265056175968695</v>
      </c>
      <c r="D45" s="13" t="n">
        <v>-0.0274199807840591</v>
      </c>
      <c r="E45" s="13" t="n">
        <v>-0.0324918055897735</v>
      </c>
      <c r="F45" s="13" t="n">
        <v>-0.0297364621495163</v>
      </c>
      <c r="G45" s="13" t="n">
        <v>-0.0249114746707115</v>
      </c>
      <c r="H45" s="14" t="n">
        <f aca="false">H44*(1+C45)</f>
        <v>1512.01033807381</v>
      </c>
      <c r="I45" s="14" t="n">
        <f aca="false">I44*(1+D45)</f>
        <v>1537.3820164919</v>
      </c>
      <c r="J45" s="14" t="n">
        <f aca="false">J44*(1+E45)</f>
        <v>1514.56246789017</v>
      </c>
      <c r="K45" s="14" t="n">
        <f aca="false">K44*(1+F45)</f>
        <v>1443.4949067122</v>
      </c>
      <c r="L45" s="14" t="n">
        <f aca="false">L44*(1+G45)</f>
        <v>1513.6878689571</v>
      </c>
      <c r="M45" s="14" t="n">
        <f aca="false">H45-H44</f>
        <v>-41.167949757004</v>
      </c>
      <c r="N45" s="14" t="n">
        <f aca="false">I45-I44</f>
        <v>-43.3434622520313</v>
      </c>
      <c r="O45" s="14" t="n">
        <f aca="false">J45-J44</f>
        <v>-50.8635167583805</v>
      </c>
      <c r="P45" s="14" t="n">
        <f aca="false">K45-K44</f>
        <v>-44.239971906562</v>
      </c>
      <c r="Q45" s="14" t="n">
        <f aca="false">L45-L44</f>
        <v>-38.671562660584</v>
      </c>
    </row>
    <row r="46" customFormat="false" ht="15" hidden="false" customHeight="false" outlineLevel="0" collapsed="false">
      <c r="A46" s="11" t="n">
        <v>46067</v>
      </c>
      <c r="B46" s="12" t="s">
        <v>49</v>
      </c>
      <c r="C46" s="13" t="n">
        <v>-0.0315343283469372</v>
      </c>
      <c r="D46" s="13" t="n">
        <v>-0.0275076534074019</v>
      </c>
      <c r="E46" s="13" t="n">
        <v>-0.024985248044116</v>
      </c>
      <c r="F46" s="13" t="n">
        <v>-0.0373042000165847</v>
      </c>
      <c r="G46" s="13" t="n">
        <v>-0.0385661433671243</v>
      </c>
      <c r="H46" s="14" t="n">
        <f aca="false">H45*(1+C46)</f>
        <v>1464.33010760903</v>
      </c>
      <c r="I46" s="14" t="n">
        <f aca="false">I45*(1+D46)</f>
        <v>1495.09224482747</v>
      </c>
      <c r="J46" s="14" t="n">
        <f aca="false">J45*(1+E46)</f>
        <v>1476.72074895162</v>
      </c>
      <c r="K46" s="14" t="n">
        <f aca="false">K45*(1+F46)</f>
        <v>1389.64648398929</v>
      </c>
      <c r="L46" s="14" t="n">
        <f aca="false">L45*(1+G46)</f>
        <v>1455.31076558982</v>
      </c>
      <c r="M46" s="14" t="n">
        <f aca="false">H46-H45</f>
        <v>-47.6802304647829</v>
      </c>
      <c r="N46" s="14" t="n">
        <f aca="false">I46-I45</f>
        <v>-42.289771664432</v>
      </c>
      <c r="O46" s="14" t="n">
        <f aca="false">J46-J45</f>
        <v>-37.8417189385443</v>
      </c>
      <c r="P46" s="14" t="n">
        <f aca="false">K46-K45</f>
        <v>-53.8484227229133</v>
      </c>
      <c r="Q46" s="14" t="n">
        <f aca="false">L46-L45</f>
        <v>-58.3771033672763</v>
      </c>
    </row>
    <row r="47" customFormat="false" ht="15" hidden="false" customHeight="false" outlineLevel="0" collapsed="false">
      <c r="A47" s="11" t="n">
        <v>46068</v>
      </c>
      <c r="B47" s="12" t="s">
        <v>50</v>
      </c>
      <c r="C47" s="13" t="n">
        <v>0.0235789930953475</v>
      </c>
      <c r="D47" s="13" t="n">
        <v>0.0212630073240013</v>
      </c>
      <c r="E47" s="13" t="n">
        <v>0.0254417143466133</v>
      </c>
      <c r="F47" s="13" t="n">
        <v>0.0275547547038422</v>
      </c>
      <c r="G47" s="13" t="n">
        <v>0.0261725912344216</v>
      </c>
      <c r="H47" s="14" t="n">
        <f aca="false">H46*(1+C47)</f>
        <v>1498.85753710565</v>
      </c>
      <c r="I47" s="14" t="n">
        <f aca="false">I46*(1+D47)</f>
        <v>1526.8824021793</v>
      </c>
      <c r="J47" s="14" t="n">
        <f aca="false">J46*(1+E47)</f>
        <v>1514.29105641617</v>
      </c>
      <c r="K47" s="14" t="n">
        <f aca="false">K46*(1+F47)</f>
        <v>1427.93785198067</v>
      </c>
      <c r="L47" s="14" t="n">
        <f aca="false">L46*(1+G47)</f>
        <v>1493.40001937666</v>
      </c>
      <c r="M47" s="14" t="n">
        <f aca="false">H47-H46</f>
        <v>34.5274294966225</v>
      </c>
      <c r="N47" s="14" t="n">
        <f aca="false">I47-I46</f>
        <v>31.7901573518241</v>
      </c>
      <c r="O47" s="14" t="n">
        <f aca="false">J47-J46</f>
        <v>37.5703074645439</v>
      </c>
      <c r="P47" s="14" t="n">
        <f aca="false">K47-K46</f>
        <v>38.2913679913816</v>
      </c>
      <c r="Q47" s="14" t="n">
        <f aca="false">L47-L46</f>
        <v>38.0892537868358</v>
      </c>
    </row>
    <row r="48" customFormat="false" ht="15" hidden="false" customHeight="false" outlineLevel="0" collapsed="false">
      <c r="A48" s="11" t="n">
        <v>46069</v>
      </c>
      <c r="B48" s="12" t="s">
        <v>51</v>
      </c>
      <c r="C48" s="13" t="n">
        <v>-0.0122275523784506</v>
      </c>
      <c r="D48" s="13" t="n">
        <v>-0.000299223834329862</v>
      </c>
      <c r="E48" s="13" t="n">
        <v>-0.00964621254763187</v>
      </c>
      <c r="F48" s="13" t="n">
        <v>-0.00764259550549712</v>
      </c>
      <c r="G48" s="13" t="n">
        <v>-0.00133872211012698</v>
      </c>
      <c r="H48" s="14" t="n">
        <f aca="false">H47*(1+C48)</f>
        <v>1480.53017806285</v>
      </c>
      <c r="I48" s="14" t="n">
        <f aca="false">I47*(1+D48)</f>
        <v>1526.42552257235</v>
      </c>
      <c r="J48" s="14" t="n">
        <f aca="false">J47*(1+E48)</f>
        <v>1499.683883027</v>
      </c>
      <c r="K48" s="14" t="n">
        <f aca="false">K47*(1+F48)</f>
        <v>1417.02470057099</v>
      </c>
      <c r="L48" s="14" t="n">
        <f aca="false">L47*(1+G48)</f>
        <v>1491.40077175145</v>
      </c>
      <c r="M48" s="14" t="n">
        <f aca="false">H48-H47</f>
        <v>-18.3273590427948</v>
      </c>
      <c r="N48" s="14" t="n">
        <f aca="false">I48-I47</f>
        <v>-0.456879606950906</v>
      </c>
      <c r="O48" s="14" t="n">
        <f aca="false">J48-J47</f>
        <v>-14.6071733891683</v>
      </c>
      <c r="P48" s="14" t="n">
        <f aca="false">K48-K47</f>
        <v>-10.9131514096766</v>
      </c>
      <c r="Q48" s="14" t="n">
        <f aca="false">L48-L47</f>
        <v>-1.99924762520368</v>
      </c>
    </row>
    <row r="49" customFormat="false" ht="15" hidden="false" customHeight="false" outlineLevel="0" collapsed="false">
      <c r="A49" s="11" t="n">
        <v>46070</v>
      </c>
      <c r="B49" s="12" t="s">
        <v>52</v>
      </c>
      <c r="C49" s="13" t="n">
        <v>-0.00623778768522643</v>
      </c>
      <c r="D49" s="13" t="n">
        <v>-0.00319260927985427</v>
      </c>
      <c r="E49" s="13" t="n">
        <v>-0.00492844293850636</v>
      </c>
      <c r="F49" s="13" t="n">
        <v>-0.00201298261811966</v>
      </c>
      <c r="G49" s="13" t="n">
        <v>-0.0014851476703372</v>
      </c>
      <c r="H49" s="14" t="n">
        <f aca="false">H48*(1+C49)</f>
        <v>1471.29494515053</v>
      </c>
      <c r="I49" s="14" t="n">
        <f aca="false">I48*(1+D49)</f>
        <v>1521.55224228397</v>
      </c>
      <c r="J49" s="14" t="n">
        <f aca="false">J48*(1+E49)</f>
        <v>1492.2927765837</v>
      </c>
      <c r="K49" s="14" t="n">
        <f aca="false">K48*(1+F49)</f>
        <v>1414.1722544793</v>
      </c>
      <c r="L49" s="14" t="n">
        <f aca="false">L48*(1+G49)</f>
        <v>1489.18582136975</v>
      </c>
      <c r="M49" s="14" t="n">
        <f aca="false">H49-H48</f>
        <v>-9.23523291232664</v>
      </c>
      <c r="N49" s="14" t="n">
        <f aca="false">I49-I48</f>
        <v>-4.87328028837101</v>
      </c>
      <c r="O49" s="14" t="n">
        <f aca="false">J49-J48</f>
        <v>-7.39110644329617</v>
      </c>
      <c r="P49" s="14" t="n">
        <f aca="false">K49-K48</f>
        <v>-2.85244609169558</v>
      </c>
      <c r="Q49" s="14" t="n">
        <f aca="false">L49-L48</f>
        <v>-2.21495038170588</v>
      </c>
    </row>
    <row r="50" customFormat="false" ht="15" hidden="false" customHeight="false" outlineLevel="0" collapsed="false">
      <c r="A50" s="11" t="n">
        <v>46071</v>
      </c>
      <c r="B50" s="12" t="s">
        <v>53</v>
      </c>
      <c r="C50" s="13" t="n">
        <v>-0.00950042959860503</v>
      </c>
      <c r="D50" s="13" t="n">
        <v>-0.0126246278244117</v>
      </c>
      <c r="E50" s="13" t="n">
        <v>-0.0129238069223349</v>
      </c>
      <c r="F50" s="13" t="n">
        <v>-0.00536140953733744</v>
      </c>
      <c r="G50" s="13" t="n">
        <v>-0.00718707570466043</v>
      </c>
      <c r="H50" s="14" t="n">
        <f aca="false">H49*(1+C50)</f>
        <v>1457.31701110534</v>
      </c>
      <c r="I50" s="14" t="n">
        <f aca="false">I49*(1+D50)</f>
        <v>1502.34321150974</v>
      </c>
      <c r="J50" s="14" t="n">
        <f aca="false">J49*(1+E50)</f>
        <v>1473.00667286754</v>
      </c>
      <c r="K50" s="14" t="n">
        <f aca="false">K49*(1+F50)</f>
        <v>1406.59029786669</v>
      </c>
      <c r="L50" s="14" t="n">
        <f aca="false">L49*(1+G50)</f>
        <v>1478.48293013326</v>
      </c>
      <c r="M50" s="14" t="n">
        <f aca="false">H50-H49</f>
        <v>-13.977934045186</v>
      </c>
      <c r="N50" s="14" t="n">
        <f aca="false">I50-I49</f>
        <v>-19.2090307742344</v>
      </c>
      <c r="O50" s="14" t="n">
        <f aca="false">J50-J49</f>
        <v>-19.2861037161629</v>
      </c>
      <c r="P50" s="14" t="n">
        <f aca="false">K50-K49</f>
        <v>-7.58195661260334</v>
      </c>
      <c r="Q50" s="14" t="n">
        <f aca="false">L50-L49</f>
        <v>-10.7028912364913</v>
      </c>
    </row>
    <row r="51" customFormat="false" ht="15" hidden="false" customHeight="false" outlineLevel="0" collapsed="false">
      <c r="A51" s="11" t="n">
        <v>46072</v>
      </c>
      <c r="B51" s="12" t="s">
        <v>47</v>
      </c>
      <c r="C51" s="13" t="n">
        <v>-0.0040208853928897</v>
      </c>
      <c r="D51" s="13" t="n">
        <v>-0.00511473536204656</v>
      </c>
      <c r="E51" s="13" t="n">
        <v>-0.00511048279292138</v>
      </c>
      <c r="F51" s="13" t="n">
        <v>-0.00320636929599583</v>
      </c>
      <c r="G51" s="13" t="n">
        <v>-0.00415870267862328</v>
      </c>
      <c r="H51" s="14" t="n">
        <f aca="false">H50*(1+C51)</f>
        <v>1451.45730642258</v>
      </c>
      <c r="I51" s="14" t="n">
        <f aca="false">I50*(1+D51)</f>
        <v>1494.6591235599</v>
      </c>
      <c r="J51" s="14" t="n">
        <f aca="false">J50*(1+E51)</f>
        <v>1465.47889761199</v>
      </c>
      <c r="K51" s="14" t="n">
        <f aca="false">K50*(1+F51)</f>
        <v>1402.08024992357</v>
      </c>
      <c r="L51" s="14" t="n">
        <f aca="false">L50*(1+G51)</f>
        <v>1472.33435921141</v>
      </c>
      <c r="M51" s="14" t="n">
        <f aca="false">H51-H50</f>
        <v>-5.8597046827631</v>
      </c>
      <c r="N51" s="14" t="n">
        <f aca="false">I51-I50</f>
        <v>-7.68408794983952</v>
      </c>
      <c r="O51" s="14" t="n">
        <f aca="false">J51-J50</f>
        <v>-7.52777525554802</v>
      </c>
      <c r="P51" s="14" t="n">
        <f aca="false">K51-K50</f>
        <v>-4.5100479431253</v>
      </c>
      <c r="Q51" s="14" t="n">
        <f aca="false">L51-L50</f>
        <v>-6.14857092184388</v>
      </c>
    </row>
    <row r="52" customFormat="false" ht="15" hidden="false" customHeight="false" outlineLevel="0" collapsed="false">
      <c r="A52" s="11" t="n">
        <v>46073</v>
      </c>
      <c r="B52" s="12" t="s">
        <v>48</v>
      </c>
      <c r="C52" s="13" t="n">
        <v>0.0201776945055254</v>
      </c>
      <c r="D52" s="13" t="n">
        <v>0.0212341762069821</v>
      </c>
      <c r="E52" s="13" t="n">
        <v>0.021235074524359</v>
      </c>
      <c r="F52" s="13" t="n">
        <v>0.0191824497350926</v>
      </c>
      <c r="G52" s="13" t="n">
        <v>0.0161207707551866</v>
      </c>
      <c r="H52" s="14" t="n">
        <f aca="false">H51*(1+C52)</f>
        <v>1480.74436853939</v>
      </c>
      <c r="I52" s="14" t="n">
        <f aca="false">I51*(1+D52)</f>
        <v>1526.39697875895</v>
      </c>
      <c r="J52" s="14" t="n">
        <f aca="false">J51*(1+E52)</f>
        <v>1496.59845121666</v>
      </c>
      <c r="K52" s="14" t="n">
        <f aca="false">K51*(1+F52)</f>
        <v>1428.97558384229</v>
      </c>
      <c r="L52" s="14" t="n">
        <f aca="false">L51*(1+G52)</f>
        <v>1496.06952389124</v>
      </c>
      <c r="M52" s="14" t="n">
        <f aca="false">H52-H51</f>
        <v>29.2870621168076</v>
      </c>
      <c r="N52" s="14" t="n">
        <f aca="false">I52-I51</f>
        <v>31.7378551990444</v>
      </c>
      <c r="O52" s="14" t="n">
        <f aca="false">J52-J51</f>
        <v>31.1195536046662</v>
      </c>
      <c r="P52" s="14" t="n">
        <f aca="false">K52-K51</f>
        <v>26.8953339187249</v>
      </c>
      <c r="Q52" s="14" t="n">
        <f aca="false">L52-L51</f>
        <v>23.7351646798318</v>
      </c>
    </row>
    <row r="53" customFormat="false" ht="15" hidden="false" customHeight="false" outlineLevel="0" collapsed="false">
      <c r="A53" s="11" t="n">
        <v>46074</v>
      </c>
      <c r="B53" s="12" t="s">
        <v>49</v>
      </c>
      <c r="C53" s="13" t="n">
        <v>-0.0037041759727196</v>
      </c>
      <c r="D53" s="13" t="n">
        <v>-0.00459120548955055</v>
      </c>
      <c r="E53" s="13" t="n">
        <v>-0.00459091289794526</v>
      </c>
      <c r="F53" s="13" t="n">
        <v>0.00493834003044513</v>
      </c>
      <c r="G53" s="13" t="n">
        <v>-0.00929398273964521</v>
      </c>
      <c r="H53" s="14" t="n">
        <f aca="false">H52*(1+C53)</f>
        <v>1475.2594308277</v>
      </c>
      <c r="I53" s="14" t="n">
        <f aca="false">I52*(1+D53)</f>
        <v>1519.38897657083</v>
      </c>
      <c r="J53" s="14" t="n">
        <f aca="false">J52*(1+E53)</f>
        <v>1489.72769808392</v>
      </c>
      <c r="K53" s="14" t="n">
        <f aca="false">K52*(1+F53)</f>
        <v>1436.03235117051</v>
      </c>
      <c r="L53" s="14" t="n">
        <f aca="false">L52*(1+G53)</f>
        <v>1482.16507955889</v>
      </c>
      <c r="M53" s="14" t="n">
        <f aca="false">H53-H52</f>
        <v>-5.48493771168342</v>
      </c>
      <c r="N53" s="14" t="n">
        <f aca="false">I53-I52</f>
        <v>-7.00800218811128</v>
      </c>
      <c r="O53" s="14" t="n">
        <f aca="false">J53-J52</f>
        <v>-6.87075313273544</v>
      </c>
      <c r="P53" s="14" t="n">
        <f aca="false">K53-K52</f>
        <v>7.05676732821735</v>
      </c>
      <c r="Q53" s="14" t="n">
        <f aca="false">L53-L52</f>
        <v>-13.9044443323544</v>
      </c>
    </row>
    <row r="54" customFormat="false" ht="15" hidden="false" customHeight="false" outlineLevel="0" collapsed="false">
      <c r="A54" s="11" t="n">
        <v>46075</v>
      </c>
      <c r="B54" s="12" t="s">
        <v>50</v>
      </c>
      <c r="C54" s="13" t="n">
        <v>0.00575424726548302</v>
      </c>
      <c r="D54" s="13" t="n">
        <v>0.00365035728133601</v>
      </c>
      <c r="E54" s="13" t="n">
        <v>0.00365084016863481</v>
      </c>
      <c r="F54" s="13" t="n">
        <v>0.00582987454396622</v>
      </c>
      <c r="G54" s="13" t="n">
        <v>0.00248830130954747</v>
      </c>
      <c r="H54" s="14" t="n">
        <f aca="false">H53*(1+C54)</f>
        <v>1483.74843837342</v>
      </c>
      <c r="I54" s="14" t="n">
        <f aca="false">I53*(1+D54)</f>
        <v>1524.93528918464</v>
      </c>
      <c r="J54" s="14" t="n">
        <f aca="false">J53*(1+E54)</f>
        <v>1495.16645580442</v>
      </c>
      <c r="K54" s="14" t="n">
        <f aca="false">K53*(1+F54)</f>
        <v>1444.40423961891</v>
      </c>
      <c r="L54" s="14" t="n">
        <f aca="false">L53*(1+G54)</f>
        <v>1485.85315286732</v>
      </c>
      <c r="M54" s="14" t="n">
        <f aca="false">H54-H53</f>
        <v>8.48900754571832</v>
      </c>
      <c r="N54" s="14" t="n">
        <f aca="false">I54-I53</f>
        <v>5.546312613807</v>
      </c>
      <c r="O54" s="14" t="n">
        <f aca="false">J54-J53</f>
        <v>5.43875772049273</v>
      </c>
      <c r="P54" s="14" t="n">
        <f aca="false">K54-K53</f>
        <v>8.37188844840102</v>
      </c>
      <c r="Q54" s="14" t="n">
        <f aca="false">L54-L53</f>
        <v>3.68807330843174</v>
      </c>
    </row>
    <row r="55" customFormat="false" ht="15" hidden="false" customHeight="false" outlineLevel="0" collapsed="false">
      <c r="A55" s="11" t="n">
        <v>46076</v>
      </c>
      <c r="B55" s="12" t="s">
        <v>51</v>
      </c>
      <c r="C55" s="13" t="n">
        <v>0.016804647675924</v>
      </c>
      <c r="D55" s="13" t="n">
        <v>0.023516275434643</v>
      </c>
      <c r="E55" s="13" t="n">
        <v>0.0235161529146092</v>
      </c>
      <c r="F55" s="13" t="n">
        <v>0.0237449323210904</v>
      </c>
      <c r="G55" s="13" t="n">
        <v>0.0288350947568034</v>
      </c>
      <c r="H55" s="14" t="n">
        <f aca="false">H54*(1+C55)</f>
        <v>1508.68230811999</v>
      </c>
      <c r="I55" s="14" t="n">
        <f aca="false">I54*(1+D55)</f>
        <v>1560.79608746511</v>
      </c>
      <c r="J55" s="14" t="n">
        <f aca="false">J54*(1+E55)</f>
        <v>1530.32701881191</v>
      </c>
      <c r="K55" s="14" t="n">
        <f aca="false">K54*(1+F55)</f>
        <v>1478.70152053296</v>
      </c>
      <c r="L55" s="14" t="n">
        <f aca="false">L54*(1+G55)</f>
        <v>1528.69786932494</v>
      </c>
      <c r="M55" s="14" t="n">
        <f aca="false">H55-H54</f>
        <v>24.9338697465678</v>
      </c>
      <c r="N55" s="14" t="n">
        <f aca="false">I55-I54</f>
        <v>35.8607982804729</v>
      </c>
      <c r="O55" s="14" t="n">
        <f aca="false">J55-J54</f>
        <v>35.160563007491</v>
      </c>
      <c r="P55" s="14" t="n">
        <f aca="false">K55-K54</f>
        <v>34.297280914047</v>
      </c>
      <c r="Q55" s="14" t="n">
        <f aca="false">L55-L54</f>
        <v>42.8447164576244</v>
      </c>
    </row>
    <row r="56" customFormat="false" ht="15" hidden="false" customHeight="false" outlineLevel="0" collapsed="false">
      <c r="A56" s="11" t="n">
        <v>46077</v>
      </c>
      <c r="B56" s="12" t="s">
        <v>52</v>
      </c>
      <c r="C56" s="13" t="n">
        <v>0.0789029016099136</v>
      </c>
      <c r="D56" s="13" t="n">
        <v>0.0906999356080284</v>
      </c>
      <c r="E56" s="13" t="n">
        <v>0.0905380062456757</v>
      </c>
      <c r="F56" s="13" t="n">
        <v>0.0680633330885572</v>
      </c>
      <c r="G56" s="13" t="n">
        <v>0.0796373095239078</v>
      </c>
      <c r="H56" s="14" t="n">
        <f aca="false">H55*(1+C56)</f>
        <v>1627.7217198382</v>
      </c>
      <c r="I56" s="14" t="n">
        <f aca="false">I55*(1+D56)</f>
        <v>1702.36019209546</v>
      </c>
      <c r="J56" s="14" t="n">
        <f aca="false">J55*(1+E56)</f>
        <v>1668.87977599903</v>
      </c>
      <c r="K56" s="14" t="n">
        <f aca="false">K55*(1+F56)</f>
        <v>1579.34687466355</v>
      </c>
      <c r="L56" s="14" t="n">
        <f aca="false">L55*(1+G56)</f>
        <v>1650.43925471291</v>
      </c>
      <c r="M56" s="14" t="n">
        <f aca="false">H56-H55</f>
        <v>119.039411718209</v>
      </c>
      <c r="N56" s="14" t="n">
        <f aca="false">I56-I55</f>
        <v>141.564104630349</v>
      </c>
      <c r="O56" s="14" t="n">
        <f aca="false">J56-J55</f>
        <v>138.552757187119</v>
      </c>
      <c r="P56" s="14" t="n">
        <f aca="false">K56-K55</f>
        <v>100.645354130591</v>
      </c>
      <c r="Q56" s="14" t="n">
        <f aca="false">L56-L55</f>
        <v>121.741385387969</v>
      </c>
    </row>
    <row r="57" customFormat="false" ht="15" hidden="false" customHeight="false" outlineLevel="0" collapsed="false">
      <c r="A57" s="11" t="n">
        <v>46078</v>
      </c>
      <c r="B57" s="12" t="s">
        <v>53</v>
      </c>
      <c r="C57" s="13" t="n">
        <v>-0.011448585491481</v>
      </c>
      <c r="D57" s="13" t="n">
        <v>-0.0139301298242643</v>
      </c>
      <c r="E57" s="13" t="n">
        <v>-0.0139310492278872</v>
      </c>
      <c r="F57" s="13" t="n">
        <v>-0.0163737285701186</v>
      </c>
      <c r="G57" s="13" t="n">
        <v>-0.0151844283073476</v>
      </c>
      <c r="H57" s="14" t="n">
        <f aca="false">H56*(1+C57)</f>
        <v>1609.08660857229</v>
      </c>
      <c r="I57" s="14" t="n">
        <f aca="false">I56*(1+D57)</f>
        <v>1678.64609361191</v>
      </c>
      <c r="J57" s="14" t="n">
        <f aca="false">J56*(1+E57)</f>
        <v>1645.63052968416</v>
      </c>
      <c r="K57" s="14" t="n">
        <f aca="false">K56*(1+F57)</f>
        <v>1553.48707761974</v>
      </c>
      <c r="L57" s="14" t="n">
        <f aca="false">L56*(1+G57)</f>
        <v>1625.37827817409</v>
      </c>
      <c r="M57" s="14" t="n">
        <f aca="false">H57-H56</f>
        <v>-18.6351112659081</v>
      </c>
      <c r="N57" s="14" t="n">
        <f aca="false">I57-I56</f>
        <v>-23.7140984835494</v>
      </c>
      <c r="O57" s="14" t="n">
        <f aca="false">J57-J56</f>
        <v>-23.2492463148678</v>
      </c>
      <c r="P57" s="14" t="n">
        <f aca="false">K57-K56</f>
        <v>-25.8597970438061</v>
      </c>
      <c r="Q57" s="14" t="n">
        <f aca="false">L57-L56</f>
        <v>-25.0609765388203</v>
      </c>
    </row>
    <row r="58" customFormat="false" ht="15" hidden="false" customHeight="false" outlineLevel="0" collapsed="false">
      <c r="A58" s="11" t="n">
        <v>46079</v>
      </c>
      <c r="B58" s="12" t="s">
        <v>47</v>
      </c>
      <c r="C58" s="13" t="n">
        <v>0.0325610067634164</v>
      </c>
      <c r="D58" s="13" t="n">
        <v>0.0437615545020141</v>
      </c>
      <c r="E58" s="13" t="n">
        <v>0.0418018118194625</v>
      </c>
      <c r="F58" s="13" t="n">
        <v>0.0249907860686285</v>
      </c>
      <c r="G58" s="13" t="n">
        <v>0.0427657254341579</v>
      </c>
      <c r="H58" s="14" t="n">
        <f aca="false">H57*(1+C58)</f>
        <v>1661.48008851693</v>
      </c>
      <c r="I58" s="14" t="n">
        <f aca="false">I57*(1+D58)</f>
        <v>1752.1062561271</v>
      </c>
      <c r="J58" s="14" t="n">
        <f aca="false">J57*(1+E58)</f>
        <v>1714.42086741038</v>
      </c>
      <c r="K58" s="14" t="n">
        <f aca="false">K57*(1+F58)</f>
        <v>1592.30994083692</v>
      </c>
      <c r="L58" s="14" t="n">
        <f aca="false">L57*(1+G58)</f>
        <v>1694.88875934513</v>
      </c>
      <c r="M58" s="14" t="n">
        <f aca="false">H58-H57</f>
        <v>52.3934799446449</v>
      </c>
      <c r="N58" s="14" t="n">
        <f aca="false">I58-I57</f>
        <v>73.4601625151906</v>
      </c>
      <c r="O58" s="14" t="n">
        <f aca="false">J58-J57</f>
        <v>68.7903377262196</v>
      </c>
      <c r="P58" s="14" t="n">
        <f aca="false">K58-K57</f>
        <v>38.8228632171738</v>
      </c>
      <c r="Q58" s="14" t="n">
        <f aca="false">L58-L57</f>
        <v>69.5104811710373</v>
      </c>
    </row>
    <row r="59" customFormat="false" ht="15" hidden="false" customHeight="false" outlineLevel="0" collapsed="false">
      <c r="A59" s="11" t="n">
        <v>46080</v>
      </c>
      <c r="B59" s="12" t="s">
        <v>48</v>
      </c>
      <c r="C59" s="13" t="n">
        <v>-0.0109957729763374</v>
      </c>
      <c r="D59" s="13" t="n">
        <v>-0.013849108832463</v>
      </c>
      <c r="E59" s="13" t="n">
        <v>-0.0136265562668925</v>
      </c>
      <c r="F59" s="13" t="n">
        <v>-0.00844139868011234</v>
      </c>
      <c r="G59" s="13" t="n">
        <v>-0.0100184533571143</v>
      </c>
      <c r="H59" s="14" t="n">
        <f aca="false">H58*(1+C59)</f>
        <v>1643.2108306589</v>
      </c>
      <c r="I59" s="14" t="n">
        <f aca="false">I58*(1+D59)</f>
        <v>1727.84114589996</v>
      </c>
      <c r="J59" s="14" t="n">
        <f aca="false">J58*(1+E59)</f>
        <v>1691.05921499548</v>
      </c>
      <c r="K59" s="14" t="n">
        <f aca="false">K58*(1+F59)</f>
        <v>1578.86861780401</v>
      </c>
      <c r="L59" s="14" t="n">
        <f aca="false">L58*(1+G59)</f>
        <v>1677.90859536413</v>
      </c>
      <c r="M59" s="14" t="n">
        <f aca="false">H59-H58</f>
        <v>-18.269257858037</v>
      </c>
      <c r="N59" s="14" t="n">
        <f aca="false">I59-I58</f>
        <v>-24.2651102271434</v>
      </c>
      <c r="O59" s="14" t="n">
        <f aca="false">J59-J58</f>
        <v>-23.3616524149022</v>
      </c>
      <c r="P59" s="14" t="n">
        <f aca="false">K59-K58</f>
        <v>-13.4413230329105</v>
      </c>
      <c r="Q59" s="14" t="n">
        <f aca="false">L59-L58</f>
        <v>-16.9801639809964</v>
      </c>
    </row>
    <row r="60" customFormat="false" ht="15" hidden="false" customHeight="false" outlineLevel="0" collapsed="false">
      <c r="A60" s="11" t="n">
        <v>46081</v>
      </c>
      <c r="B60" s="12" t="s">
        <v>49</v>
      </c>
      <c r="C60" s="13" t="n">
        <v>0.00305071968218268</v>
      </c>
      <c r="D60" s="13" t="n">
        <v>0.00486622524715803</v>
      </c>
      <c r="E60" s="13" t="n">
        <v>0.00514631583132698</v>
      </c>
      <c r="F60" s="13" t="n">
        <v>0.0123394874412958</v>
      </c>
      <c r="G60" s="13" t="n">
        <v>0.00304001406277543</v>
      </c>
      <c r="H60" s="14" t="n">
        <f aca="false">H59*(1+C60)</f>
        <v>1648.22380628196</v>
      </c>
      <c r="I60" s="14" t="n">
        <f aca="false">I59*(1+D60)</f>
        <v>1736.24921010722</v>
      </c>
      <c r="J60" s="14" t="n">
        <f aca="false">J59*(1+E60)</f>
        <v>1699.76193980532</v>
      </c>
      <c r="K60" s="14" t="n">
        <f aca="false">K59*(1+F60)</f>
        <v>1598.35104728486</v>
      </c>
      <c r="L60" s="14" t="n">
        <f aca="false">L59*(1+G60)</f>
        <v>1683.00946109009</v>
      </c>
      <c r="M60" s="14" t="n">
        <f aca="false">H60-H59</f>
        <v>5.01297562306695</v>
      </c>
      <c r="N60" s="14" t="n">
        <f aca="false">I60-I59</f>
        <v>8.40806420725698</v>
      </c>
      <c r="O60" s="14" t="n">
        <f aca="false">J60-J59</f>
        <v>8.70272480984249</v>
      </c>
      <c r="P60" s="14" t="n">
        <f aca="false">K60-K59</f>
        <v>19.4824294808484</v>
      </c>
      <c r="Q60" s="14" t="n">
        <f aca="false">L60-L59</f>
        <v>5.10086572595856</v>
      </c>
    </row>
    <row r="61" customFormat="false" ht="15" hidden="false" customHeight="false" outlineLevel="0" collapsed="false">
      <c r="A61" s="11" t="n">
        <v>46082</v>
      </c>
      <c r="B61" s="12" t="s">
        <v>50</v>
      </c>
      <c r="C61" s="13" t="n">
        <v>0.014499082260664</v>
      </c>
      <c r="D61" s="13" t="n">
        <v>0.00931874134400275</v>
      </c>
      <c r="E61" s="13" t="n">
        <v>0.00985697841056525</v>
      </c>
      <c r="F61" s="13" t="n">
        <v>0.0119542201669655</v>
      </c>
      <c r="G61" s="13" t="n">
        <v>0.0100339676943151</v>
      </c>
      <c r="H61" s="14" t="n">
        <f aca="false">H60*(1+C61)</f>
        <v>1672.12153883323</v>
      </c>
      <c r="I61" s="14" t="n">
        <f aca="false">I60*(1+D61)</f>
        <v>1752.42886740494</v>
      </c>
      <c r="J61" s="14" t="n">
        <f aca="false">J60*(1+E61)</f>
        <v>1716.51645654908</v>
      </c>
      <c r="K61" s="14" t="n">
        <f aca="false">K60*(1+F61)</f>
        <v>1617.4580876082</v>
      </c>
      <c r="L61" s="14" t="n">
        <f aca="false">L60*(1+G61)</f>
        <v>1699.8967236519</v>
      </c>
      <c r="M61" s="14" t="n">
        <f aca="false">H61-H60</f>
        <v>23.8977325512672</v>
      </c>
      <c r="N61" s="14" t="n">
        <f aca="false">I61-I60</f>
        <v>16.1796572977182</v>
      </c>
      <c r="O61" s="14" t="n">
        <f aca="false">J61-J60</f>
        <v>16.7545167437615</v>
      </c>
      <c r="P61" s="14" t="n">
        <f aca="false">K61-K60</f>
        <v>19.1070403233432</v>
      </c>
      <c r="Q61" s="14" t="n">
        <f aca="false">L61-L60</f>
        <v>16.8872625618046</v>
      </c>
    </row>
    <row r="62" customFormat="false" ht="15" hidden="false" customHeight="false" outlineLevel="0" collapsed="false">
      <c r="A62" s="11" t="n">
        <v>46083</v>
      </c>
      <c r="B62" s="12" t="s">
        <v>51</v>
      </c>
      <c r="C62" s="13" t="n">
        <v>0.0743047873356721</v>
      </c>
      <c r="D62" s="13" t="n">
        <v>0.0830487070597915</v>
      </c>
      <c r="E62" s="13" t="n">
        <v>0.0830049073948914</v>
      </c>
      <c r="F62" s="13" t="n">
        <v>0.0675061068925849</v>
      </c>
      <c r="G62" s="13" t="n">
        <v>0.0700750156818758</v>
      </c>
      <c r="H62" s="14" t="n">
        <f aca="false">H61*(1+C62)</f>
        <v>1796.36817417563</v>
      </c>
      <c r="I62" s="14" t="n">
        <f aca="false">I61*(1+D62)</f>
        <v>1897.96581905717</v>
      </c>
      <c r="J62" s="14" t="n">
        <f aca="false">J61*(1+E62)</f>
        <v>1858.99574606674</v>
      </c>
      <c r="K62" s="14" t="n">
        <f aca="false">K61*(1+F62)</f>
        <v>1726.64638616455</v>
      </c>
      <c r="L62" s="14" t="n">
        <f aca="false">L61*(1+G62)</f>
        <v>1819.01701321937</v>
      </c>
      <c r="M62" s="14" t="n">
        <f aca="false">H62-H61</f>
        <v>124.2466353424</v>
      </c>
      <c r="N62" s="14" t="n">
        <f aca="false">I62-I61</f>
        <v>145.536951652234</v>
      </c>
      <c r="O62" s="14" t="n">
        <f aca="false">J62-J61</f>
        <v>142.479289517664</v>
      </c>
      <c r="P62" s="14" t="n">
        <f aca="false">K62-K61</f>
        <v>109.188298556355</v>
      </c>
      <c r="Q62" s="14" t="n">
        <f aca="false">L62-L61</f>
        <v>119.120289567476</v>
      </c>
    </row>
    <row r="63" customFormat="false" ht="15" hidden="false" customHeight="false" outlineLevel="0" collapsed="false">
      <c r="A63" s="11" t="n">
        <v>46084</v>
      </c>
      <c r="B63" s="12" t="s">
        <v>52</v>
      </c>
      <c r="C63" s="13" t="n">
        <v>-0.0315758085954156</v>
      </c>
      <c r="D63" s="13" t="n">
        <v>-0.0485268872653879</v>
      </c>
      <c r="E63" s="13" t="n">
        <v>-0.0359120049262291</v>
      </c>
      <c r="F63" s="13" t="n">
        <v>-0.0387343844074185</v>
      </c>
      <c r="G63" s="13" t="n">
        <v>-0.0408834032538679</v>
      </c>
      <c r="H63" s="14" t="n">
        <f aca="false">H62*(1+C63)</f>
        <v>1739.64639654097</v>
      </c>
      <c r="I63" s="14" t="n">
        <f aca="false">I62*(1+D63)</f>
        <v>1805.86344572222</v>
      </c>
      <c r="J63" s="14" t="n">
        <f aca="false">J62*(1+E63)</f>
        <v>1792.23548167616</v>
      </c>
      <c r="K63" s="14" t="n">
        <f aca="false">K62*(1+F63)</f>
        <v>1659.76580130718</v>
      </c>
      <c r="L63" s="14" t="n">
        <f aca="false">L62*(1+G63)</f>
        <v>1744.64940714228</v>
      </c>
      <c r="M63" s="14" t="n">
        <f aca="false">H63-H62</f>
        <v>-56.7217776346661</v>
      </c>
      <c r="N63" s="14" t="n">
        <f aca="false">I63-I62</f>
        <v>-92.1023733349468</v>
      </c>
      <c r="O63" s="14" t="n">
        <f aca="false">J63-J62</f>
        <v>-66.760264390588</v>
      </c>
      <c r="P63" s="14" t="n">
        <f aca="false">K63-K62</f>
        <v>-66.8805848573777</v>
      </c>
      <c r="Q63" s="14" t="n">
        <f aca="false">L63-L62</f>
        <v>-74.367606077094</v>
      </c>
    </row>
    <row r="64" customFormat="false" ht="15" hidden="false" customHeight="false" outlineLevel="0" collapsed="false">
      <c r="A64" s="11" t="n">
        <v>46085</v>
      </c>
      <c r="B64" s="12" t="s">
        <v>53</v>
      </c>
      <c r="C64" s="13" t="n">
        <v>-0.0073139883832678</v>
      </c>
      <c r="D64" s="13" t="n">
        <v>-0.00120032978979207</v>
      </c>
      <c r="E64" s="13" t="n">
        <v>-0.00101410735218655</v>
      </c>
      <c r="F64" s="13" t="n">
        <v>-0.00267649518907048</v>
      </c>
      <c r="G64" s="13" t="n">
        <v>-0.00426226841034999</v>
      </c>
      <c r="H64" s="14" t="n">
        <f aca="false">H63*(1+C64)</f>
        <v>1726.92264300567</v>
      </c>
      <c r="I64" s="14" t="n">
        <f aca="false">I63*(1+D64)</f>
        <v>1803.69581403203</v>
      </c>
      <c r="J64" s="14" t="n">
        <f aca="false">J63*(1+E64)</f>
        <v>1790.41796249734</v>
      </c>
      <c r="K64" s="14" t="n">
        <f aca="false">K63*(1+F64)</f>
        <v>1655.32344612499</v>
      </c>
      <c r="L64" s="14" t="n">
        <f aca="false">L63*(1+G64)</f>
        <v>1737.21324308708</v>
      </c>
      <c r="M64" s="14" t="n">
        <f aca="false">H64-H63</f>
        <v>-12.7237535352942</v>
      </c>
      <c r="N64" s="14" t="n">
        <f aca="false">I64-I63</f>
        <v>-2.16763169019691</v>
      </c>
      <c r="O64" s="14" t="n">
        <f aca="false">J64-J63</f>
        <v>-1.81751917881729</v>
      </c>
      <c r="P64" s="14" t="n">
        <f aca="false">K64-K63</f>
        <v>-4.44235518218238</v>
      </c>
      <c r="Q64" s="14" t="n">
        <f aca="false">L64-L63</f>
        <v>-7.43616405519833</v>
      </c>
    </row>
    <row r="65" customFormat="false" ht="15" hidden="false" customHeight="false" outlineLevel="0" collapsed="false">
      <c r="A65" s="11" t="n">
        <v>46086</v>
      </c>
      <c r="B65" s="12" t="s">
        <v>47</v>
      </c>
      <c r="C65" s="13" t="n">
        <v>0.0286706818576047</v>
      </c>
      <c r="D65" s="13" t="n">
        <v>0.0302341134687023</v>
      </c>
      <c r="E65" s="13" t="n">
        <v>0.0304215785219775</v>
      </c>
      <c r="F65" s="13" t="n">
        <v>0.0312908711760174</v>
      </c>
      <c r="G65" s="13" t="n">
        <v>0.0277689866391355</v>
      </c>
      <c r="H65" s="14" t="n">
        <f aca="false">H64*(1+C65)</f>
        <v>1776.43469269598</v>
      </c>
      <c r="I65" s="14" t="n">
        <f aca="false">I64*(1+D65)</f>
        <v>1858.22895793649</v>
      </c>
      <c r="J65" s="14" t="n">
        <f aca="false">J64*(1+E65)</f>
        <v>1844.88530313061</v>
      </c>
      <c r="K65" s="14" t="n">
        <f aca="false">K64*(1+F65)</f>
        <v>1707.11995883233</v>
      </c>
      <c r="L65" s="14" t="n">
        <f aca="false">L64*(1+G65)</f>
        <v>1785.4538944237</v>
      </c>
      <c r="M65" s="14" t="n">
        <f aca="false">H65-H64</f>
        <v>49.5120496903096</v>
      </c>
      <c r="N65" s="14" t="n">
        <f aca="false">I65-I64</f>
        <v>54.5331439044676</v>
      </c>
      <c r="O65" s="14" t="n">
        <f aca="false">J65-J64</f>
        <v>54.4673406332718</v>
      </c>
      <c r="P65" s="14" t="n">
        <f aca="false">K65-K64</f>
        <v>51.7965127073383</v>
      </c>
      <c r="Q65" s="14" t="n">
        <f aca="false">L65-L64</f>
        <v>48.2406513366145</v>
      </c>
    </row>
    <row r="66" customFormat="false" ht="15" hidden="false" customHeight="false" outlineLevel="0" collapsed="false">
      <c r="A66" s="11" t="n">
        <v>46087</v>
      </c>
      <c r="B66" s="12" t="s">
        <v>48</v>
      </c>
      <c r="C66" s="13" t="n">
        <v>-0.0133578633891062</v>
      </c>
      <c r="D66" s="13" t="n">
        <v>-0.0165650047476264</v>
      </c>
      <c r="E66" s="13" t="n">
        <v>-0.0163430806314611</v>
      </c>
      <c r="F66" s="13" t="n">
        <v>-0.0121668148273392</v>
      </c>
      <c r="G66" s="13" t="n">
        <v>-0.00736374490803843</v>
      </c>
      <c r="H66" s="14" t="n">
        <f aca="false">H65*(1+C66)</f>
        <v>1752.70532075128</v>
      </c>
      <c r="I66" s="14" t="n">
        <f aca="false">I65*(1+D66)</f>
        <v>1827.4473864261</v>
      </c>
      <c r="J66" s="14" t="n">
        <f aca="false">J65*(1+E66)</f>
        <v>1814.73419386575</v>
      </c>
      <c r="K66" s="14" t="n">
        <f aca="false">K65*(1+F66)</f>
        <v>1686.34974640516</v>
      </c>
      <c r="L66" s="14" t="n">
        <f aca="false">L65*(1+G66)</f>
        <v>1772.3062674001</v>
      </c>
      <c r="M66" s="14" t="n">
        <f aca="false">H66-H65</f>
        <v>-23.7293719447018</v>
      </c>
      <c r="N66" s="14" t="n">
        <f aca="false">I66-I65</f>
        <v>-30.781571510395</v>
      </c>
      <c r="O66" s="14" t="n">
        <f aca="false">J66-J65</f>
        <v>-30.1511092648611</v>
      </c>
      <c r="P66" s="14" t="n">
        <f aca="false">K66-K65</f>
        <v>-20.7702124271677</v>
      </c>
      <c r="Q66" s="14" t="n">
        <f aca="false">L66-L65</f>
        <v>-13.1476270235999</v>
      </c>
    </row>
    <row r="67" customFormat="false" ht="15" hidden="false" customHeight="false" outlineLevel="0" collapsed="false">
      <c r="A67" s="11" t="n">
        <v>46088</v>
      </c>
      <c r="B67" s="12" t="s">
        <v>49</v>
      </c>
      <c r="C67" s="13" t="n">
        <v>0.00739422244607069</v>
      </c>
      <c r="D67" s="13" t="n">
        <v>-0.00203845884586232</v>
      </c>
      <c r="E67" s="13" t="n">
        <v>-0.0021432610061469</v>
      </c>
      <c r="F67" s="13" t="n">
        <v>0.00181040154160828</v>
      </c>
      <c r="G67" s="13" t="n">
        <v>-0.000709976313662597</v>
      </c>
      <c r="H67" s="14" t="n">
        <f aca="false">H66*(1+C67)</f>
        <v>1765.66521377533</v>
      </c>
      <c r="I67" s="14" t="n">
        <f aca="false">I66*(1+D67)</f>
        <v>1823.72221013589</v>
      </c>
      <c r="J67" s="14" t="n">
        <f aca="false">J66*(1+E67)</f>
        <v>1810.84474483152</v>
      </c>
      <c r="K67" s="14" t="n">
        <f aca="false">K66*(1+F67)</f>
        <v>1689.40271658575</v>
      </c>
      <c r="L67" s="14" t="n">
        <f aca="false">L66*(1+G67)</f>
        <v>1771.04797192969</v>
      </c>
      <c r="M67" s="14" t="n">
        <f aca="false">H67-H66</f>
        <v>12.9598930240463</v>
      </c>
      <c r="N67" s="14" t="n">
        <f aca="false">I67-I66</f>
        <v>-3.72517629020831</v>
      </c>
      <c r="O67" s="14" t="n">
        <f aca="false">J67-J66</f>
        <v>-3.88944903423385</v>
      </c>
      <c r="P67" s="14" t="n">
        <f aca="false">K67-K66</f>
        <v>3.05297018058263</v>
      </c>
      <c r="Q67" s="14" t="n">
        <f aca="false">L67-L66</f>
        <v>-1.25829547040985</v>
      </c>
    </row>
    <row r="68" customFormat="false" ht="15" hidden="false" customHeight="false" outlineLevel="0" collapsed="false">
      <c r="A68" s="11" t="n">
        <v>46089</v>
      </c>
      <c r="B68" s="12" t="s">
        <v>50</v>
      </c>
      <c r="C68" s="13" t="n">
        <v>-0.00286376436935304</v>
      </c>
      <c r="D68" s="13" t="n">
        <v>-0.000526579262243695</v>
      </c>
      <c r="E68" s="13" t="n">
        <v>-0.000914839334351949</v>
      </c>
      <c r="F68" s="13" t="n">
        <v>0.00407043448893618</v>
      </c>
      <c r="G68" s="13" t="n">
        <v>0.000608981034187495</v>
      </c>
      <c r="H68" s="14" t="n">
        <f aca="false">H67*(1+C68)</f>
        <v>1760.60876464791</v>
      </c>
      <c r="I68" s="14" t="n">
        <f aca="false">I67*(1+D68)</f>
        <v>1822.76187583994</v>
      </c>
      <c r="J68" s="14" t="n">
        <f aca="false">J67*(1+E68)</f>
        <v>1809.18811283054</v>
      </c>
      <c r="K68" s="14" t="n">
        <f aca="false">K67*(1+F68)</f>
        <v>1696.27931966904</v>
      </c>
      <c r="L68" s="14" t="n">
        <f aca="false">L67*(1+G68)</f>
        <v>1772.12650655523</v>
      </c>
      <c r="M68" s="14" t="n">
        <f aca="false">H68-H67</f>
        <v>-5.05644912741582</v>
      </c>
      <c r="N68" s="14" t="n">
        <f aca="false">I68-I67</f>
        <v>-0.960334295950815</v>
      </c>
      <c r="O68" s="14" t="n">
        <f aca="false">J68-J67</f>
        <v>-1.65663200097652</v>
      </c>
      <c r="P68" s="14" t="n">
        <f aca="false">K68-K67</f>
        <v>6.87660308329305</v>
      </c>
      <c r="Q68" s="14" t="n">
        <f aca="false">L68-L67</f>
        <v>1.07853462554112</v>
      </c>
    </row>
    <row r="69" customFormat="false" ht="15" hidden="false" customHeight="false" outlineLevel="0" collapsed="false">
      <c r="A69" s="11" t="n">
        <v>46090</v>
      </c>
      <c r="B69" s="12" t="s">
        <v>51</v>
      </c>
      <c r="C69" s="13" t="n">
        <v>0.0103346377466507</v>
      </c>
      <c r="D69" s="13" t="n">
        <v>0.0100011992183237</v>
      </c>
      <c r="E69" s="13" t="n">
        <v>0.0101809233378793</v>
      </c>
      <c r="F69" s="13" t="n">
        <v>0.00679369759444026</v>
      </c>
      <c r="G69" s="13" t="n">
        <v>0.00695246351170353</v>
      </c>
      <c r="H69" s="14" t="n">
        <f aca="false">H68*(1+C69)</f>
        <v>1778.80401844412</v>
      </c>
      <c r="I69" s="14" t="n">
        <f aca="false">I68*(1+D69)</f>
        <v>1840.99168048778</v>
      </c>
      <c r="J69" s="14" t="n">
        <f aca="false">J68*(1+E69)</f>
        <v>1827.60731831107</v>
      </c>
      <c r="K69" s="14" t="n">
        <f aca="false">K68*(1+F69)</f>
        <v>1707.80332840257</v>
      </c>
      <c r="L69" s="14" t="n">
        <f aca="false">L68*(1+G69)</f>
        <v>1784.44715143018</v>
      </c>
      <c r="M69" s="14" t="n">
        <f aca="false">H69-H68</f>
        <v>18.1952537962143</v>
      </c>
      <c r="N69" s="14" t="n">
        <f aca="false">I69-I68</f>
        <v>18.2298046478409</v>
      </c>
      <c r="O69" s="14" t="n">
        <f aca="false">J69-J68</f>
        <v>18.4192054805303</v>
      </c>
      <c r="P69" s="14" t="n">
        <f aca="false">K69-K68</f>
        <v>11.5240087335344</v>
      </c>
      <c r="Q69" s="14" t="n">
        <f aca="false">L69-L68</f>
        <v>12.3206448749479</v>
      </c>
    </row>
    <row r="70" customFormat="false" ht="15" hidden="false" customHeight="false" outlineLevel="0" collapsed="false">
      <c r="A70" s="11" t="n">
        <v>46091</v>
      </c>
      <c r="B70" s="12" t="s">
        <v>52</v>
      </c>
      <c r="C70" s="13" t="n">
        <v>-0.00253580404615605</v>
      </c>
      <c r="D70" s="13" t="n">
        <v>-0.00343100556141738</v>
      </c>
      <c r="E70" s="13" t="n">
        <v>-0.00361967046006001</v>
      </c>
      <c r="F70" s="13" t="n">
        <v>-0.00266683843030052</v>
      </c>
      <c r="G70" s="13" t="n">
        <v>-0.00175362171987953</v>
      </c>
      <c r="H70" s="14" t="n">
        <f aca="false">H69*(1+C70)</f>
        <v>1774.29332001683</v>
      </c>
      <c r="I70" s="14" t="n">
        <f aca="false">I69*(1+D70)</f>
        <v>1834.6752277935</v>
      </c>
      <c r="J70" s="14" t="n">
        <f aca="false">J69*(1+E70)</f>
        <v>1820.99198208839</v>
      </c>
      <c r="K70" s="14" t="n">
        <f aca="false">K69*(1+F70)</f>
        <v>1703.24889285499</v>
      </c>
      <c r="L70" s="14" t="n">
        <f aca="false">L69*(1+G70)</f>
        <v>1781.31790614745</v>
      </c>
      <c r="M70" s="14" t="n">
        <f aca="false">H70-H69</f>
        <v>-4.5106984272893</v>
      </c>
      <c r="N70" s="14" t="n">
        <f aca="false">I70-I69</f>
        <v>-6.31645269427668</v>
      </c>
      <c r="O70" s="14" t="n">
        <f aca="false">J70-J69</f>
        <v>-6.61533622268007</v>
      </c>
      <c r="P70" s="14" t="n">
        <f aca="false">K70-K69</f>
        <v>-4.55443554757926</v>
      </c>
      <c r="Q70" s="14" t="n">
        <f aca="false">L70-L69</f>
        <v>-3.12924528272515</v>
      </c>
    </row>
    <row r="71" customFormat="false" ht="15" hidden="false" customHeight="false" outlineLevel="0" collapsed="false">
      <c r="A71" s="11" t="n">
        <v>46092</v>
      </c>
      <c r="B71" s="12" t="s">
        <v>53</v>
      </c>
      <c r="C71" s="13" t="n">
        <v>0.0461475753638687</v>
      </c>
      <c r="D71" s="13" t="n">
        <v>0.0529081571350648</v>
      </c>
      <c r="E71" s="13" t="n">
        <v>0.0529250894748362</v>
      </c>
      <c r="F71" s="13" t="n">
        <v>0.0446449944707557</v>
      </c>
      <c r="G71" s="13" t="n">
        <v>0.045950137288556</v>
      </c>
      <c r="H71" s="14" t="n">
        <f aca="false">H70*(1+C71)</f>
        <v>1856.17265471992</v>
      </c>
      <c r="I71" s="14" t="n">
        <f aca="false">I70*(1+D71)</f>
        <v>1931.74451303741</v>
      </c>
      <c r="J71" s="14" t="n">
        <f aca="false">J70*(1+E71)</f>
        <v>1917.36814567338</v>
      </c>
      <c r="K71" s="14" t="n">
        <f aca="false">K70*(1+F71)</f>
        <v>1779.29043025883</v>
      </c>
      <c r="L71" s="14" t="n">
        <f aca="false">L70*(1+G71)</f>
        <v>1863.16970848949</v>
      </c>
      <c r="M71" s="14" t="n">
        <f aca="false">H71-H70</f>
        <v>81.8793347030858</v>
      </c>
      <c r="N71" s="14" t="n">
        <f aca="false">I71-I70</f>
        <v>97.0692852439092</v>
      </c>
      <c r="O71" s="14" t="n">
        <f aca="false">J71-J70</f>
        <v>96.3761635849871</v>
      </c>
      <c r="P71" s="14" t="n">
        <f aca="false">K71-K70</f>
        <v>76.0415374038319</v>
      </c>
      <c r="Q71" s="14" t="n">
        <f aca="false">L71-L70</f>
        <v>81.8518023420384</v>
      </c>
    </row>
    <row r="72" customFormat="false" ht="15" hidden="false" customHeight="false" outlineLevel="0" collapsed="false">
      <c r="A72" s="11" t="n">
        <v>46093</v>
      </c>
      <c r="B72" s="12" t="s">
        <v>47</v>
      </c>
      <c r="C72" s="13" t="n">
        <v>-0.0355490676443417</v>
      </c>
      <c r="D72" s="13" t="n">
        <v>-0.0414067218935391</v>
      </c>
      <c r="E72" s="13" t="n">
        <v>-0.0414078434169303</v>
      </c>
      <c r="F72" s="13" t="n">
        <v>-0.0379010654451671</v>
      </c>
      <c r="G72" s="13" t="n">
        <v>-0.0356950249608025</v>
      </c>
      <c r="H72" s="14" t="n">
        <f aca="false">H71*(1+C72)</f>
        <v>1790.1874474577</v>
      </c>
      <c r="I72" s="14" t="n">
        <f aca="false">I71*(1+D72)</f>
        <v>1851.7573052167</v>
      </c>
      <c r="J72" s="14" t="n">
        <f aca="false">J71*(1+E72)</f>
        <v>1837.97406572472</v>
      </c>
      <c r="K72" s="14" t="n">
        <f aca="false">K71*(1+F72)</f>
        <v>1711.85342721563</v>
      </c>
      <c r="L72" s="14" t="n">
        <f aca="false">L71*(1+G72)</f>
        <v>1796.66381923874</v>
      </c>
      <c r="M72" s="14" t="n">
        <f aca="false">H72-H71</f>
        <v>-65.9852072622159</v>
      </c>
      <c r="N72" s="14" t="n">
        <f aca="false">I72-I71</f>
        <v>-79.9872078207102</v>
      </c>
      <c r="O72" s="14" t="n">
        <f aca="false">J72-J71</f>
        <v>-79.3940799486531</v>
      </c>
      <c r="P72" s="14" t="n">
        <f aca="false">K72-K71</f>
        <v>-67.4370030431992</v>
      </c>
      <c r="Q72" s="14" t="n">
        <f aca="false">L72-L71</f>
        <v>-66.5058892507436</v>
      </c>
    </row>
    <row r="73" customFormat="false" ht="15" hidden="false" customHeight="false" outlineLevel="0" collapsed="false">
      <c r="A73" s="11" t="n">
        <v>46094</v>
      </c>
      <c r="B73" s="12" t="s">
        <v>48</v>
      </c>
      <c r="C73" s="13" t="n">
        <v>-0.0055819045875028</v>
      </c>
      <c r="D73" s="13" t="n">
        <v>-0.00540066403892694</v>
      </c>
      <c r="E73" s="13" t="n">
        <v>-0.00540076444911243</v>
      </c>
      <c r="F73" s="13" t="n">
        <v>-0.00690403447724369</v>
      </c>
      <c r="G73" s="13" t="n">
        <v>-0.00419122135972405</v>
      </c>
      <c r="H73" s="14" t="n">
        <f aca="false">H72*(1+C73)</f>
        <v>1780.19479193225</v>
      </c>
      <c r="I73" s="14" t="n">
        <f aca="false">I72*(1+D73)</f>
        <v>1841.7565861296</v>
      </c>
      <c r="J73" s="14" t="n">
        <f aca="false">J72*(1+E73)</f>
        <v>1828.04760073217</v>
      </c>
      <c r="K73" s="14" t="n">
        <f aca="false">K72*(1+F73)</f>
        <v>1700.03473213414</v>
      </c>
      <c r="L73" s="14" t="n">
        <f aca="false">L72*(1+G73)</f>
        <v>1789.13360346331</v>
      </c>
      <c r="M73" s="14" t="n">
        <f aca="false">H73-H72</f>
        <v>-9.99265552545398</v>
      </c>
      <c r="N73" s="14" t="n">
        <f aca="false">I73-I72</f>
        <v>-10.000719087104</v>
      </c>
      <c r="O73" s="14" t="n">
        <f aca="false">J73-J72</f>
        <v>-9.9264649925567</v>
      </c>
      <c r="P73" s="14" t="n">
        <f aca="false">K73-K72</f>
        <v>-11.8186950814845</v>
      </c>
      <c r="Q73" s="14" t="n">
        <f aca="false">L73-L72</f>
        <v>-7.53021577543677</v>
      </c>
    </row>
    <row r="74" customFormat="false" ht="15" hidden="false" customHeight="false" outlineLevel="0" collapsed="false">
      <c r="A74" s="11" t="n">
        <v>46095</v>
      </c>
      <c r="B74" s="12" t="s">
        <v>49</v>
      </c>
      <c r="C74" s="13" t="n">
        <v>-0.0200550241469922</v>
      </c>
      <c r="D74" s="13" t="n">
        <v>-0.0249792945076452</v>
      </c>
      <c r="E74" s="13" t="n">
        <v>-0.0241057719473644</v>
      </c>
      <c r="F74" s="13" t="n">
        <v>-0.0183961850549737</v>
      </c>
      <c r="G74" s="13" t="n">
        <v>-0.0207613990556702</v>
      </c>
      <c r="H74" s="14" t="n">
        <f aca="false">H73*(1+C74)</f>
        <v>1744.4929423937</v>
      </c>
      <c r="I74" s="14" t="n">
        <f aca="false">I73*(1+D74)</f>
        <v>1795.75080595327</v>
      </c>
      <c r="J74" s="14" t="n">
        <f aca="false">J73*(1+E74)</f>
        <v>1783.98110215999</v>
      </c>
      <c r="K74" s="14" t="n">
        <f aca="false">K73*(1+F74)</f>
        <v>1668.76057860192</v>
      </c>
      <c r="L74" s="14" t="n">
        <f aca="false">L73*(1+G74)</f>
        <v>1751.9886867579</v>
      </c>
      <c r="M74" s="14" t="n">
        <f aca="false">H74-H73</f>
        <v>-35.7018495385512</v>
      </c>
      <c r="N74" s="14" t="n">
        <f aca="false">I74-I73</f>
        <v>-46.0057801763264</v>
      </c>
      <c r="O74" s="14" t="n">
        <f aca="false">J74-J73</f>
        <v>-44.066498572176</v>
      </c>
      <c r="P74" s="14" t="n">
        <f aca="false">K74-K73</f>
        <v>-31.2741535322223</v>
      </c>
      <c r="Q74" s="14" t="n">
        <f aca="false">L74-L73</f>
        <v>-37.1449167054109</v>
      </c>
    </row>
    <row r="75" customFormat="false" ht="15" hidden="false" customHeight="false" outlineLevel="0" collapsed="false">
      <c r="A75" s="11" t="n">
        <v>46096</v>
      </c>
      <c r="B75" s="12" t="s">
        <v>50</v>
      </c>
      <c r="C75" s="13" t="n">
        <v>-0.0334158549755982</v>
      </c>
      <c r="D75" s="13" t="n">
        <v>-0.0452060796745925</v>
      </c>
      <c r="E75" s="13" t="n">
        <v>-0.0383404908004484</v>
      </c>
      <c r="F75" s="13" t="n">
        <v>-0.0319791618428659</v>
      </c>
      <c r="G75" s="13" t="n">
        <v>-0.0411931438128735</v>
      </c>
      <c r="H75" s="14" t="n">
        <f aca="false">H74*(1+C75)</f>
        <v>1686.19921922472</v>
      </c>
      <c r="I75" s="14" t="n">
        <f aca="false">I74*(1+D75)</f>
        <v>1714.57195194363</v>
      </c>
      <c r="J75" s="14" t="n">
        <f aca="false">J74*(1+E75)</f>
        <v>1715.58239112445</v>
      </c>
      <c r="K75" s="14" t="n">
        <f aca="false">K74*(1+F75)</f>
        <v>1615.39501398181</v>
      </c>
      <c r="L75" s="14" t="n">
        <f aca="false">L74*(1+G75)</f>
        <v>1679.81876482575</v>
      </c>
      <c r="M75" s="14" t="n">
        <f aca="false">H75-H74</f>
        <v>-58.2937231689825</v>
      </c>
      <c r="N75" s="14" t="n">
        <f aca="false">I75-I74</f>
        <v>-81.1788540096375</v>
      </c>
      <c r="O75" s="14" t="n">
        <f aca="false">J75-J74</f>
        <v>-68.398711035539</v>
      </c>
      <c r="P75" s="14" t="n">
        <f aca="false">K75-K74</f>
        <v>-53.3655646201055</v>
      </c>
      <c r="Q75" s="14" t="n">
        <f aca="false">L75-L74</f>
        <v>-72.1699219321454</v>
      </c>
    </row>
    <row r="76" customFormat="false" ht="15" hidden="false" customHeight="false" outlineLevel="0" collapsed="false">
      <c r="A76" s="11" t="n">
        <v>46097</v>
      </c>
      <c r="B76" s="12" t="s">
        <v>51</v>
      </c>
      <c r="C76" s="13" t="n">
        <v>0.00729252720883622</v>
      </c>
      <c r="D76" s="13" t="n">
        <v>0.00506904069941246</v>
      </c>
      <c r="E76" s="13" t="n">
        <v>0.0090342612439226</v>
      </c>
      <c r="F76" s="13" t="n">
        <v>-0.00541263150405708</v>
      </c>
      <c r="G76" s="13" t="n">
        <v>-0.00187490787938988</v>
      </c>
      <c r="H76" s="14" t="n">
        <f aca="false">H75*(1+C76)</f>
        <v>1698.49587291043</v>
      </c>
      <c r="I76" s="14" t="n">
        <f aca="false">I75*(1+D76)</f>
        <v>1723.26318695011</v>
      </c>
      <c r="J76" s="14" t="n">
        <f aca="false">J75*(1+E76)</f>
        <v>1731.08141063134</v>
      </c>
      <c r="K76" s="14" t="n">
        <f aca="false">K75*(1+F76)</f>
        <v>1606.65147603764</v>
      </c>
      <c r="L76" s="14" t="n">
        <f aca="false">L75*(1+G76)</f>
        <v>1676.66925938763</v>
      </c>
      <c r="M76" s="14" t="n">
        <f aca="false">H76-H75</f>
        <v>12.2966536857145</v>
      </c>
      <c r="N76" s="14" t="n">
        <f aca="false">I76-I75</f>
        <v>8.69123500647334</v>
      </c>
      <c r="O76" s="14" t="n">
        <f aca="false">J76-J75</f>
        <v>15.499019506892</v>
      </c>
      <c r="P76" s="14" t="n">
        <f aca="false">K76-K75</f>
        <v>-8.74353794417471</v>
      </c>
      <c r="Q76" s="14" t="n">
        <f aca="false">L76-L75</f>
        <v>-3.14950543811869</v>
      </c>
    </row>
    <row r="77" customFormat="false" ht="15" hidden="false" customHeight="false" outlineLevel="0" collapsed="false">
      <c r="A77" s="11" t="n">
        <v>46098</v>
      </c>
      <c r="B77" s="12" t="s">
        <v>52</v>
      </c>
      <c r="C77" s="13" t="n">
        <v>0.0398360547261352</v>
      </c>
      <c r="D77" s="13" t="n">
        <v>0.0443761029593369</v>
      </c>
      <c r="E77" s="13" t="n">
        <v>0.0466706067917258</v>
      </c>
      <c r="F77" s="13" t="n">
        <v>0.0373281969458046</v>
      </c>
      <c r="G77" s="13" t="n">
        <v>0.0409778973127016</v>
      </c>
      <c r="H77" s="14" t="n">
        <f aca="false">H76*(1+C77)</f>
        <v>1766.15724745581</v>
      </c>
      <c r="I77" s="14" t="n">
        <f aca="false">I76*(1+D77)</f>
        <v>1799.73489156024</v>
      </c>
      <c r="J77" s="14" t="n">
        <f aca="false">J76*(1+E77)</f>
        <v>1811.87203047138</v>
      </c>
      <c r="K77" s="14" t="n">
        <f aca="false">K76*(1+F77)</f>
        <v>1666.62487875844</v>
      </c>
      <c r="L77" s="14" t="n">
        <f aca="false">L76*(1+G77)</f>
        <v>1745.37564012618</v>
      </c>
      <c r="M77" s="14" t="n">
        <f aca="false">H77-H76</f>
        <v>67.6613745453747</v>
      </c>
      <c r="N77" s="14" t="n">
        <f aca="false">I77-I76</f>
        <v>76.4717046101332</v>
      </c>
      <c r="O77" s="14" t="n">
        <f aca="false">J77-J76</f>
        <v>80.7906198400412</v>
      </c>
      <c r="P77" s="14" t="n">
        <f aca="false">K77-K76</f>
        <v>59.9734027208006</v>
      </c>
      <c r="Q77" s="14" t="n">
        <f aca="false">L77-L76</f>
        <v>68.70638073855</v>
      </c>
    </row>
    <row r="78" customFormat="false" ht="15" hidden="false" customHeight="false" outlineLevel="0" collapsed="false">
      <c r="A78" s="11" t="n">
        <v>46099</v>
      </c>
      <c r="B78" s="12" t="s">
        <v>53</v>
      </c>
      <c r="C78" s="13" t="n">
        <v>0.0423944444843648</v>
      </c>
      <c r="D78" s="13" t="n">
        <v>0.0500279671366596</v>
      </c>
      <c r="E78" s="13" t="n">
        <v>0.0482121512238778</v>
      </c>
      <c r="F78" s="13" t="n">
        <v>0.0497680440590903</v>
      </c>
      <c r="G78" s="13" t="n">
        <v>0.0487210760815392</v>
      </c>
      <c r="H78" s="14" t="n">
        <f aca="false">H77*(1+C78)</f>
        <v>1841.03250283373</v>
      </c>
      <c r="I78" s="14" t="n">
        <f aca="false">I77*(1+D78)</f>
        <v>1889.77196956992</v>
      </c>
      <c r="J78" s="14" t="n">
        <f aca="false">J77*(1+E78)</f>
        <v>1899.22627880279</v>
      </c>
      <c r="K78" s="14" t="n">
        <f aca="false">K77*(1+F78)</f>
        <v>1749.56953915447</v>
      </c>
      <c r="L78" s="14" t="n">
        <f aca="false">L77*(1+G78)</f>
        <v>1830.41221947964</v>
      </c>
      <c r="M78" s="14" t="n">
        <f aca="false">H78-H77</f>
        <v>74.8752553779236</v>
      </c>
      <c r="N78" s="14" t="n">
        <f aca="false">I78-I77</f>
        <v>90.0370780096755</v>
      </c>
      <c r="O78" s="14" t="n">
        <f aca="false">J78-J77</f>
        <v>87.3542483314009</v>
      </c>
      <c r="P78" s="14" t="n">
        <f aca="false">K78-K77</f>
        <v>82.9446603960264</v>
      </c>
      <c r="Q78" s="14" t="n">
        <f aca="false">L78-L77</f>
        <v>85.0365793534527</v>
      </c>
    </row>
    <row r="79" customFormat="false" ht="15" hidden="false" customHeight="false" outlineLevel="0" collapsed="false">
      <c r="A79" s="11" t="n">
        <v>46100</v>
      </c>
      <c r="B79" s="12" t="s">
        <v>47</v>
      </c>
      <c r="C79" s="13" t="n">
        <v>-0.0277240540357007</v>
      </c>
      <c r="D79" s="13" t="n">
        <v>-0.0274640048664231</v>
      </c>
      <c r="E79" s="13" t="n">
        <v>-0.03149769627406</v>
      </c>
      <c r="F79" s="13" t="n">
        <v>-0.0306861741245437</v>
      </c>
      <c r="G79" s="13" t="n">
        <v>-0.0217750843830036</v>
      </c>
      <c r="H79" s="14" t="n">
        <f aca="false">H78*(1+C79)</f>
        <v>1789.99161824369</v>
      </c>
      <c r="I79" s="14" t="n">
        <f aca="false">I78*(1+D79)</f>
        <v>1837.87126300122</v>
      </c>
      <c r="J79" s="14" t="n">
        <f aca="false">J78*(1+E79)</f>
        <v>1839.40502631734</v>
      </c>
      <c r="K79" s="14" t="n">
        <f aca="false">K78*(1+F79)</f>
        <v>1695.88194363298</v>
      </c>
      <c r="L79" s="14" t="n">
        <f aca="false">L78*(1+G79)</f>
        <v>1790.55483894479</v>
      </c>
      <c r="M79" s="14" t="n">
        <f aca="false">H79-H78</f>
        <v>-51.0408845900438</v>
      </c>
      <c r="N79" s="14" t="n">
        <f aca="false">I79-I78</f>
        <v>-51.9007065686981</v>
      </c>
      <c r="O79" s="14" t="n">
        <f aca="false">J79-J78</f>
        <v>-59.8212524854434</v>
      </c>
      <c r="P79" s="14" t="n">
        <f aca="false">K79-K78</f>
        <v>-53.6875955214916</v>
      </c>
      <c r="Q79" s="14" t="n">
        <f aca="false">L79-L78</f>
        <v>-39.8573805348499</v>
      </c>
    </row>
    <row r="80" customFormat="false" ht="15" hidden="false" customHeight="false" outlineLevel="0" collapsed="false">
      <c r="A80" s="11" t="n">
        <v>46101</v>
      </c>
      <c r="B80" s="12" t="s">
        <v>48</v>
      </c>
      <c r="C80" s="13" t="n">
        <v>0.014623980664368</v>
      </c>
      <c r="D80" s="13" t="n">
        <v>-0.00679241267326798</v>
      </c>
      <c r="E80" s="13" t="n">
        <v>0.0155183540162173</v>
      </c>
      <c r="F80" s="13" t="n">
        <v>0.0154928205575151</v>
      </c>
      <c r="G80" s="13" t="n">
        <v>-0.00454962771116879</v>
      </c>
      <c r="H80" s="14" t="n">
        <f aca="false">H79*(1+C80)</f>
        <v>1816.16842105826</v>
      </c>
      <c r="I80" s="14" t="n">
        <f aca="false">I79*(1+D80)</f>
        <v>1825.38768294257</v>
      </c>
      <c r="J80" s="14" t="n">
        <f aca="false">J79*(1+E80)</f>
        <v>1867.94956469494</v>
      </c>
      <c r="K80" s="14" t="n">
        <f aca="false">K79*(1+F80)</f>
        <v>1722.15593827241</v>
      </c>
      <c r="L80" s="14" t="n">
        <f aca="false">L79*(1+G80)</f>
        <v>1782.40848103116</v>
      </c>
      <c r="M80" s="14" t="n">
        <f aca="false">H80-H79</f>
        <v>26.1768028145764</v>
      </c>
      <c r="N80" s="14" t="n">
        <f aca="false">I80-I79</f>
        <v>-12.4835800586445</v>
      </c>
      <c r="O80" s="14" t="n">
        <f aca="false">J80-J79</f>
        <v>28.5445383776021</v>
      </c>
      <c r="P80" s="14" t="n">
        <f aca="false">K80-K79</f>
        <v>26.2739946394356</v>
      </c>
      <c r="Q80" s="14" t="n">
        <f aca="false">L80-L79</f>
        <v>-8.14635791363048</v>
      </c>
    </row>
    <row r="81" customFormat="false" ht="15" hidden="false" customHeight="false" outlineLevel="0" collapsed="false">
      <c r="A81" s="11" t="n">
        <v>46102</v>
      </c>
      <c r="B81" s="12" t="s">
        <v>49</v>
      </c>
      <c r="C81" s="13" t="n">
        <v>0.0148192567648543</v>
      </c>
      <c r="D81" s="13" t="n">
        <v>0.0198598470048879</v>
      </c>
      <c r="E81" s="13" t="n">
        <v>0.0161465660783299</v>
      </c>
      <c r="F81" s="13" t="n">
        <v>0.0165995414220536</v>
      </c>
      <c r="G81" s="13" t="n">
        <v>0.0197152444923293</v>
      </c>
      <c r="H81" s="14" t="n">
        <f aca="false">H80*(1+C81)</f>
        <v>1843.08268721814</v>
      </c>
      <c r="I81" s="14" t="n">
        <f aca="false">I80*(1+D81)</f>
        <v>1861.63960305042</v>
      </c>
      <c r="J81" s="14" t="n">
        <f aca="false">J80*(1+E81)</f>
        <v>1898.11053577228</v>
      </c>
      <c r="K81" s="14" t="n">
        <f aca="false">K80*(1+F81)</f>
        <v>1750.742937105</v>
      </c>
      <c r="L81" s="14" t="n">
        <f aca="false">L80*(1+G81)</f>
        <v>1817.54910001989</v>
      </c>
      <c r="M81" s="14" t="n">
        <f aca="false">H81-H80</f>
        <v>26.9142661598821</v>
      </c>
      <c r="N81" s="14" t="n">
        <f aca="false">I81-I80</f>
        <v>36.2519201078462</v>
      </c>
      <c r="O81" s="14" t="n">
        <f aca="false">J81-J80</f>
        <v>30.1609710773341</v>
      </c>
      <c r="P81" s="14" t="n">
        <f aca="false">K81-K80</f>
        <v>28.5869988325883</v>
      </c>
      <c r="Q81" s="14" t="n">
        <f aca="false">L81-L80</f>
        <v>35.1406189887302</v>
      </c>
    </row>
    <row r="82" customFormat="false" ht="15" hidden="false" customHeight="false" outlineLevel="0" collapsed="false">
      <c r="A82" s="11" t="n">
        <v>46103</v>
      </c>
      <c r="B82" s="12" t="s">
        <v>50</v>
      </c>
      <c r="C82" s="13" t="n">
        <v>0.0541860714034536</v>
      </c>
      <c r="D82" s="13" t="n">
        <v>0.053395621454705</v>
      </c>
      <c r="E82" s="13" t="n">
        <v>0.0590193511137365</v>
      </c>
      <c r="F82" s="13" t="n">
        <v>0.0557947959860358</v>
      </c>
      <c r="G82" s="13" t="n">
        <v>0.0472227179638921</v>
      </c>
      <c r="H82" s="14" t="n">
        <f aca="false">H81*(1+C82)</f>
        <v>1942.95209731022</v>
      </c>
      <c r="I82" s="14" t="n">
        <f aca="false">I81*(1+D82)</f>
        <v>1961.04300657999</v>
      </c>
      <c r="J82" s="14" t="n">
        <f aca="false">J81*(1+E82)</f>
        <v>2010.1357879357</v>
      </c>
      <c r="K82" s="14" t="n">
        <f aca="false">K81*(1+F82)</f>
        <v>1848.42528210477</v>
      </c>
      <c r="L82" s="14" t="n">
        <f aca="false">L81*(1+G82)</f>
        <v>1903.37870855565</v>
      </c>
      <c r="M82" s="14" t="n">
        <f aca="false">H82-H81</f>
        <v>99.8694100920711</v>
      </c>
      <c r="N82" s="14" t="n">
        <f aca="false">I82-I81</f>
        <v>99.4034035295674</v>
      </c>
      <c r="O82" s="14" t="n">
        <f aca="false">J82-J81</f>
        <v>112.025252163427</v>
      </c>
      <c r="P82" s="14" t="n">
        <f aca="false">K82-K81</f>
        <v>97.6823449997667</v>
      </c>
      <c r="Q82" s="14" t="n">
        <f aca="false">L82-L81</f>
        <v>85.8296085357647</v>
      </c>
    </row>
    <row r="83" customFormat="false" ht="15" hidden="false" customHeight="false" outlineLevel="0" collapsed="false">
      <c r="A83" s="11" t="n">
        <v>46104</v>
      </c>
      <c r="B83" s="12" t="s">
        <v>51</v>
      </c>
      <c r="C83" s="13" t="n">
        <v>-0.022285674025059</v>
      </c>
      <c r="D83" s="13" t="n">
        <v>-0.0260653654701998</v>
      </c>
      <c r="E83" s="13" t="n">
        <v>-0.0251064899484624</v>
      </c>
      <c r="F83" s="13" t="n">
        <v>-0.0246536191399159</v>
      </c>
      <c r="G83" s="13" t="n">
        <v>-0.0233314498847018</v>
      </c>
      <c r="H83" s="14" t="n">
        <f aca="false">H82*(1+C83)</f>
        <v>1899.65210022326</v>
      </c>
      <c r="I83" s="14" t="n">
        <f aca="false">I82*(1+D83)</f>
        <v>1909.9277039107</v>
      </c>
      <c r="J83" s="14" t="n">
        <f aca="false">J82*(1+E83)</f>
        <v>1959.66833398085</v>
      </c>
      <c r="K83" s="14" t="n">
        <f aca="false">K82*(1+F83)</f>
        <v>1802.85490919116</v>
      </c>
      <c r="L83" s="14" t="n">
        <f aca="false">L82*(1+G83)</f>
        <v>1858.97012360538</v>
      </c>
      <c r="M83" s="14" t="n">
        <f aca="false">H83-H82</f>
        <v>-43.2999970869601</v>
      </c>
      <c r="N83" s="14" t="n">
        <f aca="false">I83-I82</f>
        <v>-51.1153026692871</v>
      </c>
      <c r="O83" s="14" t="n">
        <f aca="false">J83-J82</f>
        <v>-50.4674539548523</v>
      </c>
      <c r="P83" s="14" t="n">
        <f aca="false">K83-K82</f>
        <v>-45.5703729136026</v>
      </c>
      <c r="Q83" s="14" t="n">
        <f aca="false">L83-L82</f>
        <v>-44.4085849502746</v>
      </c>
    </row>
    <row r="84" customFormat="false" ht="15" hidden="false" customHeight="false" outlineLevel="0" collapsed="false">
      <c r="A84" s="11" t="n">
        <v>46105</v>
      </c>
      <c r="B84" s="12" t="s">
        <v>52</v>
      </c>
      <c r="C84" s="13" t="n">
        <v>0.0069662499885248</v>
      </c>
      <c r="D84" s="13" t="n">
        <v>0.00630132247604479</v>
      </c>
      <c r="E84" s="13" t="n">
        <v>0.00767023924769893</v>
      </c>
      <c r="F84" s="13" t="n">
        <v>-0.0035351295201424</v>
      </c>
      <c r="G84" s="13" t="n">
        <v>0.0041367680165818</v>
      </c>
      <c r="H84" s="14" t="n">
        <f aca="false">H83*(1+C84)</f>
        <v>1912.88555164464</v>
      </c>
      <c r="I84" s="14" t="n">
        <f aca="false">I83*(1+D84)</f>
        <v>1921.96277427897</v>
      </c>
      <c r="J84" s="14" t="n">
        <f aca="false">J83*(1+E84)</f>
        <v>1974.69945894862</v>
      </c>
      <c r="K84" s="14" t="n">
        <f aca="false">K83*(1+F84)</f>
        <v>1796.48158358115</v>
      </c>
      <c r="L84" s="14" t="n">
        <f aca="false">L83*(1+G84)</f>
        <v>1866.66025175649</v>
      </c>
      <c r="M84" s="14" t="n">
        <f aca="false">H84-H83</f>
        <v>13.2334514213815</v>
      </c>
      <c r="N84" s="14" t="n">
        <f aca="false">I84-I83</f>
        <v>12.0350703682732</v>
      </c>
      <c r="O84" s="14" t="n">
        <f aca="false">J84-J83</f>
        <v>15.0311249677725</v>
      </c>
      <c r="P84" s="14" t="n">
        <f aca="false">K84-K83</f>
        <v>-6.37332561001517</v>
      </c>
      <c r="Q84" s="14" t="n">
        <f aca="false">L84-L83</f>
        <v>7.69012815111182</v>
      </c>
    </row>
    <row r="85" customFormat="false" ht="15" hidden="false" customHeight="false" outlineLevel="0" collapsed="false">
      <c r="A85" s="11" t="n">
        <v>46106</v>
      </c>
      <c r="B85" s="12" t="s">
        <v>53</v>
      </c>
      <c r="C85" s="13" t="n">
        <v>0.00043807122790529</v>
      </c>
      <c r="D85" s="13" t="n">
        <v>0.0444663693912133</v>
      </c>
      <c r="E85" s="13" t="n">
        <v>-0.00111518428579006</v>
      </c>
      <c r="F85" s="13" t="n">
        <v>-0.00222069400506564</v>
      </c>
      <c r="G85" s="13" t="n">
        <v>0.0391569585307027</v>
      </c>
      <c r="H85" s="14" t="n">
        <f aca="false">H84*(1+C85)</f>
        <v>1913.72353176709</v>
      </c>
      <c r="I85" s="14" t="n">
        <f aca="false">I84*(1+D85)</f>
        <v>2007.42548095622</v>
      </c>
      <c r="J85" s="14" t="n">
        <f aca="false">J84*(1+E85)</f>
        <v>1972.49730514285</v>
      </c>
      <c r="K85" s="14" t="n">
        <f aca="false">K84*(1+F85)</f>
        <v>1792.49214769828</v>
      </c>
      <c r="L85" s="14" t="n">
        <f aca="false">L84*(1+G85)</f>
        <v>1939.75298982543</v>
      </c>
      <c r="M85" s="14" t="n">
        <f aca="false">H85-H84</f>
        <v>0.837980122451199</v>
      </c>
      <c r="N85" s="14" t="n">
        <f aca="false">I85-I84</f>
        <v>85.46270667725</v>
      </c>
      <c r="O85" s="14" t="n">
        <f aca="false">J85-J84</f>
        <v>-2.2021538057777</v>
      </c>
      <c r="P85" s="14" t="n">
        <f aca="false">K85-K84</f>
        <v>-3.98943588286943</v>
      </c>
      <c r="Q85" s="14" t="n">
        <f aca="false">L85-L84</f>
        <v>73.0927380689395</v>
      </c>
    </row>
    <row r="86" customFormat="false" ht="15" hidden="false" customHeight="false" outlineLevel="0" collapsed="false">
      <c r="A86" s="11" t="n">
        <v>46107</v>
      </c>
      <c r="B86" s="12" t="s">
        <v>47</v>
      </c>
      <c r="C86" s="13" t="n">
        <v>-0.00843945073065067</v>
      </c>
      <c r="D86" s="13" t="n">
        <v>-0.00775607489333972</v>
      </c>
      <c r="E86" s="13" t="n">
        <v>-0.00836807501066582</v>
      </c>
      <c r="F86" s="13" t="n">
        <v>-0.00512786660274439</v>
      </c>
      <c r="G86" s="13" t="n">
        <v>-0.00457289971863784</v>
      </c>
      <c r="H86" s="14" t="n">
        <f aca="false">H85*(1+C86)</f>
        <v>1897.57275630865</v>
      </c>
      <c r="I86" s="14" t="n">
        <f aca="false">I85*(1+D86)</f>
        <v>1991.85573858313</v>
      </c>
      <c r="J86" s="14" t="n">
        <f aca="false">J85*(1+E86)</f>
        <v>1955.99129973508</v>
      </c>
      <c r="K86" s="14" t="n">
        <f aca="false">K85*(1+F86)</f>
        <v>1783.30048707842</v>
      </c>
      <c r="L86" s="14" t="n">
        <f aca="false">L85*(1+G86)</f>
        <v>1930.88269392403</v>
      </c>
      <c r="M86" s="14" t="n">
        <f aca="false">H86-H85</f>
        <v>-16.1507754584352</v>
      </c>
      <c r="N86" s="14" t="n">
        <f aca="false">I86-I85</f>
        <v>-15.5697423730951</v>
      </c>
      <c r="O86" s="14" t="n">
        <f aca="false">J86-J85</f>
        <v>-16.5060054077715</v>
      </c>
      <c r="P86" s="14" t="n">
        <f aca="false">K86-K85</f>
        <v>-9.19166061986357</v>
      </c>
      <c r="Q86" s="14" t="n">
        <f aca="false">L86-L85</f>
        <v>-8.87029590139969</v>
      </c>
    </row>
    <row r="87" customFormat="false" ht="15" hidden="false" customHeight="false" outlineLevel="0" collapsed="false">
      <c r="A87" s="11" t="n">
        <v>46108</v>
      </c>
      <c r="B87" s="12" t="s">
        <v>48</v>
      </c>
      <c r="C87" s="13" t="n">
        <v>-0.00184060114141466</v>
      </c>
      <c r="D87" s="13" t="n">
        <v>-0.00565354530009695</v>
      </c>
      <c r="E87" s="13" t="n">
        <v>-0.00268164680492926</v>
      </c>
      <c r="F87" s="13" t="n">
        <v>-0.00313614909594989</v>
      </c>
      <c r="G87" s="13" t="n">
        <v>-0.00420205681959995</v>
      </c>
      <c r="H87" s="14" t="n">
        <f aca="false">H86*(1+C87)</f>
        <v>1894.08008172747</v>
      </c>
      <c r="I87" s="14" t="n">
        <f aca="false">I86*(1+D87)</f>
        <v>1980.59469193379</v>
      </c>
      <c r="J87" s="14" t="n">
        <f aca="false">J86*(1+E87)</f>
        <v>1950.74602191567</v>
      </c>
      <c r="K87" s="14" t="n">
        <f aca="false">K86*(1+F87)</f>
        <v>1777.70779086806</v>
      </c>
      <c r="L87" s="14" t="n">
        <f aca="false">L86*(1+G87)</f>
        <v>1922.76901513218</v>
      </c>
      <c r="M87" s="14" t="n">
        <f aca="false">H87-H86</f>
        <v>-3.49267458117924</v>
      </c>
      <c r="N87" s="14" t="n">
        <f aca="false">I87-I86</f>
        <v>-11.2610466493379</v>
      </c>
      <c r="O87" s="14" t="n">
        <f aca="false">J87-J86</f>
        <v>-5.24527781940401</v>
      </c>
      <c r="P87" s="14" t="n">
        <f aca="false">K87-K86</f>
        <v>-5.5926962103581</v>
      </c>
      <c r="Q87" s="14" t="n">
        <f aca="false">L87-L86</f>
        <v>-8.11367879185104</v>
      </c>
    </row>
    <row r="88" customFormat="false" ht="15" hidden="false" customHeight="false" outlineLevel="0" collapsed="false">
      <c r="A88" s="11" t="n">
        <v>46109</v>
      </c>
      <c r="B88" s="12" t="s">
        <v>49</v>
      </c>
      <c r="C88" s="13" t="n">
        <v>-0.00644606464105846</v>
      </c>
      <c r="D88" s="13" t="n">
        <v>-0.0022010534589249</v>
      </c>
      <c r="E88" s="13" t="n">
        <v>-0.00734211828063673</v>
      </c>
      <c r="F88" s="13" t="n">
        <v>-0.00549939997470084</v>
      </c>
      <c r="G88" s="13" t="n">
        <v>-0.00140502548281141</v>
      </c>
      <c r="H88" s="14" t="n">
        <f aca="false">H87*(1+C88)</f>
        <v>1881.87071908532</v>
      </c>
      <c r="I88" s="14" t="n">
        <f aca="false">I87*(1+D88)</f>
        <v>1976.23529713638</v>
      </c>
      <c r="J88" s="14" t="n">
        <f aca="false">J87*(1+E88)</f>
        <v>1936.42341388729</v>
      </c>
      <c r="K88" s="14" t="n">
        <f aca="false">K87*(1+F88)</f>
        <v>1767.93146468793</v>
      </c>
      <c r="L88" s="14" t="n">
        <f aca="false">L87*(1+G88)</f>
        <v>1920.06747566836</v>
      </c>
      <c r="M88" s="14" t="n">
        <f aca="false">H88-H87</f>
        <v>-12.2093626421565</v>
      </c>
      <c r="N88" s="14" t="n">
        <f aca="false">I88-I87</f>
        <v>-4.3593947974091</v>
      </c>
      <c r="O88" s="14" t="n">
        <f aca="false">J88-J87</f>
        <v>-14.3226080283864</v>
      </c>
      <c r="P88" s="14" t="n">
        <f aca="false">K88-K87</f>
        <v>-9.77632618012535</v>
      </c>
      <c r="Q88" s="14" t="n">
        <f aca="false">L88-L87</f>
        <v>-2.70153946382084</v>
      </c>
    </row>
    <row r="89" customFormat="false" ht="15" hidden="false" customHeight="false" outlineLevel="0" collapsed="false">
      <c r="A89" s="11" t="n">
        <v>46110</v>
      </c>
      <c r="B89" s="12" t="s">
        <v>50</v>
      </c>
      <c r="C89" s="13" t="n">
        <v>0.0117343821947431</v>
      </c>
      <c r="D89" s="13" t="n">
        <v>0.0137684160936628</v>
      </c>
      <c r="E89" s="13" t="n">
        <v>0.01239458260113</v>
      </c>
      <c r="F89" s="13" t="n">
        <v>0.0137732486625816</v>
      </c>
      <c r="G89" s="13" t="n">
        <v>0.0140765743176535</v>
      </c>
      <c r="H89" s="14" t="n">
        <f aca="false">H88*(1+C89)</f>
        <v>1903.95330934416</v>
      </c>
      <c r="I89" s="14" t="n">
        <f aca="false">I88*(1+D89)</f>
        <v>2003.44492700634</v>
      </c>
      <c r="J89" s="14" t="n">
        <f aca="false">J88*(1+E89)</f>
        <v>1960.42457384147</v>
      </c>
      <c r="K89" s="14" t="n">
        <f aca="false">K88*(1+F89)</f>
        <v>1792.28162436948</v>
      </c>
      <c r="L89" s="14" t="n">
        <f aca="false">L88*(1+G89)</f>
        <v>1947.09544818451</v>
      </c>
      <c r="M89" s="14" t="n">
        <f aca="false">H89-H88</f>
        <v>22.0825902588431</v>
      </c>
      <c r="N89" s="14" t="n">
        <f aca="false">I89-I88</f>
        <v>27.2096298699571</v>
      </c>
      <c r="O89" s="14" t="n">
        <f aca="false">J89-J88</f>
        <v>24.0011599541881</v>
      </c>
      <c r="P89" s="14" t="n">
        <f aca="false">K89-K88</f>
        <v>24.3501596815488</v>
      </c>
      <c r="Q89" s="14" t="n">
        <f aca="false">L89-L88</f>
        <v>27.0279725161547</v>
      </c>
    </row>
    <row r="90" customFormat="false" ht="15" hidden="false" customHeight="false" outlineLevel="0" collapsed="false">
      <c r="A90" s="11" t="n">
        <v>46111</v>
      </c>
      <c r="B90" s="12" t="s">
        <v>51</v>
      </c>
      <c r="C90" s="13" t="n">
        <v>-0.00562436612952227</v>
      </c>
      <c r="D90" s="13" t="n">
        <v>-0.00694875079118739</v>
      </c>
      <c r="E90" s="13" t="n">
        <v>-0.00617459006518823</v>
      </c>
      <c r="F90" s="13" t="n">
        <v>-0.000481938010182315</v>
      </c>
      <c r="G90" s="13" t="n">
        <v>-0.00670428042559862</v>
      </c>
      <c r="H90" s="14" t="n">
        <f aca="false">H89*(1+C90)</f>
        <v>1893.24477883889</v>
      </c>
      <c r="I90" s="14" t="n">
        <f aca="false">I89*(1+D90)</f>
        <v>1989.5234874847</v>
      </c>
      <c r="J90" s="14" t="n">
        <f aca="false">J89*(1+E90)</f>
        <v>1948.31975574428</v>
      </c>
      <c r="K90" s="14" t="n">
        <f aca="false">K89*(1+F90)</f>
        <v>1791.41785572975</v>
      </c>
      <c r="L90" s="14" t="n">
        <f aca="false">L89*(1+G90)</f>
        <v>1934.04157428447</v>
      </c>
      <c r="M90" s="14" t="n">
        <f aca="false">H90-H89</f>
        <v>-10.7085305052672</v>
      </c>
      <c r="N90" s="14" t="n">
        <f aca="false">I90-I89</f>
        <v>-13.9214395216356</v>
      </c>
      <c r="O90" s="14" t="n">
        <f aca="false">J90-J89</f>
        <v>-12.1048180971925</v>
      </c>
      <c r="P90" s="14" t="n">
        <f aca="false">K90-K89</f>
        <v>-0.863768639735099</v>
      </c>
      <c r="Q90" s="14" t="n">
        <f aca="false">L90-L89</f>
        <v>-13.0538739000356</v>
      </c>
    </row>
    <row r="91" customFormat="false" ht="15" hidden="false" customHeight="false" outlineLevel="0" collapsed="false">
      <c r="A91" s="11" t="n">
        <v>46112</v>
      </c>
      <c r="B91" s="12" t="s">
        <v>52</v>
      </c>
      <c r="C91" s="13" t="n">
        <v>-0.0324655697632131</v>
      </c>
      <c r="D91" s="13" t="n">
        <v>-0.0609851088124047</v>
      </c>
      <c r="E91" s="13" t="n">
        <v>-0.0377430455933471</v>
      </c>
      <c r="F91" s="13" t="n">
        <v>-0.033569615546915</v>
      </c>
      <c r="G91" s="13" t="n">
        <v>-0.051121428019479</v>
      </c>
      <c r="H91" s="14" t="n">
        <f aca="false">H90*(1+C91)</f>
        <v>1831.77950839266</v>
      </c>
      <c r="I91" s="14" t="n">
        <f aca="false">I90*(1+D91)</f>
        <v>1868.19218111561</v>
      </c>
      <c r="J91" s="14" t="n">
        <f aca="false">J90*(1+E91)</f>
        <v>1874.78423437281</v>
      </c>
      <c r="K91" s="14" t="n">
        <f aca="false">K90*(1+F91)</f>
        <v>1731.28064702902</v>
      </c>
      <c r="L91" s="14" t="n">
        <f aca="false">L90*(1+G91)</f>
        <v>1835.17060715801</v>
      </c>
      <c r="M91" s="14" t="n">
        <f aca="false">H91-H90</f>
        <v>-61.465270446233</v>
      </c>
      <c r="N91" s="14" t="n">
        <f aca="false">I91-I90</f>
        <v>-121.33130636909</v>
      </c>
      <c r="O91" s="14" t="n">
        <f aca="false">J91-J90</f>
        <v>-73.5355213714752</v>
      </c>
      <c r="P91" s="14" t="n">
        <f aca="false">K91-K90</f>
        <v>-60.1372087007262</v>
      </c>
      <c r="Q91" s="14" t="n">
        <f aca="false">L91-L90</f>
        <v>-98.8709671264635</v>
      </c>
    </row>
    <row r="92" customFormat="false" ht="15" hidden="false" customHeight="false" outlineLevel="0" collapsed="false">
      <c r="A92" s="11" t="n">
        <v>46113</v>
      </c>
      <c r="B92" s="12" t="s">
        <v>53</v>
      </c>
      <c r="C92" s="13" t="n">
        <v>0.0241064716296933</v>
      </c>
      <c r="D92" s="13" t="n">
        <v>0.00920688481843467</v>
      </c>
      <c r="E92" s="13" t="n">
        <v>0.026317444862568</v>
      </c>
      <c r="F92" s="13" t="n">
        <v>0.0294870518422207</v>
      </c>
      <c r="G92" s="13" t="n">
        <v>-0.00240533020545281</v>
      </c>
      <c r="H92" s="14" t="n">
        <f aca="false">H91*(1+C92)</f>
        <v>1875.93724914358</v>
      </c>
      <c r="I92" s="14" t="n">
        <f aca="false">I91*(1+D92)</f>
        <v>1885.39241134585</v>
      </c>
      <c r="J92" s="14" t="n">
        <f aca="false">J91*(1+E92)</f>
        <v>1924.12376509012</v>
      </c>
      <c r="K92" s="14" t="n">
        <f aca="false">K91*(1+F92)</f>
        <v>1782.3310092214</v>
      </c>
      <c r="L92" s="14" t="n">
        <f aca="false">L91*(1+G92)</f>
        <v>1830.75641586445</v>
      </c>
      <c r="M92" s="14" t="n">
        <f aca="false">H92-H91</f>
        <v>44.1577407509212</v>
      </c>
      <c r="N92" s="14" t="n">
        <f aca="false">I92-I91</f>
        <v>17.2002302302315</v>
      </c>
      <c r="O92" s="14" t="n">
        <f aca="false">J92-J91</f>
        <v>49.3395307173182</v>
      </c>
      <c r="P92" s="14" t="n">
        <f aca="false">K92-K91</f>
        <v>51.0503621923783</v>
      </c>
      <c r="Q92" s="14" t="n">
        <f aca="false">L92-L91</f>
        <v>-4.41419129355654</v>
      </c>
    </row>
    <row r="93" customFormat="false" ht="15" hidden="false" customHeight="false" outlineLevel="0" collapsed="false">
      <c r="A93" s="11" t="n">
        <v>46114</v>
      </c>
      <c r="B93" s="12" t="s">
        <v>47</v>
      </c>
      <c r="C93" s="13" t="n">
        <v>-0.0076421480091658</v>
      </c>
      <c r="D93" s="13" t="n">
        <v>-0.0108435895607894</v>
      </c>
      <c r="E93" s="13" t="n">
        <v>-0.00572699653314153</v>
      </c>
      <c r="F93" s="13" t="n">
        <v>0.005114468722481</v>
      </c>
      <c r="G93" s="13" t="n">
        <v>-0.00933525000026669</v>
      </c>
      <c r="H93" s="14" t="n">
        <f aca="false">H92*(1+C93)</f>
        <v>1861.60105902972</v>
      </c>
      <c r="I93" s="14" t="n">
        <f aca="false">I92*(1+D93)</f>
        <v>1864.94798987618</v>
      </c>
      <c r="J93" s="14" t="n">
        <f aca="false">J92*(1+E93)</f>
        <v>1913.10431495812</v>
      </c>
      <c r="K93" s="14" t="n">
        <f aca="false">K92*(1+F93)</f>
        <v>1791.44668542117</v>
      </c>
      <c r="L93" s="14" t="n">
        <f aca="false">L92*(1+G93)</f>
        <v>1813.66584703277</v>
      </c>
      <c r="M93" s="14" t="n">
        <f aca="false">H93-H92</f>
        <v>-14.3361901138626</v>
      </c>
      <c r="N93" s="14" t="n">
        <f aca="false">I93-I92</f>
        <v>-20.4444214696612</v>
      </c>
      <c r="O93" s="14" t="n">
        <f aca="false">J93-J92</f>
        <v>-11.0194501320063</v>
      </c>
      <c r="P93" s="14" t="n">
        <f aca="false">K93-K92</f>
        <v>9.11567619977109</v>
      </c>
      <c r="Q93" s="14" t="n">
        <f aca="false">L93-L92</f>
        <v>-17.0905688316868</v>
      </c>
    </row>
    <row r="94" customFormat="false" ht="15" hidden="false" customHeight="false" outlineLevel="0" collapsed="false">
      <c r="A94" s="11" t="n">
        <v>46115</v>
      </c>
      <c r="B94" s="12" t="s">
        <v>48</v>
      </c>
      <c r="C94" s="13" t="n">
        <v>0.00728720713816078</v>
      </c>
      <c r="D94" s="13" t="n">
        <v>0.00108599284333962</v>
      </c>
      <c r="E94" s="13" t="n">
        <v>0.0112686571585927</v>
      </c>
      <c r="F94" s="13" t="n">
        <v>0.0286264053969212</v>
      </c>
      <c r="G94" s="13" t="n">
        <v>0.000755967188687368</v>
      </c>
      <c r="H94" s="14" t="n">
        <f aca="false">H93*(1+C94)</f>
        <v>1875.16693155549</v>
      </c>
      <c r="I94" s="14" t="n">
        <f aca="false">I93*(1+D94)</f>
        <v>1866.97331004639</v>
      </c>
      <c r="J94" s="14" t="n">
        <f aca="false">J93*(1+E94)</f>
        <v>1934.662431592</v>
      </c>
      <c r="K94" s="14" t="n">
        <f aca="false">K93*(1+F94)</f>
        <v>1842.72936448501</v>
      </c>
      <c r="L94" s="14" t="n">
        <f aca="false">L93*(1+G94)</f>
        <v>1815.03691890437</v>
      </c>
      <c r="M94" s="14" t="n">
        <f aca="false">H94-H93</f>
        <v>13.5658725257688</v>
      </c>
      <c r="N94" s="14" t="n">
        <f aca="false">I94-I93</f>
        <v>2.02532017020599</v>
      </c>
      <c r="O94" s="14" t="n">
        <f aca="false">J94-J93</f>
        <v>21.5581166338875</v>
      </c>
      <c r="P94" s="14" t="n">
        <f aca="false">K94-K93</f>
        <v>51.2826790638371</v>
      </c>
      <c r="Q94" s="14" t="n">
        <f aca="false">L94-L93</f>
        <v>1.37107187159972</v>
      </c>
    </row>
    <row r="95" customFormat="false" ht="15" hidden="false" customHeight="false" outlineLevel="0" collapsed="false">
      <c r="A95" s="11" t="n">
        <v>46116</v>
      </c>
      <c r="B95" s="12" t="s">
        <v>49</v>
      </c>
      <c r="C95" s="13" t="n">
        <v>0.0203479503353279</v>
      </c>
      <c r="D95" s="13" t="n">
        <v>0.0353135143293671</v>
      </c>
      <c r="E95" s="13" t="n">
        <v>0.0234746681642051</v>
      </c>
      <c r="F95" s="13" t="n">
        <v>0.0130605366617924</v>
      </c>
      <c r="G95" s="13" t="n">
        <v>0.0302339572924415</v>
      </c>
      <c r="H95" s="14" t="n">
        <f aca="false">H94*(1+C95)</f>
        <v>1913.32273514923</v>
      </c>
      <c r="I95" s="14" t="n">
        <f aca="false">I94*(1+D95)</f>
        <v>1932.90269878326</v>
      </c>
      <c r="J95" s="14" t="n">
        <f aca="false">J94*(1+E95)</f>
        <v>1980.07799018338</v>
      </c>
      <c r="K95" s="14" t="n">
        <f aca="false">K94*(1+F95)</f>
        <v>1866.79639890762</v>
      </c>
      <c r="L95" s="14" t="n">
        <f aca="false">L94*(1+G95)</f>
        <v>1869.91266759473</v>
      </c>
      <c r="M95" s="14" t="n">
        <f aca="false">H95-H94</f>
        <v>38.1558035937403</v>
      </c>
      <c r="N95" s="14" t="n">
        <f aca="false">I95-I94</f>
        <v>65.929388736869</v>
      </c>
      <c r="O95" s="14" t="n">
        <f aca="false">J95-J94</f>
        <v>45.4155585913763</v>
      </c>
      <c r="P95" s="14" t="n">
        <f aca="false">K95-K94</f>
        <v>24.0670344226178</v>
      </c>
      <c r="Q95" s="14" t="n">
        <f aca="false">L95-L94</f>
        <v>54.8757486903592</v>
      </c>
    </row>
    <row r="96" customFormat="false" ht="15" hidden="false" customHeight="false" outlineLevel="0" collapsed="false">
      <c r="A96" s="11" t="n">
        <v>46117</v>
      </c>
      <c r="B96" s="12" t="s">
        <v>50</v>
      </c>
      <c r="C96" s="13" t="n">
        <v>-0.0256415153792303</v>
      </c>
      <c r="D96" s="13" t="n">
        <v>-0.0301202032083248</v>
      </c>
      <c r="E96" s="13" t="n">
        <v>-0.0296203648600592</v>
      </c>
      <c r="F96" s="13" t="n">
        <v>-0.0281852326576593</v>
      </c>
      <c r="G96" s="13" t="n">
        <v>-0.0284010639925585</v>
      </c>
      <c r="H96" s="14" t="n">
        <f aca="false">H95*(1+C96)</f>
        <v>1864.26224081047</v>
      </c>
      <c r="I96" s="14" t="n">
        <f aca="false">I95*(1+D96)</f>
        <v>1874.68327671399</v>
      </c>
      <c r="J96" s="14" t="n">
        <f aca="false">J95*(1+E96)</f>
        <v>1921.42735766278</v>
      </c>
      <c r="K96" s="14" t="n">
        <f aca="false">K95*(1+F96)</f>
        <v>1814.18030807993</v>
      </c>
      <c r="L96" s="14" t="n">
        <f aca="false">L95*(1+G96)</f>
        <v>1816.80515826187</v>
      </c>
      <c r="M96" s="14" t="n">
        <f aca="false">H96-H95</f>
        <v>-49.06049433876</v>
      </c>
      <c r="N96" s="14" t="n">
        <f aca="false">I96-I95</f>
        <v>-58.2194220692711</v>
      </c>
      <c r="O96" s="14" t="n">
        <f aca="false">J96-J95</f>
        <v>-58.6506325206044</v>
      </c>
      <c r="P96" s="14" t="n">
        <f aca="false">K96-K95</f>
        <v>-52.6160908276918</v>
      </c>
      <c r="Q96" s="14" t="n">
        <f aca="false">L96-L95</f>
        <v>-53.1075093328536</v>
      </c>
    </row>
    <row r="97" customFormat="false" ht="15" hidden="false" customHeight="false" outlineLevel="0" collapsed="false">
      <c r="A97" s="11" t="n">
        <v>46118</v>
      </c>
      <c r="B97" s="12" t="s">
        <v>51</v>
      </c>
      <c r="C97" s="13" t="n">
        <v>-0.0307662792559311</v>
      </c>
      <c r="D97" s="13" t="n">
        <v>-0.0316535824424482</v>
      </c>
      <c r="E97" s="13" t="n">
        <v>-0.0330311834293624</v>
      </c>
      <c r="F97" s="13" t="n">
        <v>-0.0185487936895477</v>
      </c>
      <c r="G97" s="13" t="n">
        <v>-0.0263087173027715</v>
      </c>
      <c r="H97" s="14" t="n">
        <f aca="false">H96*(1+C97)</f>
        <v>1806.90582810341</v>
      </c>
      <c r="I97" s="14" t="n">
        <f aca="false">I96*(1+D97)</f>
        <v>1815.34283506104</v>
      </c>
      <c r="J97" s="14" t="n">
        <f aca="false">J96*(1+E97)</f>
        <v>1857.96033816562</v>
      </c>
      <c r="K97" s="14" t="n">
        <f aca="false">K96*(1+F97)</f>
        <v>1780.52945182972</v>
      </c>
      <c r="L97" s="14" t="n">
        <f aca="false">L96*(1+G97)</f>
        <v>1769.00734495894</v>
      </c>
      <c r="M97" s="14" t="n">
        <f aca="false">H97-H96</f>
        <v>-57.3564127070626</v>
      </c>
      <c r="N97" s="14" t="n">
        <f aca="false">I97-I96</f>
        <v>-59.3404416529452</v>
      </c>
      <c r="O97" s="14" t="n">
        <f aca="false">J97-J96</f>
        <v>-63.4670194971543</v>
      </c>
      <c r="P97" s="14" t="n">
        <f aca="false">K97-K96</f>
        <v>-33.6508562502147</v>
      </c>
      <c r="Q97" s="14" t="n">
        <f aca="false">L97-L96</f>
        <v>-47.7978133029287</v>
      </c>
    </row>
    <row r="98" customFormat="false" ht="15" hidden="false" customHeight="false" outlineLevel="0" collapsed="false">
      <c r="A98" s="11" t="n">
        <v>46119</v>
      </c>
      <c r="B98" s="12" t="s">
        <v>52</v>
      </c>
      <c r="C98" s="13" t="n">
        <v>0.0101841648146671</v>
      </c>
      <c r="D98" s="13" t="n">
        <v>0.0180447033782741</v>
      </c>
      <c r="E98" s="13" t="n">
        <v>0.018109566634269</v>
      </c>
      <c r="F98" s="13" t="n">
        <v>0.00684394818968681</v>
      </c>
      <c r="G98" s="13" t="n">
        <v>0.0117211913949911</v>
      </c>
      <c r="H98" s="14" t="n">
        <f aca="false">H97*(1+C98)</f>
        <v>1825.30765486139</v>
      </c>
      <c r="I98" s="14" t="n">
        <f aca="false">I97*(1+D98)</f>
        <v>1848.10015804959</v>
      </c>
      <c r="J98" s="14" t="n">
        <f aca="false">J97*(1+E98)</f>
        <v>1891.60719471346</v>
      </c>
      <c r="K98" s="14" t="n">
        <f aca="false">K97*(1+F98)</f>
        <v>1792.71530314825</v>
      </c>
      <c r="L98" s="14" t="n">
        <f aca="false">L97*(1+G98)</f>
        <v>1789.74221862835</v>
      </c>
      <c r="M98" s="14" t="n">
        <f aca="false">H98-H97</f>
        <v>18.4018267579879</v>
      </c>
      <c r="N98" s="14" t="n">
        <f aca="false">I98-I97</f>
        <v>32.7573229885516</v>
      </c>
      <c r="O98" s="14" t="n">
        <f aca="false">J98-J97</f>
        <v>33.6468565478392</v>
      </c>
      <c r="P98" s="14" t="n">
        <f aca="false">K98-K97</f>
        <v>12.1858513185339</v>
      </c>
      <c r="Q98" s="14" t="n">
        <f aca="false">L98-L97</f>
        <v>20.7348736694087</v>
      </c>
    </row>
    <row r="99" customFormat="false" ht="15" hidden="false" customHeight="false" outlineLevel="0" collapsed="false">
      <c r="A99" s="11" t="n">
        <v>46120</v>
      </c>
      <c r="B99" s="12" t="s">
        <v>53</v>
      </c>
      <c r="C99" s="13" t="n">
        <v>0.0191611795980969</v>
      </c>
      <c r="D99" s="13" t="n">
        <v>0.0207477166203355</v>
      </c>
      <c r="E99" s="13" t="n">
        <v>0.0221705736222286</v>
      </c>
      <c r="F99" s="13" t="n">
        <v>0.0194031297101832</v>
      </c>
      <c r="G99" s="13" t="n">
        <v>0.021095180054156</v>
      </c>
      <c r="H99" s="14" t="n">
        <f aca="false">H98*(1+C99)</f>
        <v>1860.28270265797</v>
      </c>
      <c r="I99" s="14" t="n">
        <f aca="false">I98*(1+D99)</f>
        <v>1886.4440164148</v>
      </c>
      <c r="J99" s="14" t="n">
        <f aca="false">J98*(1+E99)</f>
        <v>1933.54521128819</v>
      </c>
      <c r="K99" s="14" t="n">
        <f aca="false">K98*(1+F99)</f>
        <v>1827.49959070867</v>
      </c>
      <c r="L99" s="14" t="n">
        <f aca="false">L98*(1+G99)</f>
        <v>1827.49715298084</v>
      </c>
      <c r="M99" s="14" t="n">
        <f aca="false">H99-H98</f>
        <v>34.9750477965802</v>
      </c>
      <c r="N99" s="14" t="n">
        <f aca="false">I99-I98</f>
        <v>38.3438583652103</v>
      </c>
      <c r="O99" s="14" t="n">
        <f aca="false">J99-J98</f>
        <v>41.9380165747323</v>
      </c>
      <c r="P99" s="14" t="n">
        <f aca="false">K99-K98</f>
        <v>34.7842875604158</v>
      </c>
      <c r="Q99" s="14" t="n">
        <f aca="false">L99-L98</f>
        <v>37.7549343524895</v>
      </c>
    </row>
    <row r="100" customFormat="false" ht="15" hidden="false" customHeight="false" outlineLevel="0" collapsed="false">
      <c r="A100" s="11" t="n">
        <v>46121</v>
      </c>
      <c r="B100" s="12" t="s">
        <v>47</v>
      </c>
      <c r="C100" s="13" t="n">
        <v>0.00435510309148474</v>
      </c>
      <c r="D100" s="13" t="n">
        <v>0.014548968898528</v>
      </c>
      <c r="E100" s="13" t="n">
        <v>0.00345790648302991</v>
      </c>
      <c r="F100" s="13" t="n">
        <v>0.00794859392376185</v>
      </c>
      <c r="G100" s="13" t="n">
        <v>0.0132164619066162</v>
      </c>
      <c r="H100" s="14" t="n">
        <f aca="false">H99*(1+C100)</f>
        <v>1868.38442560735</v>
      </c>
      <c r="I100" s="14" t="n">
        <f aca="false">I99*(1+D100)</f>
        <v>1913.88983173844</v>
      </c>
      <c r="J100" s="14" t="n">
        <f aca="false">J99*(1+E100)</f>
        <v>1940.23122980954</v>
      </c>
      <c r="K100" s="14" t="n">
        <f aca="false">K99*(1+F100)</f>
        <v>1842.02564285105</v>
      </c>
      <c r="L100" s="14" t="n">
        <f aca="false">L99*(1+G100)</f>
        <v>1851.65019948766</v>
      </c>
      <c r="M100" s="14" t="n">
        <f aca="false">H100-H99</f>
        <v>8.10172294938138</v>
      </c>
      <c r="N100" s="14" t="n">
        <f aca="false">I100-I99</f>
        <v>27.4458153236335</v>
      </c>
      <c r="O100" s="14" t="n">
        <f aca="false">J100-J99</f>
        <v>6.68601852134498</v>
      </c>
      <c r="P100" s="14" t="n">
        <f aca="false">K100-K99</f>
        <v>14.5260521423841</v>
      </c>
      <c r="Q100" s="14" t="n">
        <f aca="false">L100-L99</f>
        <v>24.1530465068208</v>
      </c>
    </row>
    <row r="101" customFormat="false" ht="15" hidden="false" customHeight="false" outlineLevel="0" collapsed="false">
      <c r="A101" s="11" t="n">
        <v>46122</v>
      </c>
      <c r="B101" s="12" t="s">
        <v>48</v>
      </c>
      <c r="C101" s="13" t="n">
        <v>-0.0178860300935474</v>
      </c>
      <c r="D101" s="13" t="n">
        <v>0.0131362003940824</v>
      </c>
      <c r="E101" s="13" t="n">
        <v>-0.0178213789542748</v>
      </c>
      <c r="F101" s="13" t="n">
        <v>-0.0162440787207666</v>
      </c>
      <c r="G101" s="13" t="n">
        <v>0.0108761633228924</v>
      </c>
      <c r="H101" s="14" t="n">
        <f aca="false">H100*(1+C101)</f>
        <v>1834.96644554463</v>
      </c>
      <c r="I101" s="14" t="n">
        <f aca="false">I100*(1+D101)</f>
        <v>1939.03107210035</v>
      </c>
      <c r="J101" s="14" t="n">
        <f aca="false">J100*(1+E101)</f>
        <v>1905.65363380418</v>
      </c>
      <c r="K101" s="14" t="n">
        <f aca="false">K100*(1+F101)</f>
        <v>1812.10363330291</v>
      </c>
      <c r="L101" s="14" t="n">
        <f aca="false">L100*(1+G101)</f>
        <v>1871.78904947416</v>
      </c>
      <c r="M101" s="14" t="n">
        <f aca="false">H101-H100</f>
        <v>-33.4179800627285</v>
      </c>
      <c r="N101" s="14" t="n">
        <f aca="false">I101-I100</f>
        <v>25.1412403619129</v>
      </c>
      <c r="O101" s="14" t="n">
        <f aca="false">J101-J100</f>
        <v>-34.5775960053545</v>
      </c>
      <c r="P101" s="14" t="n">
        <f aca="false">K101-K100</f>
        <v>-29.922009548143</v>
      </c>
      <c r="Q101" s="14" t="n">
        <f aca="false">L101-L100</f>
        <v>20.1388499864943</v>
      </c>
    </row>
    <row r="102" customFormat="false" ht="15" hidden="false" customHeight="false" outlineLevel="0" collapsed="false">
      <c r="A102" s="11" t="n">
        <v>46123</v>
      </c>
      <c r="B102" s="12" t="s">
        <v>49</v>
      </c>
      <c r="C102" s="13" t="n">
        <v>-0.00238090783047557</v>
      </c>
      <c r="D102" s="13" t="n">
        <v>0.0141597623397157</v>
      </c>
      <c r="E102" s="13" t="n">
        <v>-0.00278891790357139</v>
      </c>
      <c r="F102" s="13" t="n">
        <v>-0.00771159111041375</v>
      </c>
      <c r="G102" s="13" t="n">
        <v>0.012357172340467</v>
      </c>
      <c r="H102" s="14" t="n">
        <f aca="false">H101*(1+C102)</f>
        <v>1830.59755956577</v>
      </c>
      <c r="I102" s="14" t="n">
        <f aca="false">I101*(1+D102)</f>
        <v>1966.48729125062</v>
      </c>
      <c r="J102" s="14" t="n">
        <f aca="false">J101*(1+E102)</f>
        <v>1900.33892226686</v>
      </c>
      <c r="K102" s="14" t="n">
        <f aca="false">K101*(1+F102)</f>
        <v>1798.12943103318</v>
      </c>
      <c r="L102" s="14" t="n">
        <f aca="false">L101*(1+G102)</f>
        <v>1894.91906934351</v>
      </c>
      <c r="M102" s="14" t="n">
        <f aca="false">H102-H101</f>
        <v>-4.36888597885695</v>
      </c>
      <c r="N102" s="14" t="n">
        <f aca="false">I102-I101</f>
        <v>27.4562191502653</v>
      </c>
      <c r="O102" s="14" t="n">
        <f aca="false">J102-J101</f>
        <v>-5.31471153732241</v>
      </c>
      <c r="P102" s="14" t="n">
        <f aca="false">K102-K101</f>
        <v>-13.9742022697271</v>
      </c>
      <c r="Q102" s="14" t="n">
        <f aca="false">L102-L101</f>
        <v>23.1300198693509</v>
      </c>
    </row>
    <row r="103" customFormat="false" ht="15" hidden="false" customHeight="false" outlineLevel="0" collapsed="false">
      <c r="A103" s="11" t="n">
        <v>46124</v>
      </c>
      <c r="B103" s="12" t="s">
        <v>50</v>
      </c>
      <c r="C103" s="13" t="n">
        <v>0.0287136320636205</v>
      </c>
      <c r="D103" s="13" t="n">
        <v>0.0360779100627325</v>
      </c>
      <c r="E103" s="13" t="n">
        <v>0.0304457256248591</v>
      </c>
      <c r="F103" s="13" t="n">
        <v>0.0280989347442968</v>
      </c>
      <c r="G103" s="13" t="n">
        <v>0.0328737100355276</v>
      </c>
      <c r="H103" s="14" t="n">
        <f aca="false">H102*(1+C103)</f>
        <v>1883.1606643477</v>
      </c>
      <c r="I103" s="14" t="n">
        <f aca="false">I102*(1+D103)</f>
        <v>2037.43404288386</v>
      </c>
      <c r="J103" s="14" t="n">
        <f aca="false">J102*(1+E103)</f>
        <v>1958.19611968844</v>
      </c>
      <c r="K103" s="14" t="n">
        <f aca="false">K102*(1+F103)</f>
        <v>1848.65495257758</v>
      </c>
      <c r="L103" s="14" t="n">
        <f aca="false">L102*(1+G103)</f>
        <v>1957.2120893699</v>
      </c>
      <c r="M103" s="14" t="n">
        <f aca="false">H103-H102</f>
        <v>52.5631047819331</v>
      </c>
      <c r="N103" s="14" t="n">
        <f aca="false">I103-I102</f>
        <v>70.9467516332461</v>
      </c>
      <c r="O103" s="14" t="n">
        <f aca="false">J103-J102</f>
        <v>57.8571974215774</v>
      </c>
      <c r="P103" s="14" t="n">
        <f aca="false">K103-K102</f>
        <v>50.5255215444008</v>
      </c>
      <c r="Q103" s="14" t="n">
        <f aca="false">L103-L102</f>
        <v>62.2930200263904</v>
      </c>
    </row>
    <row r="104" customFormat="false" ht="15" hidden="false" customHeight="false" outlineLevel="0" collapsed="false">
      <c r="A104" s="11" t="n">
        <v>46125</v>
      </c>
      <c r="B104" s="12" t="s">
        <v>51</v>
      </c>
      <c r="C104" s="13" t="n">
        <v>-0.0106155027381619</v>
      </c>
      <c r="D104" s="13" t="n">
        <v>-0.0119670048882333</v>
      </c>
      <c r="E104" s="13" t="n">
        <v>-0.0120762283768446</v>
      </c>
      <c r="F104" s="13" t="n">
        <v>-0.012887081682244</v>
      </c>
      <c r="G104" s="13" t="n">
        <v>-0.0144764205896811</v>
      </c>
      <c r="H104" s="14" t="n">
        <f aca="false">H103*(1+C104)</f>
        <v>1863.16996715892</v>
      </c>
      <c r="I104" s="14" t="n">
        <f aca="false">I103*(1+D104)</f>
        <v>2013.05205973322</v>
      </c>
      <c r="J104" s="14" t="n">
        <f aca="false">J103*(1+E104)</f>
        <v>1934.54849614043</v>
      </c>
      <c r="K104" s="14" t="n">
        <f aca="false">K103*(1+F104)</f>
        <v>1824.83118520143</v>
      </c>
      <c r="L104" s="14" t="n">
        <f aca="false">L103*(1+G104)</f>
        <v>1928.87866398097</v>
      </c>
      <c r="M104" s="14" t="n">
        <f aca="false">H104-H103</f>
        <v>-19.990697188782</v>
      </c>
      <c r="N104" s="14" t="n">
        <f aca="false">I104-I103</f>
        <v>-24.3819831506441</v>
      </c>
      <c r="O104" s="14" t="n">
        <f aca="false">J104-J103</f>
        <v>-23.6476235480084</v>
      </c>
      <c r="P104" s="14" t="n">
        <f aca="false">K104-K103</f>
        <v>-23.8237673761523</v>
      </c>
      <c r="Q104" s="14" t="n">
        <f aca="false">L104-L103</f>
        <v>-28.333425388927</v>
      </c>
    </row>
    <row r="105" customFormat="false" ht="15" hidden="false" customHeight="false" outlineLevel="0" collapsed="false">
      <c r="A105" s="11" t="n">
        <v>46126</v>
      </c>
      <c r="B105" s="12" t="s">
        <v>52</v>
      </c>
      <c r="C105" s="13" t="n">
        <v>0.0421266287670044</v>
      </c>
      <c r="D105" s="13" t="n">
        <v>0.0267509558158984</v>
      </c>
      <c r="E105" s="13" t="n">
        <v>0.0485055000201153</v>
      </c>
      <c r="F105" s="13" t="n">
        <v>0.0249763312300865</v>
      </c>
      <c r="G105" s="13" t="n">
        <v>0.0234351843777009</v>
      </c>
      <c r="H105" s="14" t="n">
        <f aca="false">H104*(1+C105)</f>
        <v>1941.65903669526</v>
      </c>
      <c r="I105" s="14" t="n">
        <f aca="false">I104*(1+D105)</f>
        <v>2066.90312643824</v>
      </c>
      <c r="J105" s="14" t="n">
        <f aca="false">J104*(1+E105)</f>
        <v>2028.38473825889</v>
      </c>
      <c r="K105" s="14" t="n">
        <f aca="false">K104*(1+F105)</f>
        <v>1870.40877332201</v>
      </c>
      <c r="L105" s="14" t="n">
        <f aca="false">L104*(1+G105)</f>
        <v>1974.08229111358</v>
      </c>
      <c r="M105" s="14" t="n">
        <f aca="false">H105-H104</f>
        <v>78.4890695363356</v>
      </c>
      <c r="N105" s="14" t="n">
        <f aca="false">I105-I104</f>
        <v>53.8510667050266</v>
      </c>
      <c r="O105" s="14" t="n">
        <f aca="false">J105-J104</f>
        <v>93.8362421184538</v>
      </c>
      <c r="P105" s="14" t="n">
        <f aca="false">K105-K104</f>
        <v>45.5775881205823</v>
      </c>
      <c r="Q105" s="14" t="n">
        <f aca="false">L105-L104</f>
        <v>45.2036271326072</v>
      </c>
    </row>
    <row r="106" customFormat="false" ht="15" hidden="false" customHeight="false" outlineLevel="0" collapsed="false">
      <c r="A106" s="11" t="n">
        <v>46127</v>
      </c>
      <c r="B106" s="12" t="s">
        <v>53</v>
      </c>
      <c r="C106" s="13" t="n">
        <v>-0.0073216974939771</v>
      </c>
      <c r="D106" s="13" t="n">
        <v>-0.00913518588025119</v>
      </c>
      <c r="E106" s="13" t="n">
        <v>-0.00715944376744516</v>
      </c>
      <c r="F106" s="13" t="n">
        <v>-0.0119911045453946</v>
      </c>
      <c r="G106" s="13" t="n">
        <v>-0.00702780336595765</v>
      </c>
      <c r="H106" s="14" t="n">
        <f aca="false">H105*(1+C106)</f>
        <v>1927.44279659213</v>
      </c>
      <c r="I106" s="14" t="n">
        <f aca="false">I105*(1+D106)</f>
        <v>2048.02158218176</v>
      </c>
      <c r="J106" s="14" t="n">
        <f aca="false">J105*(1+E106)</f>
        <v>2013.86263178658</v>
      </c>
      <c r="K106" s="14" t="n">
        <f aca="false">K105*(1+F106)</f>
        <v>1847.98050617848</v>
      </c>
      <c r="L106" s="14" t="n">
        <f aca="false">L105*(1+G106)</f>
        <v>1960.20882894341</v>
      </c>
      <c r="M106" s="14" t="n">
        <f aca="false">H106-H105</f>
        <v>-14.2162401031298</v>
      </c>
      <c r="N106" s="14" t="n">
        <f aca="false">I106-I105</f>
        <v>-18.8815442564855</v>
      </c>
      <c r="O106" s="14" t="n">
        <f aca="false">J106-J105</f>
        <v>-14.5221064723085</v>
      </c>
      <c r="P106" s="14" t="n">
        <f aca="false">K106-K105</f>
        <v>-22.4282671435274</v>
      </c>
      <c r="Q106" s="14" t="n">
        <f aca="false">L106-L105</f>
        <v>-13.8734621701653</v>
      </c>
    </row>
    <row r="107" customFormat="false" ht="15" hidden="false" customHeight="false" outlineLevel="0" collapsed="false">
      <c r="A107" s="11" t="n">
        <v>46128</v>
      </c>
      <c r="B107" s="12" t="s">
        <v>47</v>
      </c>
      <c r="C107" s="13" t="n">
        <v>0.0269823972008838</v>
      </c>
      <c r="D107" s="13" t="n">
        <v>0.0389686530110614</v>
      </c>
      <c r="E107" s="13" t="n">
        <v>0.036044738871862</v>
      </c>
      <c r="F107" s="13" t="n">
        <v>0.0268740189001299</v>
      </c>
      <c r="G107" s="13" t="n">
        <v>0.0349724485343556</v>
      </c>
      <c r="H107" s="14" t="n">
        <f aca="false">H106*(1+C107)</f>
        <v>1979.44982371176</v>
      </c>
      <c r="I107" s="14" t="n">
        <f aca="false">I106*(1+D107)</f>
        <v>2127.83022457697</v>
      </c>
      <c r="J107" s="14" t="n">
        <f aca="false">J106*(1+E107)</f>
        <v>2086.45178447312</v>
      </c>
      <c r="K107" s="14" t="n">
        <f aca="false">K106*(1+F107)</f>
        <v>1897.6431692286</v>
      </c>
      <c r="L107" s="14" t="n">
        <f aca="false">L106*(1+G107)</f>
        <v>2028.76213133023</v>
      </c>
      <c r="M107" s="14" t="n">
        <f aca="false">H107-H106</f>
        <v>52.007027119631</v>
      </c>
      <c r="N107" s="14" t="n">
        <f aca="false">I107-I106</f>
        <v>79.8086423952059</v>
      </c>
      <c r="O107" s="14" t="n">
        <f aca="false">J107-J106</f>
        <v>72.5891526865476</v>
      </c>
      <c r="P107" s="14" t="n">
        <f aca="false">K107-K106</f>
        <v>49.6626630501119</v>
      </c>
      <c r="Q107" s="14" t="n">
        <f aca="false">L107-L106</f>
        <v>68.5533023868131</v>
      </c>
    </row>
    <row r="108" customFormat="false" ht="15" hidden="false" customHeight="false" outlineLevel="0" collapsed="false">
      <c r="A108" s="11" t="n">
        <v>46129</v>
      </c>
      <c r="B108" s="12" t="s">
        <v>48</v>
      </c>
      <c r="C108" s="13" t="n">
        <v>0.0610416500149689</v>
      </c>
      <c r="D108" s="13" t="n">
        <v>0.0764058233275417</v>
      </c>
      <c r="E108" s="13" t="n">
        <v>0.0779896743196209</v>
      </c>
      <c r="F108" s="13" t="n">
        <v>0.0466773823767223</v>
      </c>
      <c r="G108" s="13" t="n">
        <v>0.0688613859060019</v>
      </c>
      <c r="H108" s="14" t="n">
        <f aca="false">H107*(1+C108)</f>
        <v>2100.27870707296</v>
      </c>
      <c r="I108" s="14" t="n">
        <f aca="false">I107*(1+D108)</f>
        <v>2290.408844787</v>
      </c>
      <c r="J108" s="14" t="n">
        <f aca="false">J107*(1+E108)</f>
        <v>2249.17347962777</v>
      </c>
      <c r="K108" s="14" t="n">
        <f aca="false">K107*(1+F108)</f>
        <v>1986.22018505325</v>
      </c>
      <c r="L108" s="14" t="n">
        <f aca="false">L107*(1+G108)</f>
        <v>2168.46550336724</v>
      </c>
      <c r="M108" s="14" t="n">
        <f aca="false">H108-H107</f>
        <v>120.828883361205</v>
      </c>
      <c r="N108" s="14" t="n">
        <f aca="false">I108-I107</f>
        <v>162.578620210031</v>
      </c>
      <c r="O108" s="14" t="n">
        <f aca="false">J108-J107</f>
        <v>162.721695154651</v>
      </c>
      <c r="P108" s="14" t="n">
        <f aca="false">K108-K107</f>
        <v>88.577015824658</v>
      </c>
      <c r="Q108" s="14" t="n">
        <f aca="false">L108-L107</f>
        <v>139.703372037013</v>
      </c>
    </row>
    <row r="109" customFormat="false" ht="15" hidden="false" customHeight="false" outlineLevel="0" collapsed="false">
      <c r="A109" s="11" t="n">
        <v>46130</v>
      </c>
      <c r="B109" s="12" t="s">
        <v>49</v>
      </c>
      <c r="C109" s="13" t="n">
        <v>0.0330460172798887</v>
      </c>
      <c r="D109" s="13" t="n">
        <v>0.0276544415647814</v>
      </c>
      <c r="E109" s="13" t="n">
        <v>0.0337487336599587</v>
      </c>
      <c r="F109" s="13" t="n">
        <v>0.0158057098360886</v>
      </c>
      <c r="G109" s="13" t="n">
        <v>0.0248610293738567</v>
      </c>
      <c r="H109" s="14" t="n">
        <f aca="false">H108*(1+C109)</f>
        <v>2169.68455351948</v>
      </c>
      <c r="I109" s="14" t="n">
        <f aca="false">I108*(1+D109)</f>
        <v>2353.74882234462</v>
      </c>
      <c r="J109" s="14" t="n">
        <f aca="false">J108*(1+E109)</f>
        <v>2325.08023634678</v>
      </c>
      <c r="K109" s="14" t="n">
        <f aca="false">K108*(1+F109)</f>
        <v>2017.61380496879</v>
      </c>
      <c r="L109" s="14" t="n">
        <f aca="false">L108*(1+G109)</f>
        <v>2222.37578794265</v>
      </c>
      <c r="M109" s="14" t="n">
        <f aca="false">H109-H108</f>
        <v>69.4058464465156</v>
      </c>
      <c r="N109" s="14" t="n">
        <f aca="false">I109-I108</f>
        <v>63.3399775576208</v>
      </c>
      <c r="O109" s="14" t="n">
        <f aca="false">J109-J108</f>
        <v>75.9067567190004</v>
      </c>
      <c r="P109" s="14" t="n">
        <f aca="false">K109-K108</f>
        <v>31.3936199155339</v>
      </c>
      <c r="Q109" s="14" t="n">
        <f aca="false">L109-L108</f>
        <v>53.9102845754078</v>
      </c>
    </row>
    <row r="110" customFormat="false" ht="15" hidden="false" customHeight="false" outlineLevel="0" collapsed="false">
      <c r="A110" s="11" t="n">
        <v>46131</v>
      </c>
      <c r="B110" s="12" t="s">
        <v>50</v>
      </c>
      <c r="C110" s="13" t="n">
        <v>0.00399660583948713</v>
      </c>
      <c r="D110" s="13" t="n">
        <v>0.00310307039731601</v>
      </c>
      <c r="E110" s="13" t="n">
        <v>0.00638540236649076</v>
      </c>
      <c r="F110" s="13" t="n">
        <v>-0.000766935539300129</v>
      </c>
      <c r="G110" s="13" t="n">
        <v>0.00358435350277853</v>
      </c>
      <c r="H110" s="14" t="n">
        <f aca="false">H109*(1+C110)</f>
        <v>2178.35592747592</v>
      </c>
      <c r="I110" s="14" t="n">
        <f aca="false">I109*(1+D110)</f>
        <v>2361.05267063795</v>
      </c>
      <c r="J110" s="14" t="n">
        <f aca="false">J109*(1+E110)</f>
        <v>2339.92680919022</v>
      </c>
      <c r="K110" s="14" t="n">
        <f aca="false">K109*(1+F110)</f>
        <v>2016.06642523717</v>
      </c>
      <c r="L110" s="14" t="n">
        <f aca="false">L109*(1+G110)</f>
        <v>2230.34156838265</v>
      </c>
      <c r="M110" s="14" t="n">
        <f aca="false">H110-H109</f>
        <v>8.67137395644113</v>
      </c>
      <c r="N110" s="14" t="n">
        <f aca="false">I110-I109</f>
        <v>7.30384829333525</v>
      </c>
      <c r="O110" s="14" t="n">
        <f aca="false">J110-J109</f>
        <v>14.8465728434494</v>
      </c>
      <c r="P110" s="14" t="n">
        <f aca="false">K110-K109</f>
        <v>-1.54737973161309</v>
      </c>
      <c r="Q110" s="14" t="n">
        <f aca="false">L110-L109</f>
        <v>7.96578044000262</v>
      </c>
    </row>
    <row r="111" customFormat="false" ht="15" hidden="false" customHeight="false" outlineLevel="0" collapsed="false">
      <c r="A111" s="11" t="n">
        <v>46132</v>
      </c>
      <c r="B111" s="12" t="s">
        <v>51</v>
      </c>
      <c r="C111" s="13" t="n">
        <v>0.00183395541425774</v>
      </c>
      <c r="D111" s="13" t="n">
        <v>0.00432204417381451</v>
      </c>
      <c r="E111" s="13" t="n">
        <v>0.0039583371986843</v>
      </c>
      <c r="F111" s="13" t="n">
        <v>0.00390619788446411</v>
      </c>
      <c r="G111" s="13" t="n">
        <v>0.0025104062113579</v>
      </c>
      <c r="H111" s="14" t="n">
        <f aca="false">H110*(1+C111)</f>
        <v>2182.35093512329</v>
      </c>
      <c r="I111" s="14" t="n">
        <f aca="false">I110*(1+D111)</f>
        <v>2371.25724457715</v>
      </c>
      <c r="J111" s="14" t="n">
        <f aca="false">J110*(1+E111)</f>
        <v>2349.18902852124</v>
      </c>
      <c r="K111" s="14" t="n">
        <f aca="false">K110*(1+F111)</f>
        <v>2023.94157964238</v>
      </c>
      <c r="L111" s="14" t="n">
        <f aca="false">L110*(1+G111)</f>
        <v>2235.94063170937</v>
      </c>
      <c r="M111" s="14" t="n">
        <f aca="false">H111-H110</f>
        <v>3.99500764737468</v>
      </c>
      <c r="N111" s="14" t="n">
        <f aca="false">I111-I110</f>
        <v>10.2045739392001</v>
      </c>
      <c r="O111" s="14" t="n">
        <f aca="false">J111-J110</f>
        <v>9.26221933101624</v>
      </c>
      <c r="P111" s="14" t="n">
        <f aca="false">K111-K110</f>
        <v>7.87515440520065</v>
      </c>
      <c r="Q111" s="14" t="n">
        <f aca="false">L111-L110</f>
        <v>5.59906332671744</v>
      </c>
    </row>
    <row r="112" customFormat="false" ht="15" hidden="false" customHeight="false" outlineLevel="0" collapsed="false">
      <c r="A112" s="11" t="n">
        <v>46133</v>
      </c>
      <c r="B112" s="12" t="s">
        <v>52</v>
      </c>
      <c r="C112" s="13" t="n">
        <v>-0.00516962468005555</v>
      </c>
      <c r="D112" s="13" t="n">
        <v>-0.0119093882252444</v>
      </c>
      <c r="E112" s="13" t="n">
        <v>-0.0118978425912827</v>
      </c>
      <c r="F112" s="13" t="n">
        <v>-0.00811030804991175</v>
      </c>
      <c r="G112" s="13" t="n">
        <v>-0.0106043155694646</v>
      </c>
      <c r="H112" s="14" t="n">
        <f aca="false">H111*(1+C112)</f>
        <v>2171.06899986854</v>
      </c>
      <c r="I112" s="14" t="n">
        <f aca="false">I111*(1+D112)</f>
        <v>2343.01702146956</v>
      </c>
      <c r="J112" s="14" t="n">
        <f aca="false">J111*(1+E112)</f>
        <v>2321.23874724273</v>
      </c>
      <c r="K112" s="14" t="n">
        <f aca="false">K111*(1+F112)</f>
        <v>2007.52678995645</v>
      </c>
      <c r="L112" s="14" t="n">
        <f aca="false">L111*(1+G112)</f>
        <v>2212.23001165613</v>
      </c>
      <c r="M112" s="14" t="n">
        <f aca="false">H112-H111</f>
        <v>-11.2819352547558</v>
      </c>
      <c r="N112" s="14" t="n">
        <f aca="false">I112-I111</f>
        <v>-28.2402231075926</v>
      </c>
      <c r="O112" s="14" t="n">
        <f aca="false">J112-J111</f>
        <v>-27.950281278514</v>
      </c>
      <c r="P112" s="14" t="n">
        <f aca="false">K112-K111</f>
        <v>-16.4147896859247</v>
      </c>
      <c r="Q112" s="14" t="n">
        <f aca="false">L112-L111</f>
        <v>-23.7106200532339</v>
      </c>
    </row>
    <row r="113" customFormat="false" ht="15" hidden="false" customHeight="false" outlineLevel="0" collapsed="false">
      <c r="A113" s="11" t="n">
        <v>46134</v>
      </c>
      <c r="B113" s="12" t="s">
        <v>53</v>
      </c>
      <c r="C113" s="13" t="n">
        <v>-0.00572682647607381</v>
      </c>
      <c r="D113" s="13" t="n">
        <v>-0.0162532713973347</v>
      </c>
      <c r="E113" s="13" t="n">
        <v>-0.0159473165950408</v>
      </c>
      <c r="F113" s="13" t="n">
        <v>-0.00980331467262302</v>
      </c>
      <c r="G113" s="13" t="n">
        <v>-0.013131351728519</v>
      </c>
      <c r="H113" s="14" t="n">
        <f aca="false">H112*(1+C113)</f>
        <v>2158.63566443871</v>
      </c>
      <c r="I113" s="14" t="n">
        <f aca="false">I112*(1+D113)</f>
        <v>2304.93532993104</v>
      </c>
      <c r="J113" s="14" t="n">
        <f aca="false">J112*(1+E113)</f>
        <v>2284.22121804777</v>
      </c>
      <c r="K113" s="14" t="n">
        <f aca="false">K112*(1+F113)</f>
        <v>1987.84637312079</v>
      </c>
      <c r="L113" s="14" t="n">
        <f aca="false">L112*(1+G113)</f>
        <v>2183.18044126869</v>
      </c>
      <c r="M113" s="14" t="n">
        <f aca="false">H113-H112</f>
        <v>-12.4333354298301</v>
      </c>
      <c r="N113" s="14" t="n">
        <f aca="false">I113-I112</f>
        <v>-38.0816915385194</v>
      </c>
      <c r="O113" s="14" t="n">
        <f aca="false">J113-J112</f>
        <v>-37.0175291949558</v>
      </c>
      <c r="P113" s="14" t="n">
        <f aca="false">K113-K112</f>
        <v>-19.6804168356639</v>
      </c>
      <c r="Q113" s="14" t="n">
        <f aca="false">L113-L112</f>
        <v>-29.0495703874421</v>
      </c>
    </row>
    <row r="114" customFormat="false" ht="15" hidden="false" customHeight="false" outlineLevel="0" collapsed="false">
      <c r="A114" s="11" t="n">
        <v>46135</v>
      </c>
      <c r="B114" s="12" t="s">
        <v>47</v>
      </c>
      <c r="C114" s="13" t="n">
        <v>0.0159876602195218</v>
      </c>
      <c r="D114" s="13" t="n">
        <v>0.0204646685351741</v>
      </c>
      <c r="E114" s="13" t="n">
        <v>0.0204276544227399</v>
      </c>
      <c r="F114" s="13" t="n">
        <v>0.00747018200455107</v>
      </c>
      <c r="G114" s="13" t="n">
        <v>0.0179184205715188</v>
      </c>
      <c r="H114" s="14" t="n">
        <f aca="false">H113*(1+C114)</f>
        <v>2193.1471979795</v>
      </c>
      <c r="I114" s="14" t="n">
        <f aca="false">I113*(1+D114)</f>
        <v>2352.10506745309</v>
      </c>
      <c r="J114" s="14" t="n">
        <f aca="false">J113*(1+E114)</f>
        <v>2330.88249971514</v>
      </c>
      <c r="K114" s="14" t="n">
        <f aca="false">K113*(1+F114)</f>
        <v>2002.69594732509</v>
      </c>
      <c r="L114" s="14" t="n">
        <f aca="false">L113*(1+G114)</f>
        <v>2222.29958659886</v>
      </c>
      <c r="M114" s="14" t="n">
        <f aca="false">H114-H113</f>
        <v>34.5115335407877</v>
      </c>
      <c r="N114" s="14" t="n">
        <f aca="false">I114-I113</f>
        <v>47.169737522051</v>
      </c>
      <c r="O114" s="14" t="n">
        <f aca="false">J114-J113</f>
        <v>46.6612816673701</v>
      </c>
      <c r="P114" s="14" t="n">
        <f aca="false">K114-K113</f>
        <v>14.849574204299</v>
      </c>
      <c r="Q114" s="14" t="n">
        <f aca="false">L114-L113</f>
        <v>39.1191453301663</v>
      </c>
    </row>
    <row r="115" customFormat="false" ht="15" hidden="false" customHeight="false" outlineLevel="0" collapsed="false">
      <c r="A115" s="11" t="n">
        <v>46136</v>
      </c>
      <c r="B115" s="12" t="s">
        <v>48</v>
      </c>
      <c r="C115" s="13" t="n">
        <v>-0.00775360206634895</v>
      </c>
      <c r="D115" s="13" t="n">
        <v>-0.00771986061319029</v>
      </c>
      <c r="E115" s="13" t="n">
        <v>-0.00772109608419707</v>
      </c>
      <c r="F115" s="13" t="n">
        <v>-0.0165039175040156</v>
      </c>
      <c r="G115" s="13" t="n">
        <v>-0.00638300584020585</v>
      </c>
      <c r="H115" s="14" t="n">
        <f aca="false">H114*(1+C115)</f>
        <v>2176.14240733343</v>
      </c>
      <c r="I115" s="14" t="n">
        <f aca="false">I114*(1+D115)</f>
        <v>2333.94714418478</v>
      </c>
      <c r="J115" s="14" t="n">
        <f aca="false">J114*(1+E115)</f>
        <v>2312.88553197387</v>
      </c>
      <c r="K115" s="14" t="n">
        <f aca="false">K114*(1+F115)</f>
        <v>1969.64361862481</v>
      </c>
      <c r="L115" s="14" t="n">
        <f aca="false">L114*(1+G115)</f>
        <v>2208.11463535891</v>
      </c>
      <c r="M115" s="14" t="n">
        <f aca="false">H115-H114</f>
        <v>-17.0047906460609</v>
      </c>
      <c r="N115" s="14" t="n">
        <f aca="false">I115-I114</f>
        <v>-18.1579232683166</v>
      </c>
      <c r="O115" s="14" t="n">
        <f aca="false">J115-J114</f>
        <v>-17.9969677412741</v>
      </c>
      <c r="P115" s="14" t="n">
        <f aca="false">K115-K114</f>
        <v>-33.0523287002795</v>
      </c>
      <c r="Q115" s="14" t="n">
        <f aca="false">L115-L114</f>
        <v>-14.1849512399476</v>
      </c>
    </row>
    <row r="116" customFormat="false" ht="15" hidden="false" customHeight="false" outlineLevel="0" collapsed="false">
      <c r="A116" s="11" t="n">
        <v>46137</v>
      </c>
      <c r="B116" s="12" t="s">
        <v>49</v>
      </c>
      <c r="C116" s="13" t="n">
        <v>0.0328029461409165</v>
      </c>
      <c r="D116" s="13" t="n">
        <v>0.0334022808498611</v>
      </c>
      <c r="E116" s="13" t="n">
        <v>0.0334022804407563</v>
      </c>
      <c r="F116" s="13" t="n">
        <v>0.0281017549373559</v>
      </c>
      <c r="G116" s="13" t="n">
        <v>0.0342042591635713</v>
      </c>
      <c r="H116" s="14" t="n">
        <f aca="false">H115*(1+C116)</f>
        <v>2247.52628951616</v>
      </c>
      <c r="I116" s="14" t="n">
        <f aca="false">I115*(1+D116)</f>
        <v>2411.90630218357</v>
      </c>
      <c r="J116" s="14" t="n">
        <f aca="false">J115*(1+E116)</f>
        <v>2390.14118314023</v>
      </c>
      <c r="K116" s="14" t="n">
        <f aca="false">K115*(1+F116)</f>
        <v>2024.99406090933</v>
      </c>
      <c r="L116" s="14" t="n">
        <f aca="false">L115*(1+G116)</f>
        <v>2283.6415606096</v>
      </c>
      <c r="M116" s="14" t="n">
        <f aca="false">H116-H115</f>
        <v>71.383882182723</v>
      </c>
      <c r="N116" s="14" t="n">
        <f aca="false">I116-I115</f>
        <v>77.9591579987909</v>
      </c>
      <c r="O116" s="14" t="n">
        <f aca="false">J116-J115</f>
        <v>77.2556511663588</v>
      </c>
      <c r="P116" s="14" t="n">
        <f aca="false">K116-K115</f>
        <v>55.3504422845213</v>
      </c>
      <c r="Q116" s="14" t="n">
        <f aca="false">L116-L115</f>
        <v>75.526925250691</v>
      </c>
    </row>
    <row r="117" customFormat="false" ht="15" hidden="false" customHeight="false" outlineLevel="0" collapsed="false">
      <c r="A117" s="11" t="n">
        <v>46138</v>
      </c>
      <c r="B117" s="12" t="s">
        <v>50</v>
      </c>
      <c r="C117" s="13" t="n">
        <v>-0.000250725224750226</v>
      </c>
      <c r="D117" s="13" t="n">
        <v>-8.18486170884064E-005</v>
      </c>
      <c r="E117" s="13" t="n">
        <v>-8.18484164042482E-005</v>
      </c>
      <c r="F117" s="13" t="n">
        <v>-0.00348736910621939</v>
      </c>
      <c r="G117" s="13" t="n">
        <v>-4.22026961230948E-005</v>
      </c>
      <c r="H117" s="14" t="n">
        <f aca="false">H116*(1+C117)</f>
        <v>2246.96277798209</v>
      </c>
      <c r="I117" s="14" t="n">
        <f aca="false">I116*(1+D117)</f>
        <v>2411.70889098819</v>
      </c>
      <c r="J117" s="14" t="n">
        <f aca="false">J116*(1+E117)</f>
        <v>2389.9455538694</v>
      </c>
      <c r="K117" s="14" t="n">
        <f aca="false">K116*(1+F117)</f>
        <v>2017.93215918103</v>
      </c>
      <c r="L117" s="14" t="n">
        <f aca="false">L116*(1+G117)</f>
        <v>2283.54518477877</v>
      </c>
      <c r="M117" s="14" t="n">
        <f aca="false">H117-H116</f>
        <v>-0.56351153407104</v>
      </c>
      <c r="N117" s="14" t="n">
        <f aca="false">I117-I116</f>
        <v>-0.197411195380482</v>
      </c>
      <c r="O117" s="14" t="n">
        <f aca="false">J117-J116</f>
        <v>-0.195629270822792</v>
      </c>
      <c r="P117" s="14" t="n">
        <f aca="false">K117-K116</f>
        <v>-7.06190172829292</v>
      </c>
      <c r="Q117" s="14" t="n">
        <f aca="false">L117-L116</f>
        <v>-0.0963758308366778</v>
      </c>
    </row>
    <row r="118" customFormat="false" ht="15" hidden="false" customHeight="false" outlineLevel="0" collapsed="false">
      <c r="A118" s="11" t="n">
        <v>46139</v>
      </c>
      <c r="B118" s="12" t="s">
        <v>51</v>
      </c>
      <c r="C118" s="13" t="n">
        <v>0.0181188158160281</v>
      </c>
      <c r="D118" s="13" t="n">
        <v>0.0237511172210707</v>
      </c>
      <c r="E118" s="13" t="n">
        <v>0.0237511167758392</v>
      </c>
      <c r="F118" s="13" t="n">
        <v>0.0141777769913828</v>
      </c>
      <c r="G118" s="13" t="n">
        <v>0.0215674752966549</v>
      </c>
      <c r="H118" s="14" t="n">
        <f aca="false">H117*(1+C118)</f>
        <v>2287.67508270181</v>
      </c>
      <c r="I118" s="14" t="n">
        <f aca="false">I117*(1+D118)</f>
        <v>2468.98967156114</v>
      </c>
      <c r="J118" s="14" t="n">
        <f aca="false">J117*(1+E118)</f>
        <v>2446.70942980725</v>
      </c>
      <c r="K118" s="14" t="n">
        <f aca="false">K117*(1+F118)</f>
        <v>2046.54195131764</v>
      </c>
      <c r="L118" s="14" t="n">
        <f aca="false">L117*(1+G118)</f>
        <v>2332.79548914028</v>
      </c>
      <c r="M118" s="14" t="n">
        <f aca="false">H118-H117</f>
        <v>40.7123047197283</v>
      </c>
      <c r="N118" s="14" t="n">
        <f aca="false">I118-I117</f>
        <v>57.280780572959</v>
      </c>
      <c r="O118" s="14" t="n">
        <f aca="false">J118-J117</f>
        <v>56.7638759378497</v>
      </c>
      <c r="P118" s="14" t="n">
        <f aca="false">K118-K117</f>
        <v>28.6097921366081</v>
      </c>
      <c r="Q118" s="14" t="n">
        <f aca="false">L118-L117</f>
        <v>49.2503043615116</v>
      </c>
    </row>
    <row r="119" customFormat="false" ht="15" hidden="false" customHeight="false" outlineLevel="0" collapsed="false">
      <c r="A119" s="11" t="n">
        <v>46140</v>
      </c>
      <c r="B119" s="12" t="s">
        <v>52</v>
      </c>
      <c r="C119" s="13" t="n">
        <v>0.0107391098408983</v>
      </c>
      <c r="D119" s="13" t="n">
        <v>0.0112286235921465</v>
      </c>
      <c r="E119" s="13" t="n">
        <v>0.0112286235897699</v>
      </c>
      <c r="F119" s="13" t="n">
        <v>0.0088121619952567</v>
      </c>
      <c r="G119" s="13" t="n">
        <v>0.0102146134145639</v>
      </c>
      <c r="H119" s="14" t="n">
        <f aca="false">H118*(1+C119)</f>
        <v>2312.24267669524</v>
      </c>
      <c r="I119" s="14" t="n">
        <f aca="false">I118*(1+D119)</f>
        <v>2496.713027236</v>
      </c>
      <c r="J119" s="14" t="n">
        <f aca="false">J118*(1+E119)</f>
        <v>2474.1826090281</v>
      </c>
      <c r="K119" s="14" t="n">
        <f aca="false">K118*(1+F119)</f>
        <v>2064.57641052274</v>
      </c>
      <c r="L119" s="14" t="n">
        <f aca="false">L118*(1+G119)</f>
        <v>2356.62409323708</v>
      </c>
      <c r="M119" s="14" t="n">
        <f aca="false">H119-H118</f>
        <v>24.5675939934208</v>
      </c>
      <c r="N119" s="14" t="n">
        <f aca="false">I119-I118</f>
        <v>27.7233556748574</v>
      </c>
      <c r="O119" s="14" t="n">
        <f aca="false">J119-J118</f>
        <v>27.4731792208459</v>
      </c>
      <c r="P119" s="14" t="n">
        <f aca="false">K119-K118</f>
        <v>18.0344592050994</v>
      </c>
      <c r="Q119" s="14" t="n">
        <f aca="false">L119-L118</f>
        <v>23.8286040968064</v>
      </c>
    </row>
    <row r="120" customFormat="false" ht="15" hidden="false" customHeight="false" outlineLevel="0" collapsed="false">
      <c r="A120" s="11" t="n">
        <v>46141</v>
      </c>
      <c r="B120" s="12" t="s">
        <v>53</v>
      </c>
      <c r="C120" s="13" t="n">
        <v>-0.000641186381467984</v>
      </c>
      <c r="D120" s="13" t="n">
        <v>-0.00055013724859419</v>
      </c>
      <c r="E120" s="13" t="n">
        <v>-0.000563534303484295</v>
      </c>
      <c r="F120" s="13" t="n">
        <v>0.00316174617938592</v>
      </c>
      <c r="G120" s="13" t="n">
        <v>0.00503121914419447</v>
      </c>
      <c r="H120" s="14" t="n">
        <f aca="false">H119*(1+C120)</f>
        <v>2310.76009818029</v>
      </c>
      <c r="I120" s="14" t="n">
        <f aca="false">I119*(1+D120)</f>
        <v>2495.33949240067</v>
      </c>
      <c r="J120" s="14" t="n">
        <f aca="false">J119*(1+E120)</f>
        <v>2472.78832225483</v>
      </c>
      <c r="K120" s="14" t="n">
        <f aca="false">K119*(1+F120)</f>
        <v>2071.10407710076</v>
      </c>
      <c r="L120" s="14" t="n">
        <f aca="false">L119*(1+G120)</f>
        <v>2368.48078549065</v>
      </c>
      <c r="M120" s="14" t="n">
        <f aca="false">H120-H119</f>
        <v>-1.482578514946</v>
      </c>
      <c r="N120" s="14" t="n">
        <f aca="false">I120-I119</f>
        <v>-1.37353483533298</v>
      </c>
      <c r="O120" s="14" t="n">
        <f aca="false">J120-J119</f>
        <v>-1.39428677327169</v>
      </c>
      <c r="P120" s="14" t="n">
        <f aca="false">K120-K119</f>
        <v>6.52766657802022</v>
      </c>
      <c r="Q120" s="14" t="n">
        <f aca="false">L120-L119</f>
        <v>11.8566922535647</v>
      </c>
    </row>
    <row r="121" customFormat="false" ht="15" hidden="false" customHeight="false" outlineLevel="0" collapsed="false">
      <c r="A121" s="11" t="n">
        <v>46142</v>
      </c>
      <c r="B121" s="12" t="s">
        <v>47</v>
      </c>
      <c r="C121" s="13" t="n">
        <v>0.038079543311991</v>
      </c>
      <c r="D121" s="13" t="n">
        <v>0.0445179254411879</v>
      </c>
      <c r="E121" s="13" t="n">
        <v>0.0445179254337155</v>
      </c>
      <c r="F121" s="13" t="n">
        <v>0.0378728541284388</v>
      </c>
      <c r="G121" s="13" t="n">
        <v>0.0375649267770735</v>
      </c>
      <c r="H121" s="14" t="n">
        <f aca="false">H120*(1+C121)</f>
        <v>2398.75278742257</v>
      </c>
      <c r="I121" s="14" t="n">
        <f aca="false">I120*(1+D121)</f>
        <v>2606.42682987381</v>
      </c>
      <c r="J121" s="14" t="n">
        <f aca="false">J120*(1+E121)</f>
        <v>2582.87172839833</v>
      </c>
      <c r="K121" s="14" t="n">
        <f aca="false">K120*(1+F121)</f>
        <v>2149.54269969761</v>
      </c>
      <c r="L121" s="14" t="n">
        <f aca="false">L120*(1+G121)</f>
        <v>2457.45259277051</v>
      </c>
      <c r="M121" s="14" t="n">
        <f aca="false">H121-H120</f>
        <v>87.9926892422773</v>
      </c>
      <c r="N121" s="14" t="n">
        <f aca="false">I121-I120</f>
        <v>111.087337473145</v>
      </c>
      <c r="O121" s="14" t="n">
        <f aca="false">J121-J120</f>
        <v>110.083406143503</v>
      </c>
      <c r="P121" s="14" t="n">
        <f aca="false">K121-K120</f>
        <v>78.4386225968519</v>
      </c>
      <c r="Q121" s="14" t="n">
        <f aca="false">L121-L120</f>
        <v>88.9718072798614</v>
      </c>
    </row>
    <row r="122" customFormat="false" ht="15" hidden="false" customHeight="false" outlineLevel="0" collapsed="false">
      <c r="A122" s="11" t="n">
        <v>46143</v>
      </c>
      <c r="B122" s="12" t="s">
        <v>48</v>
      </c>
      <c r="C122" s="13" t="n">
        <v>0.015644710191616</v>
      </c>
      <c r="D122" s="13" t="n">
        <v>0.0147797898106868</v>
      </c>
      <c r="E122" s="13" t="n">
        <v>0.0147797898114244</v>
      </c>
      <c r="F122" s="13" t="n">
        <v>0.00810582682223338</v>
      </c>
      <c r="G122" s="13" t="n">
        <v>0.0110562462142078</v>
      </c>
      <c r="H122" s="14" t="n">
        <f aca="false">H121*(1+C122)</f>
        <v>2436.28057960312</v>
      </c>
      <c r="I122" s="14" t="n">
        <f aca="false">I121*(1+D122)</f>
        <v>2644.94927057628</v>
      </c>
      <c r="J122" s="14" t="n">
        <f aca="false">J121*(1+E122)</f>
        <v>2621.04602965393</v>
      </c>
      <c r="K122" s="14" t="n">
        <f aca="false">K121*(1+F122)</f>
        <v>2166.96652056836</v>
      </c>
      <c r="L122" s="14" t="n">
        <f aca="false">L121*(1+G122)</f>
        <v>2484.62279369592</v>
      </c>
      <c r="M122" s="14" t="n">
        <f aca="false">H122-H121</f>
        <v>37.5277921805568</v>
      </c>
      <c r="N122" s="14" t="n">
        <f aca="false">I122-I121</f>
        <v>38.5224407024693</v>
      </c>
      <c r="O122" s="14" t="n">
        <f aca="false">J122-J121</f>
        <v>38.1743012555976</v>
      </c>
      <c r="P122" s="14" t="n">
        <f aca="false">K122-K121</f>
        <v>17.4238208707448</v>
      </c>
      <c r="Q122" s="14" t="n">
        <f aca="false">L122-L121</f>
        <v>27.1702009254136</v>
      </c>
    </row>
    <row r="123" customFormat="false" ht="15" hidden="false" customHeight="false" outlineLevel="0" collapsed="false">
      <c r="A123" s="11" t="n">
        <v>46144</v>
      </c>
      <c r="B123" s="12" t="s">
        <v>49</v>
      </c>
      <c r="C123" s="13" t="n">
        <v>0.00687828087234388</v>
      </c>
      <c r="D123" s="13" t="n">
        <v>0.00792163571606665</v>
      </c>
      <c r="E123" s="13" t="n">
        <v>0.00792163571804575</v>
      </c>
      <c r="F123" s="13" t="n">
        <v>0.00723598023249072</v>
      </c>
      <c r="G123" s="13" t="n">
        <v>0.00724791327409868</v>
      </c>
      <c r="H123" s="14" t="n">
        <f aca="false">H122*(1+C123)</f>
        <v>2453.03800171347</v>
      </c>
      <c r="I123" s="14" t="n">
        <f aca="false">I122*(1+D123)</f>
        <v>2665.90159518526</v>
      </c>
      <c r="J123" s="14" t="n">
        <f aca="false">J122*(1+E123)</f>
        <v>2641.80900150108</v>
      </c>
      <c r="K123" s="14" t="n">
        <f aca="false">K122*(1+F123)</f>
        <v>2182.64664747566</v>
      </c>
      <c r="L123" s="14" t="n">
        <f aca="false">L122*(1+G123)</f>
        <v>2502.63112422348</v>
      </c>
      <c r="M123" s="14" t="n">
        <f aca="false">H123-H122</f>
        <v>16.7574221103473</v>
      </c>
      <c r="N123" s="14" t="n">
        <f aca="false">I123-I122</f>
        <v>20.9523246089816</v>
      </c>
      <c r="O123" s="14" t="n">
        <f aca="false">J123-J122</f>
        <v>20.7629718471489</v>
      </c>
      <c r="P123" s="14" t="n">
        <f aca="false">K123-K122</f>
        <v>15.6801269073021</v>
      </c>
      <c r="Q123" s="14" t="n">
        <f aca="false">L123-L122</f>
        <v>18.0083305275566</v>
      </c>
    </row>
    <row r="124" customFormat="false" ht="15" hidden="false" customHeight="false" outlineLevel="0" collapsed="false">
      <c r="A124" s="11" t="n">
        <v>46145</v>
      </c>
      <c r="B124" s="12" t="s">
        <v>50</v>
      </c>
      <c r="C124" s="13" t="n">
        <v>-0.00270225044638167</v>
      </c>
      <c r="D124" s="13" t="n">
        <v>0.000292961945235296</v>
      </c>
      <c r="E124" s="13" t="n">
        <v>0.000297152525638261</v>
      </c>
      <c r="F124" s="13" t="n">
        <v>-0.00534402175985393</v>
      </c>
      <c r="G124" s="13" t="n">
        <v>0.0016322375359451</v>
      </c>
      <c r="H124" s="14" t="n">
        <f aca="false">H123*(1+C124)</f>
        <v>2446.40927867835</v>
      </c>
      <c r="I124" s="14" t="n">
        <f aca="false">I123*(1+D124)</f>
        <v>2666.6826029024</v>
      </c>
      <c r="J124" s="14" t="n">
        <f aca="false">J123*(1+E124)</f>
        <v>2642.59402171813</v>
      </c>
      <c r="K124" s="14" t="n">
        <f aca="false">K123*(1+F124)</f>
        <v>2170.98253629748</v>
      </c>
      <c r="L124" s="14" t="n">
        <f aca="false">L123*(1+G124)</f>
        <v>2506.71601268306</v>
      </c>
      <c r="M124" s="14" t="n">
        <f aca="false">H124-H123</f>
        <v>-6.62872303512131</v>
      </c>
      <c r="N124" s="14" t="n">
        <f aca="false">I124-I123</f>
        <v>0.781007717131161</v>
      </c>
      <c r="O124" s="14" t="n">
        <f aca="false">J124-J123</f>
        <v>0.78502021705026</v>
      </c>
      <c r="P124" s="14" t="n">
        <f aca="false">K124-K123</f>
        <v>-11.6641111781823</v>
      </c>
      <c r="Q124" s="14" t="n">
        <f aca="false">L124-L123</f>
        <v>4.08488845958163</v>
      </c>
    </row>
    <row r="125" customFormat="false" ht="15" hidden="false" customHeight="false" outlineLevel="0" collapsed="false">
      <c r="A125" s="11" t="n">
        <v>46146</v>
      </c>
      <c r="B125" s="12" t="s">
        <v>51</v>
      </c>
      <c r="C125" s="13" t="n">
        <v>0.0146320569473097</v>
      </c>
      <c r="D125" s="13" t="n">
        <v>0.0174376594881365</v>
      </c>
      <c r="E125" s="13" t="n">
        <v>0.0174456456008152</v>
      </c>
      <c r="F125" s="13" t="n">
        <v>0.0058416798151012</v>
      </c>
      <c r="G125" s="13" t="n">
        <v>0.0153482652357597</v>
      </c>
      <c r="H125" s="14" t="n">
        <f aca="false">H124*(1+C125)</f>
        <v>2482.2052785604</v>
      </c>
      <c r="I125" s="14" t="n">
        <f aca="false">I124*(1+D125)</f>
        <v>2713.18330609474</v>
      </c>
      <c r="J125" s="14" t="n">
        <f aca="false">J124*(1+E125)</f>
        <v>2688.69578048785</v>
      </c>
      <c r="K125" s="14" t="n">
        <f aca="false">K124*(1+F125)</f>
        <v>2183.66472115871</v>
      </c>
      <c r="L125" s="14" t="n">
        <f aca="false">L124*(1+G125)</f>
        <v>2545.18975491645</v>
      </c>
      <c r="M125" s="14" t="n">
        <f aca="false">H125-H124</f>
        <v>35.7959998820484</v>
      </c>
      <c r="N125" s="14" t="n">
        <f aca="false">I125-I124</f>
        <v>46.5007031923492</v>
      </c>
      <c r="O125" s="14" t="n">
        <f aca="false">J125-J124</f>
        <v>46.1017587697274</v>
      </c>
      <c r="P125" s="14" t="n">
        <f aca="false">K125-K124</f>
        <v>12.6821848612262</v>
      </c>
      <c r="Q125" s="14" t="n">
        <f aca="false">L125-L124</f>
        <v>38.4737422333856</v>
      </c>
    </row>
    <row r="126" customFormat="false" ht="15" hidden="false" customHeight="false" outlineLevel="0" collapsed="false">
      <c r="A126" s="11" t="n">
        <v>46147</v>
      </c>
      <c r="B126" s="12" t="s">
        <v>52</v>
      </c>
      <c r="C126" s="13" t="n">
        <v>0.0154977000846781</v>
      </c>
      <c r="D126" s="13" t="n">
        <v>0.00759299646961658</v>
      </c>
      <c r="E126" s="13" t="n">
        <v>0.00759299646961658</v>
      </c>
      <c r="F126" s="13" t="n">
        <v>0.0123255088005649</v>
      </c>
      <c r="G126" s="13" t="n">
        <v>0.00490086880065421</v>
      </c>
      <c r="H126" s="14" t="n">
        <f aca="false">H125*(1+C126)</f>
        <v>2520.67375151613</v>
      </c>
      <c r="I126" s="14" t="n">
        <f aca="false">I125*(1+D126)</f>
        <v>2733.78449735935</v>
      </c>
      <c r="J126" s="14" t="n">
        <f aca="false">J125*(1+E126)</f>
        <v>2709.11103805697</v>
      </c>
      <c r="K126" s="14" t="n">
        <f aca="false">K125*(1+F126)</f>
        <v>2210.57949989683</v>
      </c>
      <c r="L126" s="14" t="n">
        <f aca="false">L125*(1+G126)</f>
        <v>2557.66339597806</v>
      </c>
      <c r="M126" s="14" t="n">
        <f aca="false">H126-H125</f>
        <v>38.4684729557339</v>
      </c>
      <c r="N126" s="14" t="n">
        <f aca="false">I126-I125</f>
        <v>20.6011912646004</v>
      </c>
      <c r="O126" s="14" t="n">
        <f aca="false">J126-J125</f>
        <v>20.4152575691173</v>
      </c>
      <c r="P126" s="14" t="n">
        <f aca="false">K126-K125</f>
        <v>26.9147787381248</v>
      </c>
      <c r="Q126" s="14" t="n">
        <f aca="false">L126-L125</f>
        <v>12.4736410616147</v>
      </c>
    </row>
    <row r="127" customFormat="false" ht="15" hidden="false" customHeight="false" outlineLevel="0" collapsed="false">
      <c r="A127" s="11" t="n">
        <v>46148</v>
      </c>
      <c r="B127" s="12" t="s">
        <v>53</v>
      </c>
      <c r="C127" s="13" t="n">
        <v>0.016973454164594</v>
      </c>
      <c r="D127" s="13" t="n">
        <v>0.0133317868210731</v>
      </c>
      <c r="E127" s="13" t="n">
        <v>0.0133317868210733</v>
      </c>
      <c r="F127" s="13" t="n">
        <v>0.00863547490365024</v>
      </c>
      <c r="G127" s="13" t="n">
        <v>0.0124873541158552</v>
      </c>
      <c r="H127" s="14" t="n">
        <f aca="false">H126*(1+C127)</f>
        <v>2563.45829190139</v>
      </c>
      <c r="I127" s="14" t="n">
        <f aca="false">I126*(1+D127)</f>
        <v>2770.23072949289</v>
      </c>
      <c r="J127" s="14" t="n">
        <f aca="false">J126*(1+E127)</f>
        <v>2745.22832889096</v>
      </c>
      <c r="K127" s="14" t="n">
        <f aca="false">K126*(1+F127)</f>
        <v>2229.66890369071</v>
      </c>
      <c r="L127" s="14" t="n">
        <f aca="false">L126*(1+G127)</f>
        <v>2589.6018445128</v>
      </c>
      <c r="M127" s="14" t="n">
        <f aca="false">H127-H126</f>
        <v>42.7845403852543</v>
      </c>
      <c r="N127" s="14" t="n">
        <f aca="false">I127-I126</f>
        <v>36.4462321335495</v>
      </c>
      <c r="O127" s="14" t="n">
        <f aca="false">J127-J126</f>
        <v>36.1172908339918</v>
      </c>
      <c r="P127" s="14" t="n">
        <f aca="false">K127-K126</f>
        <v>19.0894037938824</v>
      </c>
      <c r="Q127" s="14" t="n">
        <f aca="false">L127-L126</f>
        <v>31.9384485347387</v>
      </c>
    </row>
    <row r="128" customFormat="false" ht="15" hidden="false" customHeight="false" outlineLevel="0" collapsed="false">
      <c r="A128" s="11" t="n">
        <v>46149</v>
      </c>
      <c r="B128" s="12" t="s">
        <v>47</v>
      </c>
      <c r="C128" s="13" t="n">
        <v>0.0207346874057797</v>
      </c>
      <c r="D128" s="13" t="n">
        <v>0.0212883599356242</v>
      </c>
      <c r="E128" s="13" t="n">
        <v>0.0212883599356242</v>
      </c>
      <c r="F128" s="13" t="n">
        <v>0.0182737167032441</v>
      </c>
      <c r="G128" s="13" t="n">
        <v>0.0190231074137939</v>
      </c>
      <c r="H128" s="14" t="n">
        <f aca="false">H127*(1+C128)</f>
        <v>2616.61079826172</v>
      </c>
      <c r="I128" s="14" t="n">
        <f aca="false">I127*(1+D128)</f>
        <v>2829.20439836707</v>
      </c>
      <c r="J128" s="14" t="n">
        <f aca="false">J127*(1+E128)</f>
        <v>2803.66973766187</v>
      </c>
      <c r="K128" s="14" t="n">
        <f aca="false">K127*(1+F128)</f>
        <v>2270.41324157879</v>
      </c>
      <c r="L128" s="14" t="n">
        <f aca="false">L127*(1+G128)</f>
        <v>2638.86411855993</v>
      </c>
      <c r="M128" s="14" t="n">
        <f aca="false">H128-H127</f>
        <v>53.152506360329</v>
      </c>
      <c r="N128" s="14" t="n">
        <f aca="false">I128-I127</f>
        <v>58.9736688741714</v>
      </c>
      <c r="O128" s="14" t="n">
        <f aca="false">J128-J127</f>
        <v>58.4414087709029</v>
      </c>
      <c r="P128" s="14" t="n">
        <f aca="false">K128-K127</f>
        <v>40.7443378880766</v>
      </c>
      <c r="Q128" s="14" t="n">
        <f aca="false">L128-L127</f>
        <v>49.2622740471256</v>
      </c>
    </row>
    <row r="129" customFormat="false" ht="15" hidden="false" customHeight="false" outlineLevel="0" collapsed="false">
      <c r="A129" s="11" t="n">
        <v>46150</v>
      </c>
      <c r="B129" s="12" t="s">
        <v>48</v>
      </c>
      <c r="C129" s="13" t="n">
        <v>0.00425275872566333</v>
      </c>
      <c r="D129" s="13" t="n">
        <v>0.00560204111819778</v>
      </c>
      <c r="E129" s="13" t="n">
        <v>0.00560204111819765</v>
      </c>
      <c r="F129" s="13" t="n">
        <v>-0.00839394792542836</v>
      </c>
      <c r="G129" s="13" t="n">
        <v>0.00180333020747203</v>
      </c>
      <c r="H129" s="14" t="n">
        <f aca="false">H128*(1+C129)</f>
        <v>2627.73861266569</v>
      </c>
      <c r="I129" s="14" t="n">
        <f aca="false">I128*(1+D129)</f>
        <v>2845.0537177385</v>
      </c>
      <c r="J129" s="14" t="n">
        <f aca="false">J128*(1+E129)</f>
        <v>2819.37601081409</v>
      </c>
      <c r="K129" s="14" t="n">
        <f aca="false">K128*(1+F129)</f>
        <v>2251.35551105977</v>
      </c>
      <c r="L129" s="14" t="n">
        <f aca="false">L128*(1+G129)</f>
        <v>2643.62286193834</v>
      </c>
      <c r="M129" s="14" t="n">
        <f aca="false">H129-H128</f>
        <v>11.1278144039725</v>
      </c>
      <c r="N129" s="14" t="n">
        <f aca="false">I129-I128</f>
        <v>15.8493193714385</v>
      </c>
      <c r="O129" s="14" t="n">
        <f aca="false">J129-J128</f>
        <v>15.7062731522283</v>
      </c>
      <c r="P129" s="14" t="n">
        <f aca="false">K129-K128</f>
        <v>-19.0577305190154</v>
      </c>
      <c r="Q129" s="14" t="n">
        <f aca="false">L129-L128</f>
        <v>4.75874337841333</v>
      </c>
    </row>
    <row r="130" customFormat="false" ht="15" hidden="false" customHeight="false" outlineLevel="0" collapsed="false">
      <c r="A130" s="11" t="n">
        <v>46151</v>
      </c>
      <c r="B130" s="12" t="s">
        <v>49</v>
      </c>
      <c r="C130" s="13" t="n">
        <v>0.00934952315974602</v>
      </c>
      <c r="D130" s="13" t="n">
        <v>0.00917686709621159</v>
      </c>
      <c r="E130" s="13" t="n">
        <v>0.00917686709621159</v>
      </c>
      <c r="F130" s="13" t="n">
        <v>0.00463402544141989</v>
      </c>
      <c r="G130" s="13" t="n">
        <v>0.00999618835388183</v>
      </c>
      <c r="H130" s="14" t="n">
        <f aca="false">H129*(1+C130)</f>
        <v>2652.30671568256</v>
      </c>
      <c r="I130" s="14" t="n">
        <f aca="false">I129*(1+D130)</f>
        <v>2871.16239758777</v>
      </c>
      <c r="J130" s="14" t="n">
        <f aca="false">J129*(1+E130)</f>
        <v>2845.24904975958</v>
      </c>
      <c r="K130" s="14" t="n">
        <f aca="false">K129*(1+F130)</f>
        <v>2261.78834977571</v>
      </c>
      <c r="L130" s="14" t="n">
        <f aca="false">L129*(1+G130)</f>
        <v>2670.0490140029</v>
      </c>
      <c r="M130" s="14" t="n">
        <f aca="false">H130-H129</f>
        <v>24.5681030168767</v>
      </c>
      <c r="N130" s="14" t="n">
        <f aca="false">I130-I129</f>
        <v>26.1086798492688</v>
      </c>
      <c r="O130" s="14" t="n">
        <f aca="false">J130-J129</f>
        <v>25.8730389454881</v>
      </c>
      <c r="P130" s="14" t="n">
        <f aca="false">K130-K129</f>
        <v>10.4328387159317</v>
      </c>
      <c r="Q130" s="14" t="n">
        <f aca="false">L130-L129</f>
        <v>26.4261520645641</v>
      </c>
    </row>
    <row r="131" customFormat="false" ht="15" hidden="false" customHeight="false" outlineLevel="0" collapsed="false">
      <c r="A131" s="11" t="n">
        <v>46152</v>
      </c>
      <c r="B131" s="12" t="s">
        <v>50</v>
      </c>
      <c r="C131" s="13" t="n">
        <v>-0.0106656316813245</v>
      </c>
      <c r="D131" s="13" t="n">
        <v>-0.0124304247809476</v>
      </c>
      <c r="E131" s="13" t="n">
        <v>-0.012430424780948</v>
      </c>
      <c r="F131" s="13" t="n">
        <v>-0.0122307663872492</v>
      </c>
      <c r="G131" s="13" t="n">
        <v>-0.0135775206739801</v>
      </c>
      <c r="H131" s="14" t="n">
        <f aca="false">H130*(1+C131)</f>
        <v>2624.01818914719</v>
      </c>
      <c r="I131" s="14" t="n">
        <f aca="false">I130*(1+D131)</f>
        <v>2835.47262937067</v>
      </c>
      <c r="J131" s="14" t="n">
        <f aca="false">J130*(1+E131)</f>
        <v>2809.88139546348</v>
      </c>
      <c r="K131" s="14" t="n">
        <f aca="false">K130*(1+F131)</f>
        <v>2234.1249448522</v>
      </c>
      <c r="L131" s="14" t="n">
        <f aca="false">L130*(1+G131)</f>
        <v>2633.79636831474</v>
      </c>
      <c r="M131" s="14" t="n">
        <f aca="false">H131-H130</f>
        <v>-28.2885265353739</v>
      </c>
      <c r="N131" s="14" t="n">
        <f aca="false">I131-I130</f>
        <v>-35.6897682170998</v>
      </c>
      <c r="O131" s="14" t="n">
        <f aca="false">J131-J130</f>
        <v>-35.3676542961002</v>
      </c>
      <c r="P131" s="14" t="n">
        <f aca="false">K131-K130</f>
        <v>-27.6634049235086</v>
      </c>
      <c r="Q131" s="14" t="n">
        <f aca="false">L131-L130</f>
        <v>-36.2526456881647</v>
      </c>
    </row>
    <row r="132" customFormat="false" ht="15" hidden="false" customHeight="false" outlineLevel="0" collapsed="false">
      <c r="A132" s="11" t="n">
        <v>46153</v>
      </c>
      <c r="B132" s="12" t="s">
        <v>51</v>
      </c>
      <c r="C132" s="13" t="n">
        <v>-0.00315006916486138</v>
      </c>
      <c r="D132" s="13" t="n">
        <v>-0.00534546558245582</v>
      </c>
      <c r="E132" s="13" t="n">
        <v>-0.00534546558245588</v>
      </c>
      <c r="F132" s="13" t="n">
        <v>-0.00349904109886545</v>
      </c>
      <c r="G132" s="13" t="n">
        <v>-0.00467421924458428</v>
      </c>
      <c r="H132" s="14" t="n">
        <f aca="false">H131*(1+C132)</f>
        <v>2615.75235036152</v>
      </c>
      <c r="I132" s="14" t="n">
        <f aca="false">I131*(1+D132)</f>
        <v>2820.31570802038</v>
      </c>
      <c r="J132" s="14" t="n">
        <f aca="false">J131*(1+E132)</f>
        <v>2794.86127117325</v>
      </c>
      <c r="K132" s="14" t="n">
        <f aca="false">K131*(1+F132)</f>
        <v>2226.30764985016</v>
      </c>
      <c r="L132" s="14" t="n">
        <f aca="false">L131*(1+G132)</f>
        <v>2621.48542664365</v>
      </c>
      <c r="M132" s="14" t="n">
        <f aca="false">H132-H131</f>
        <v>-8.26583878566817</v>
      </c>
      <c r="N132" s="14" t="n">
        <f aca="false">I132-I131</f>
        <v>-15.1569213502967</v>
      </c>
      <c r="O132" s="14" t="n">
        <f aca="false">J132-J131</f>
        <v>-15.0201242902331</v>
      </c>
      <c r="P132" s="14" t="n">
        <f aca="false">K132-K131</f>
        <v>-7.81729500203846</v>
      </c>
      <c r="Q132" s="14" t="n">
        <f aca="false">L132-L131</f>
        <v>-12.3109416710931</v>
      </c>
    </row>
    <row r="133" customFormat="false" ht="15" hidden="false" customHeight="false" outlineLevel="0" collapsed="false">
      <c r="A133" s="11" t="n">
        <v>46154</v>
      </c>
      <c r="B133" s="12" t="s">
        <v>52</v>
      </c>
      <c r="C133" s="13" t="n">
        <v>-0.0126498775414626</v>
      </c>
      <c r="D133" s="13" t="n">
        <v>-0.00966504626645088</v>
      </c>
      <c r="E133" s="13" t="n">
        <v>-0.00966504626645114</v>
      </c>
      <c r="F133" s="13" t="n">
        <v>-0.00666820576120936</v>
      </c>
      <c r="G133" s="13" t="n">
        <v>-0.00988310329642267</v>
      </c>
      <c r="H133" s="14" t="n">
        <f aca="false">H132*(1+C133)</f>
        <v>2582.66340345066</v>
      </c>
      <c r="I133" s="14" t="n">
        <f aca="false">I132*(1+D133)</f>
        <v>2793.05722621636</v>
      </c>
      <c r="J133" s="14" t="n">
        <f aca="false">J132*(1+E133)</f>
        <v>2767.84880767905</v>
      </c>
      <c r="K133" s="14" t="n">
        <f aca="false">K132*(1+F133)</f>
        <v>2211.4621723532</v>
      </c>
      <c r="L133" s="14" t="n">
        <f aca="false">L132*(1+G133)</f>
        <v>2595.57701538206</v>
      </c>
      <c r="M133" s="14" t="n">
        <f aca="false">H133-H132</f>
        <v>-33.0889469108661</v>
      </c>
      <c r="N133" s="14" t="n">
        <f aca="false">I133-I132</f>
        <v>-27.2584818040154</v>
      </c>
      <c r="O133" s="14" t="n">
        <f aca="false">J133-J132</f>
        <v>-27.0124634942017</v>
      </c>
      <c r="P133" s="14" t="n">
        <f aca="false">K133-K132</f>
        <v>-14.845477496955</v>
      </c>
      <c r="Q133" s="14" t="n">
        <f aca="false">L133-L132</f>
        <v>-25.9084112615856</v>
      </c>
    </row>
    <row r="134" customFormat="false" ht="15" hidden="false" customHeight="false" outlineLevel="0" collapsed="false">
      <c r="A134" s="11" t="n">
        <v>46155</v>
      </c>
      <c r="B134" s="12" t="s">
        <v>53</v>
      </c>
      <c r="C134" s="13" t="n">
        <v>-0.0114106979747569</v>
      </c>
      <c r="D134" s="13" t="n">
        <v>-0.0105019607522642</v>
      </c>
      <c r="E134" s="13" t="n">
        <v>-0.0105019607522643</v>
      </c>
      <c r="F134" s="13" t="n">
        <v>-0.0123587454577891</v>
      </c>
      <c r="G134" s="13" t="n">
        <v>-0.0117420986689305</v>
      </c>
      <c r="H134" s="14" t="n">
        <f aca="false">H133*(1+C134)</f>
        <v>2553.19341138342</v>
      </c>
      <c r="I134" s="14" t="n">
        <f aca="false">I133*(1+D134)</f>
        <v>2763.72464884781</v>
      </c>
      <c r="J134" s="14" t="n">
        <f aca="false">J133*(1+E134)</f>
        <v>2738.7809681326</v>
      </c>
      <c r="K134" s="14" t="n">
        <f aca="false">K133*(1+F134)</f>
        <v>2184.13127427556</v>
      </c>
      <c r="L134" s="14" t="n">
        <f aca="false">L133*(1+G134)</f>
        <v>2565.09949396464</v>
      </c>
      <c r="M134" s="14" t="n">
        <f aca="false">H134-H133</f>
        <v>-29.4699920672333</v>
      </c>
      <c r="N134" s="14" t="n">
        <f aca="false">I134-I133</f>
        <v>-29.3325773685519</v>
      </c>
      <c r="O134" s="14" t="n">
        <f aca="false">J134-J133</f>
        <v>-29.067839546447</v>
      </c>
      <c r="P134" s="14" t="n">
        <f aca="false">K134-K133</f>
        <v>-27.3308980776428</v>
      </c>
      <c r="Q134" s="14" t="n">
        <f aca="false">L134-L133</f>
        <v>-30.4775214174242</v>
      </c>
    </row>
    <row r="135" customFormat="false" ht="15" hidden="false" customHeight="false" outlineLevel="0" collapsed="false">
      <c r="A135" s="11" t="n">
        <v>46156</v>
      </c>
      <c r="B135" s="12" t="s">
        <v>47</v>
      </c>
      <c r="C135" s="13" t="n">
        <v>0.0193384250215677</v>
      </c>
      <c r="D135" s="13" t="n">
        <v>0.012736397649798</v>
      </c>
      <c r="E135" s="13" t="n">
        <v>0.012736397649798</v>
      </c>
      <c r="F135" s="13" t="n">
        <v>0.0130270877726217</v>
      </c>
      <c r="G135" s="13" t="n">
        <v>0.0154795459798318</v>
      </c>
      <c r="H135" s="14" t="n">
        <f aca="false">H134*(1+C135)</f>
        <v>2602.56815073502</v>
      </c>
      <c r="I135" s="14" t="n">
        <f aca="false">I134*(1+D135)</f>
        <v>2798.92454497008</v>
      </c>
      <c r="J135" s="14" t="n">
        <f aca="false">J134*(1+E135)</f>
        <v>2773.66317161844</v>
      </c>
      <c r="K135" s="14" t="n">
        <f aca="false">K134*(1+F135)</f>
        <v>2212.58414409248</v>
      </c>
      <c r="L135" s="14" t="n">
        <f aca="false">L134*(1+G135)</f>
        <v>2604.8060695243</v>
      </c>
      <c r="M135" s="14" t="n">
        <f aca="false">H135-H134</f>
        <v>49.3747393515987</v>
      </c>
      <c r="N135" s="14" t="n">
        <f aca="false">I135-I134</f>
        <v>35.1998961222744</v>
      </c>
      <c r="O135" s="14" t="n">
        <f aca="false">J135-J134</f>
        <v>34.8822034858358</v>
      </c>
      <c r="P135" s="14" t="n">
        <f aca="false">K135-K134</f>
        <v>28.4528698169161</v>
      </c>
      <c r="Q135" s="14" t="n">
        <f aca="false">L135-L134</f>
        <v>39.7065755596691</v>
      </c>
    </row>
    <row r="136" customFormat="false" ht="15" hidden="false" customHeight="false" outlineLevel="0" collapsed="false">
      <c r="A136" s="11" t="n">
        <v>46157</v>
      </c>
      <c r="B136" s="12" t="s">
        <v>48</v>
      </c>
      <c r="C136" s="13" t="n">
        <v>-0.00530567088911771</v>
      </c>
      <c r="D136" s="13" t="n">
        <v>-0.00419385531513061</v>
      </c>
      <c r="E136" s="13" t="n">
        <v>-0.00419385531513035</v>
      </c>
      <c r="F136" s="13" t="n">
        <v>-0.0016691078602028</v>
      </c>
      <c r="G136" s="13" t="n">
        <v>-0.00496194020506191</v>
      </c>
      <c r="H136" s="14" t="n">
        <f aca="false">H135*(1+C136)</f>
        <v>2588.75978066072</v>
      </c>
      <c r="I136" s="14" t="n">
        <f aca="false">I135*(1+D136)</f>
        <v>2787.18626039051</v>
      </c>
      <c r="J136" s="14" t="n">
        <f aca="false">J135*(1+E136)</f>
        <v>2762.03082958376</v>
      </c>
      <c r="K136" s="14" t="n">
        <f aca="false">K135*(1+F136)</f>
        <v>2208.89110250621</v>
      </c>
      <c r="L136" s="14" t="n">
        <f aca="false">L135*(1+G136)</f>
        <v>2591.88117756154</v>
      </c>
      <c r="M136" s="14" t="n">
        <f aca="false">H136-H135</f>
        <v>-13.8083700742995</v>
      </c>
      <c r="N136" s="14" t="n">
        <f aca="false">I136-I135</f>
        <v>-11.7382845795723</v>
      </c>
      <c r="O136" s="14" t="n">
        <f aca="false">J136-J135</f>
        <v>-11.6323420346735</v>
      </c>
      <c r="P136" s="14" t="n">
        <f aca="false">K136-K135</f>
        <v>-3.69304158626483</v>
      </c>
      <c r="Q136" s="14" t="n">
        <f aca="false">L136-L135</f>
        <v>-12.9248919627621</v>
      </c>
    </row>
    <row r="137" customFormat="false" ht="15" hidden="false" customHeight="false" outlineLevel="0" collapsed="false">
      <c r="A137" s="11" t="n">
        <v>46158</v>
      </c>
      <c r="B137" s="12" t="s">
        <v>49</v>
      </c>
      <c r="C137" s="13" t="n">
        <v>-0.0155869850025684</v>
      </c>
      <c r="D137" s="13" t="n">
        <v>-0.011834790764274</v>
      </c>
      <c r="E137" s="13" t="n">
        <v>-0.011834790764274</v>
      </c>
      <c r="F137" s="13" t="n">
        <v>-0.0110127520799022</v>
      </c>
      <c r="G137" s="13" t="n">
        <v>-0.0145593038667574</v>
      </c>
      <c r="H137" s="14" t="n">
        <f aca="false">H136*(1+C137)</f>
        <v>2548.40882078431</v>
      </c>
      <c r="I137" s="14" t="n">
        <f aca="false">I136*(1+D137)</f>
        <v>2754.20049417773</v>
      </c>
      <c r="J137" s="14" t="n">
        <f aca="false">J136*(1+E137)</f>
        <v>2729.34277263116</v>
      </c>
      <c r="K137" s="14" t="n">
        <f aca="false">K136*(1+F137)</f>
        <v>2184.56513242281</v>
      </c>
      <c r="L137" s="14" t="n">
        <f aca="false">L136*(1+G137)</f>
        <v>2554.1451919109</v>
      </c>
      <c r="M137" s="14" t="n">
        <f aca="false">H137-H136</f>
        <v>-40.3509598764108</v>
      </c>
      <c r="N137" s="14" t="n">
        <f aca="false">I137-I136</f>
        <v>-32.9857662127811</v>
      </c>
      <c r="O137" s="14" t="n">
        <f aca="false">J137-J136</f>
        <v>-32.6880569525983</v>
      </c>
      <c r="P137" s="14" t="n">
        <f aca="false">K137-K136</f>
        <v>-24.3259700834028</v>
      </c>
      <c r="Q137" s="14" t="n">
        <f aca="false">L137-L136</f>
        <v>-37.7359856506473</v>
      </c>
    </row>
    <row r="138" customFormat="false" ht="15" hidden="false" customHeight="false" outlineLevel="0" collapsed="false">
      <c r="A138" s="11" t="n">
        <v>46159</v>
      </c>
      <c r="B138" s="12" t="s">
        <v>50</v>
      </c>
      <c r="C138" s="13" t="n">
        <v>0.00942139692969668</v>
      </c>
      <c r="D138" s="13" t="n">
        <v>0.00730351318078225</v>
      </c>
      <c r="E138" s="13" t="n">
        <v>0.00730351318078251</v>
      </c>
      <c r="F138" s="13" t="n">
        <v>0.00751797321716485</v>
      </c>
      <c r="G138" s="13" t="n">
        <v>0.00908711749556179</v>
      </c>
      <c r="H138" s="14" t="n">
        <f aca="false">H137*(1+C138)</f>
        <v>2572.41839182406</v>
      </c>
      <c r="I138" s="14" t="n">
        <f aca="false">I137*(1+D138)</f>
        <v>2774.31583378947</v>
      </c>
      <c r="J138" s="14" t="n">
        <f aca="false">J137*(1+E138)</f>
        <v>2749.27656354595</v>
      </c>
      <c r="K138" s="14" t="n">
        <f aca="false">K137*(1+F138)</f>
        <v>2200.98863457952</v>
      </c>
      <c r="L138" s="14" t="n">
        <f aca="false">L137*(1+G138)</f>
        <v>2577.35500937051</v>
      </c>
      <c r="M138" s="14" t="n">
        <f aca="false">H138-H137</f>
        <v>24.0095710397495</v>
      </c>
      <c r="N138" s="14" t="n">
        <f aca="false">I138-I137</f>
        <v>20.1153396117438</v>
      </c>
      <c r="O138" s="14" t="n">
        <f aca="false">J138-J137</f>
        <v>19.9337909147853</v>
      </c>
      <c r="P138" s="14" t="n">
        <f aca="false">K138-K137</f>
        <v>16.4235021567069</v>
      </c>
      <c r="Q138" s="14" t="n">
        <f aca="false">L138-L137</f>
        <v>23.2098174596185</v>
      </c>
    </row>
    <row r="139" customFormat="false" ht="15" hidden="false" customHeight="false" outlineLevel="0" collapsed="false">
      <c r="A139" s="11" t="n">
        <v>46160</v>
      </c>
      <c r="B139" s="12" t="s">
        <v>51</v>
      </c>
      <c r="C139" s="13" t="n">
        <v>0.00509041337074667</v>
      </c>
      <c r="D139" s="13" t="n">
        <v>0.0031140049283607</v>
      </c>
      <c r="E139" s="13" t="n">
        <v>0.0031140049283607</v>
      </c>
      <c r="F139" s="13" t="n">
        <v>0.0063497286855736</v>
      </c>
      <c r="G139" s="13" t="n">
        <v>0.00388461222461412</v>
      </c>
      <c r="H139" s="14" t="n">
        <f aca="false">H138*(1+C139)</f>
        <v>2585.51306480096</v>
      </c>
      <c r="I139" s="14" t="n">
        <f aca="false">I138*(1+D139)</f>
        <v>2782.95506696872</v>
      </c>
      <c r="J139" s="14" t="n">
        <f aca="false">J138*(1+E139)</f>
        <v>2757.83782431426</v>
      </c>
      <c r="K139" s="14" t="n">
        <f aca="false">K138*(1+F139)</f>
        <v>2214.96431524913</v>
      </c>
      <c r="L139" s="14" t="n">
        <f aca="false">L138*(1+G139)</f>
        <v>2587.36703414708</v>
      </c>
      <c r="M139" s="14" t="n">
        <f aca="false">H139-H138</f>
        <v>13.0946729768957</v>
      </c>
      <c r="N139" s="14" t="n">
        <f aca="false">I139-I138</f>
        <v>8.63923317924946</v>
      </c>
      <c r="O139" s="14" t="n">
        <f aca="false">J139-J138</f>
        <v>8.56126076830878</v>
      </c>
      <c r="P139" s="14" t="n">
        <f aca="false">K139-K138</f>
        <v>13.9756806696109</v>
      </c>
      <c r="Q139" s="14" t="n">
        <f aca="false">L139-L138</f>
        <v>10.0120247765713</v>
      </c>
    </row>
    <row r="140" customFormat="false" ht="15" hidden="false" customHeight="false" outlineLevel="0" collapsed="false">
      <c r="A140" s="11" t="n">
        <v>46161</v>
      </c>
      <c r="B140" s="12" t="s">
        <v>52</v>
      </c>
      <c r="C140" s="13" t="n">
        <v>0.0149106768181059</v>
      </c>
      <c r="D140" s="13" t="n">
        <v>0.0143019289431018</v>
      </c>
      <c r="E140" s="13" t="n">
        <v>0.0143019289431021</v>
      </c>
      <c r="F140" s="13" t="n">
        <v>0.0211079648948536</v>
      </c>
      <c r="G140" s="13" t="n">
        <v>0.0177435030957035</v>
      </c>
      <c r="H140" s="14" t="n">
        <f aca="false">H139*(1+C140)</f>
        <v>2624.06481451919</v>
      </c>
      <c r="I140" s="14" t="n">
        <f aca="false">I139*(1+D140)</f>
        <v>2822.75669258836</v>
      </c>
      <c r="J140" s="14" t="n">
        <f aca="false">J139*(1+E140)</f>
        <v>2797.2802249142</v>
      </c>
      <c r="K140" s="14" t="n">
        <f aca="false">K139*(1+F140)</f>
        <v>2261.71770425876</v>
      </c>
      <c r="L140" s="14" t="n">
        <f aca="false">L139*(1+G140)</f>
        <v>2633.27598912719</v>
      </c>
      <c r="M140" s="14" t="n">
        <f aca="false">H140-H139</f>
        <v>38.5517497182373</v>
      </c>
      <c r="N140" s="14" t="n">
        <f aca="false">I140-I139</f>
        <v>39.801625619632</v>
      </c>
      <c r="O140" s="14" t="n">
        <f aca="false">J140-J139</f>
        <v>39.4424005999417</v>
      </c>
      <c r="P140" s="14" t="n">
        <f aca="false">K140-K139</f>
        <v>46.753389009632</v>
      </c>
      <c r="Q140" s="14" t="n">
        <f aca="false">L140-L139</f>
        <v>45.9089549801097</v>
      </c>
    </row>
    <row r="141" customFormat="false" ht="15" hidden="false" customHeight="false" outlineLevel="0" collapsed="false">
      <c r="A141" s="11" t="n">
        <v>46162</v>
      </c>
      <c r="B141" s="12" t="s">
        <v>53</v>
      </c>
      <c r="C141" s="13" t="n">
        <v>0.0356408762010481</v>
      </c>
      <c r="D141" s="13" t="n">
        <v>0.0272474634526735</v>
      </c>
      <c r="E141" s="13" t="n">
        <v>0.0272474634526735</v>
      </c>
      <c r="F141" s="13" t="n">
        <v>0.0352675545960777</v>
      </c>
      <c r="G141" s="13" t="n">
        <v>0.0333544637236938</v>
      </c>
      <c r="H141" s="14" t="n">
        <f aca="false">H140*(1+C141)</f>
        <v>2717.588783717</v>
      </c>
      <c r="I141" s="14" t="n">
        <f aca="false">I140*(1+D141)</f>
        <v>2899.66965240545</v>
      </c>
      <c r="J141" s="14" t="n">
        <f aca="false">J140*(1+E141)</f>
        <v>2873.49901560944</v>
      </c>
      <c r="K141" s="14" t="n">
        <f aca="false">K140*(1+F141)</f>
        <v>2341.48295687462</v>
      </c>
      <c r="L141" s="14" t="n">
        <f aca="false">L140*(1+G141)</f>
        <v>2721.10749758101</v>
      </c>
      <c r="M141" s="14" t="n">
        <f aca="false">H141-H140</f>
        <v>93.5239691978045</v>
      </c>
      <c r="N141" s="14" t="n">
        <f aca="false">I141-I140</f>
        <v>76.9129598170912</v>
      </c>
      <c r="O141" s="14" t="n">
        <f aca="false">J141-J140</f>
        <v>76.2187906952363</v>
      </c>
      <c r="P141" s="14" t="n">
        <f aca="false">K141-K140</f>
        <v>79.7652526158613</v>
      </c>
      <c r="Q141" s="14" t="n">
        <f aca="false">L141-L140</f>
        <v>87.8315084538167</v>
      </c>
    </row>
    <row r="142" customFormat="false" ht="15" hidden="false" customHeight="false" outlineLevel="0" collapsed="false">
      <c r="A142" s="11" t="n">
        <v>46163</v>
      </c>
      <c r="B142" s="12" t="s">
        <v>47</v>
      </c>
      <c r="C142" s="13" t="n">
        <v>0.0149218246711529</v>
      </c>
      <c r="D142" s="13" t="n">
        <v>0.0093321388594486</v>
      </c>
      <c r="E142" s="13" t="n">
        <v>0.0093321388594486</v>
      </c>
      <c r="F142" s="13" t="n">
        <v>0.0123417844810804</v>
      </c>
      <c r="G142" s="13" t="n">
        <v>0.0117530539854338</v>
      </c>
      <c r="H142" s="14" t="n">
        <f aca="false">H141*(1+C142)</f>
        <v>2758.14016707591</v>
      </c>
      <c r="I142" s="14" t="n">
        <f aca="false">I141*(1+D142)</f>
        <v>2926.72977224822</v>
      </c>
      <c r="J142" s="14" t="n">
        <f aca="false">J141*(1+E142)</f>
        <v>2900.31490743559</v>
      </c>
      <c r="K142" s="14" t="n">
        <f aca="false">K141*(1+F142)</f>
        <v>2370.38103489449</v>
      </c>
      <c r="L142" s="14" t="n">
        <f aca="false">L141*(1+G142)</f>
        <v>2753.08882090025</v>
      </c>
      <c r="M142" s="14" t="n">
        <f aca="false">H142-H141</f>
        <v>40.5513833589166</v>
      </c>
      <c r="N142" s="14" t="n">
        <f aca="false">I142-I141</f>
        <v>27.0601198427762</v>
      </c>
      <c r="O142" s="14" t="n">
        <f aca="false">J142-J141</f>
        <v>26.8158918261556</v>
      </c>
      <c r="P142" s="14" t="n">
        <f aca="false">K142-K141</f>
        <v>28.898078019869</v>
      </c>
      <c r="Q142" s="14" t="n">
        <f aca="false">L142-L141</f>
        <v>31.9813233192385</v>
      </c>
    </row>
    <row r="143" customFormat="false" ht="15" hidden="false" customHeight="false" outlineLevel="0" collapsed="false">
      <c r="A143" s="11" t="n">
        <v>46164</v>
      </c>
      <c r="B143" s="12" t="s">
        <v>48</v>
      </c>
      <c r="C143" s="13" t="n">
        <v>-0.00613458188735699</v>
      </c>
      <c r="D143" s="13" t="n">
        <v>-0.00367637516747345</v>
      </c>
      <c r="E143" s="13" t="n">
        <v>-0.0036763751674732</v>
      </c>
      <c r="F143" s="13" t="n">
        <v>-0.013715694758956</v>
      </c>
      <c r="G143" s="13" t="n">
        <v>-0.00585972410871261</v>
      </c>
      <c r="H143" s="14" t="n">
        <f aca="false">H142*(1+C143)</f>
        <v>2741.22013036418</v>
      </c>
      <c r="I143" s="14" t="n">
        <f aca="false">I142*(1+D143)</f>
        <v>2915.97001559162</v>
      </c>
      <c r="J143" s="14" t="n">
        <f aca="false">J142*(1+E143)</f>
        <v>2889.65226173204</v>
      </c>
      <c r="K143" s="14" t="n">
        <f aca="false">K142*(1+F143)</f>
        <v>2337.86961215746</v>
      </c>
      <c r="L143" s="14" t="n">
        <f aca="false">L142*(1+G143)</f>
        <v>2736.95647996299</v>
      </c>
      <c r="M143" s="14" t="n">
        <f aca="false">H143-H142</f>
        <v>-16.920036711736</v>
      </c>
      <c r="N143" s="14" t="n">
        <f aca="false">I143-I142</f>
        <v>-10.7597566565987</v>
      </c>
      <c r="O143" s="14" t="n">
        <f aca="false">J143-J142</f>
        <v>-10.6626457035486</v>
      </c>
      <c r="P143" s="14" t="n">
        <f aca="false">K143-K142</f>
        <v>-32.5114227370314</v>
      </c>
      <c r="Q143" s="14" t="n">
        <f aca="false">L143-L142</f>
        <v>-16.1323409372562</v>
      </c>
    </row>
    <row r="144" customFormat="false" ht="15" hidden="false" customHeight="false" outlineLevel="0" collapsed="false">
      <c r="A144" s="11" t="n">
        <v>46165</v>
      </c>
      <c r="B144" s="12" t="s">
        <v>49</v>
      </c>
      <c r="C144" s="13" t="n">
        <v>0.00417929075856138</v>
      </c>
      <c r="D144" s="13" t="n">
        <v>0.0028300965701674</v>
      </c>
      <c r="E144" s="13" t="n">
        <v>0.00283009657016766</v>
      </c>
      <c r="F144" s="13" t="n">
        <v>0.0070525599769149</v>
      </c>
      <c r="G144" s="13" t="n">
        <v>0.00339093313065297</v>
      </c>
      <c r="H144" s="14" t="n">
        <f aca="false">H143*(1+C144)</f>
        <v>2752.67648632219</v>
      </c>
      <c r="I144" s="14" t="n">
        <f aca="false">I143*(1+D144)</f>
        <v>2924.22249233146</v>
      </c>
      <c r="J144" s="14" t="n">
        <f aca="false">J143*(1+E144)</f>
        <v>2897.83025668695</v>
      </c>
      <c r="K144" s="14" t="n">
        <f aca="false">K143*(1+F144)</f>
        <v>2354.35757781541</v>
      </c>
      <c r="L144" s="14" t="n">
        <f aca="false">L143*(1+G144)</f>
        <v>2746.23731636806</v>
      </c>
      <c r="M144" s="14" t="n">
        <f aca="false">H144-H143</f>
        <v>11.4563559580133</v>
      </c>
      <c r="N144" s="14" t="n">
        <f aca="false">I144-I143</f>
        <v>8.25247673983677</v>
      </c>
      <c r="O144" s="14" t="n">
        <f aca="false">J144-J143</f>
        <v>8.17799495490544</v>
      </c>
      <c r="P144" s="14" t="n">
        <f aca="false">K144-K143</f>
        <v>16.4879656579474</v>
      </c>
      <c r="Q144" s="14" t="n">
        <f aca="false">L144-L143</f>
        <v>9.28083640506202</v>
      </c>
    </row>
    <row r="145" customFormat="false" ht="15" hidden="false" customHeight="false" outlineLevel="0" collapsed="false">
      <c r="A145" s="11" t="n">
        <v>46166</v>
      </c>
      <c r="B145" s="12" t="s">
        <v>50</v>
      </c>
      <c r="C145" s="13" t="n">
        <v>0.0165874485240586</v>
      </c>
      <c r="D145" s="13" t="n">
        <v>0.0137571660376721</v>
      </c>
      <c r="E145" s="13" t="n">
        <v>0.013757166037672</v>
      </c>
      <c r="F145" s="13" t="n">
        <v>0.0104617324952775</v>
      </c>
      <c r="G145" s="13" t="n">
        <v>0.0170923389754318</v>
      </c>
      <c r="H145" s="14" t="n">
        <f aca="false">H144*(1+C145)</f>
        <v>2798.33636584245</v>
      </c>
      <c r="I145" s="14" t="n">
        <f aca="false">I144*(1+D145)</f>
        <v>2964.45150668956</v>
      </c>
      <c r="J145" s="14" t="n">
        <f aca="false">J144*(1+E145)</f>
        <v>2937.69618867718</v>
      </c>
      <c r="K145" s="14" t="n">
        <f aca="false">K144*(1+F145)</f>
        <v>2378.98823699274</v>
      </c>
      <c r="L145" s="14" t="n">
        <f aca="false">L144*(1+G145)</f>
        <v>2793.1769354864</v>
      </c>
      <c r="M145" s="14" t="n">
        <f aca="false">H145-H144</f>
        <v>45.6598795202563</v>
      </c>
      <c r="N145" s="14" t="n">
        <f aca="false">I145-I144</f>
        <v>40.229014358099</v>
      </c>
      <c r="O145" s="14" t="n">
        <f aca="false">J145-J144</f>
        <v>39.8659319902322</v>
      </c>
      <c r="P145" s="14" t="n">
        <f aca="false">K145-K144</f>
        <v>24.6306591773346</v>
      </c>
      <c r="Q145" s="14" t="n">
        <f aca="false">L145-L144</f>
        <v>46.9396191183432</v>
      </c>
    </row>
    <row r="146" customFormat="false" ht="15" hidden="false" customHeight="false" outlineLevel="0" collapsed="false">
      <c r="A146" s="11" t="n">
        <v>46167</v>
      </c>
      <c r="B146" s="12" t="s">
        <v>51</v>
      </c>
      <c r="C146" s="13" t="n">
        <v>-0.00786610116510889</v>
      </c>
      <c r="D146" s="13" t="n">
        <v>-0.0060723557346267</v>
      </c>
      <c r="E146" s="13" t="n">
        <v>-0.00607235573462657</v>
      </c>
      <c r="F146" s="13" t="n">
        <v>-0.0129170849796714</v>
      </c>
      <c r="G146" s="13" t="n">
        <v>-0.00741970122344104</v>
      </c>
      <c r="H146" s="14" t="n">
        <f aca="false">H145*(1+C146)</f>
        <v>2776.32436889473</v>
      </c>
      <c r="I146" s="14" t="n">
        <f aca="false">I145*(1+D146)</f>
        <v>2946.45030258289</v>
      </c>
      <c r="J146" s="14" t="n">
        <f aca="false">J145*(1+E146)</f>
        <v>2919.85745237928</v>
      </c>
      <c r="K146" s="14" t="n">
        <f aca="false">K145*(1+F146)</f>
        <v>2348.25864376987</v>
      </c>
      <c r="L146" s="14" t="n">
        <f aca="false">L145*(1+G146)</f>
        <v>2772.45239716088</v>
      </c>
      <c r="M146" s="14" t="n">
        <f aca="false">H146-H145</f>
        <v>-22.01199694772</v>
      </c>
      <c r="N146" s="14" t="n">
        <f aca="false">I146-I145</f>
        <v>-18.0012041066693</v>
      </c>
      <c r="O146" s="14" t="n">
        <f aca="false">J146-J145</f>
        <v>-17.8387362979047</v>
      </c>
      <c r="P146" s="14" t="n">
        <f aca="false">K146-K145</f>
        <v>-30.729593222874</v>
      </c>
      <c r="Q146" s="14" t="n">
        <f aca="false">L146-L145</f>
        <v>-20.7245383255158</v>
      </c>
    </row>
    <row r="147" customFormat="false" ht="15" hidden="false" customHeight="false" outlineLevel="0" collapsed="false">
      <c r="A147" s="11" t="n">
        <v>46168</v>
      </c>
      <c r="B147" s="12" t="s">
        <v>52</v>
      </c>
      <c r="C147" s="13" t="n">
        <v>-0.0181874057058731</v>
      </c>
      <c r="D147" s="13" t="n">
        <v>-0.0122628248171362</v>
      </c>
      <c r="E147" s="13" t="n">
        <v>-0.0122628248171366</v>
      </c>
      <c r="F147" s="13" t="n">
        <v>-0.025584501956936</v>
      </c>
      <c r="G147" s="13" t="n">
        <v>-0.0152739327326744</v>
      </c>
      <c r="H147" s="14" t="n">
        <f aca="false">H146*(1+C147)</f>
        <v>2725.83023122654</v>
      </c>
      <c r="I147" s="14" t="n">
        <f aca="false">I146*(1+D147)</f>
        <v>2910.31849868992</v>
      </c>
      <c r="J147" s="14" t="n">
        <f aca="false">J146*(1+E147)</f>
        <v>2884.05175194974</v>
      </c>
      <c r="K147" s="14" t="n">
        <f aca="false">K146*(1+F147)</f>
        <v>2288.17961590294</v>
      </c>
      <c r="L147" s="14" t="n">
        <f aca="false">L146*(1+G147)</f>
        <v>2730.10614574211</v>
      </c>
      <c r="M147" s="14" t="n">
        <f aca="false">H147-H146</f>
        <v>-50.4941376681909</v>
      </c>
      <c r="N147" s="14" t="n">
        <f aca="false">I147-I146</f>
        <v>-36.1318038929721</v>
      </c>
      <c r="O147" s="14" t="n">
        <f aca="false">J147-J146</f>
        <v>-35.8057004295379</v>
      </c>
      <c r="P147" s="14" t="n">
        <f aca="false">K147-K146</f>
        <v>-60.0790278669219</v>
      </c>
      <c r="Q147" s="14" t="n">
        <f aca="false">L147-L146</f>
        <v>-42.3462514187772</v>
      </c>
    </row>
    <row r="148" customFormat="false" ht="15" hidden="false" customHeight="false" outlineLevel="0" collapsed="false">
      <c r="A148" s="11" t="n">
        <v>46169</v>
      </c>
      <c r="B148" s="12" t="s">
        <v>53</v>
      </c>
      <c r="C148" s="13" t="n">
        <v>-0.0123100195937056</v>
      </c>
      <c r="D148" s="13" t="n">
        <v>-0.0184667006541122</v>
      </c>
      <c r="E148" s="13" t="n">
        <v>-0.0120529068967609</v>
      </c>
      <c r="F148" s="13" t="n">
        <v>-0.0188340601159634</v>
      </c>
      <c r="G148" s="13" t="n">
        <v>-0.0230137921706339</v>
      </c>
      <c r="H148" s="14" t="n">
        <f aca="false">H147*(1+C148)</f>
        <v>2692.27520767102</v>
      </c>
      <c r="I148" s="14" t="n">
        <f aca="false">I147*(1+D148)</f>
        <v>2856.57451816649</v>
      </c>
      <c r="J148" s="14" t="n">
        <f aca="false">J147*(1+E148)</f>
        <v>2849.29054469805</v>
      </c>
      <c r="K148" s="14" t="n">
        <f aca="false">K147*(1+F148)</f>
        <v>2245.08390346091</v>
      </c>
      <c r="L148" s="14" t="n">
        <f aca="false">L147*(1+G148)</f>
        <v>2667.27605030023</v>
      </c>
      <c r="M148" s="14" t="n">
        <f aca="false">H148-H147</f>
        <v>-33.5550235555138</v>
      </c>
      <c r="N148" s="14" t="n">
        <f aca="false">I148-I147</f>
        <v>-53.7439805234317</v>
      </c>
      <c r="O148" s="14" t="n">
        <f aca="false">J148-J147</f>
        <v>-34.7612072516904</v>
      </c>
      <c r="P148" s="14" t="n">
        <f aca="false">K148-K147</f>
        <v>-43.0957124420379</v>
      </c>
      <c r="Q148" s="14" t="n">
        <f aca="false">L148-L147</f>
        <v>-62.8300954418787</v>
      </c>
    </row>
    <row r="149" customFormat="false" ht="15" hidden="false" customHeight="false" outlineLevel="0" collapsed="false">
      <c r="A149" s="11" t="n">
        <v>46170</v>
      </c>
      <c r="B149" s="12" t="s">
        <v>47</v>
      </c>
      <c r="C149" s="13" t="n">
        <v>-0.0107952381093603</v>
      </c>
      <c r="D149" s="13" t="n">
        <v>-0.00704565572790463</v>
      </c>
      <c r="E149" s="13" t="n">
        <v>-0.00983822502969815</v>
      </c>
      <c r="F149" s="13" t="n">
        <v>0.00518982426140435</v>
      </c>
      <c r="G149" s="13" t="n">
        <v>-0.00710236463301794</v>
      </c>
      <c r="H149" s="14" t="n">
        <f aca="false">H148*(1+C149)</f>
        <v>2663.21145574829</v>
      </c>
      <c r="I149" s="14" t="n">
        <f aca="false">I148*(1+D149)</f>
        <v>2836.44807755038</v>
      </c>
      <c r="J149" s="14" t="n">
        <f aca="false">J148*(1+E149)</f>
        <v>2821.25858314432</v>
      </c>
      <c r="K149" s="14" t="n">
        <f aca="false">K148*(1+F149)</f>
        <v>2256.73549437198</v>
      </c>
      <c r="L149" s="14" t="n">
        <f aca="false">L148*(1+G149)</f>
        <v>2648.33208321408</v>
      </c>
      <c r="M149" s="14" t="n">
        <f aca="false">H149-H148</f>
        <v>-29.0637519227362</v>
      </c>
      <c r="N149" s="14" t="n">
        <f aca="false">I149-I148</f>
        <v>-20.1264406161063</v>
      </c>
      <c r="O149" s="14" t="n">
        <f aca="false">J149-J148</f>
        <v>-28.0319615537305</v>
      </c>
      <c r="P149" s="14" t="n">
        <f aca="false">K149-K148</f>
        <v>11.6515909110699</v>
      </c>
      <c r="Q149" s="14" t="n">
        <f aca="false">L149-L148</f>
        <v>-18.943967086148</v>
      </c>
    </row>
    <row r="150" customFormat="false" ht="15" hidden="false" customHeight="false" outlineLevel="0" collapsed="false">
      <c r="A150" s="11" t="n">
        <v>46171</v>
      </c>
      <c r="B150" s="12" t="s">
        <v>48</v>
      </c>
      <c r="C150" s="13" t="n">
        <v>0.0170507422496774</v>
      </c>
      <c r="D150" s="13" t="n">
        <v>0.0156388825861805</v>
      </c>
      <c r="E150" s="13" t="n">
        <v>0.0155201768919206</v>
      </c>
      <c r="F150" s="13" t="n">
        <v>0.0138629657243375</v>
      </c>
      <c r="G150" s="13" t="n">
        <v>0.0213746556458769</v>
      </c>
      <c r="H150" s="14" t="n">
        <f aca="false">H149*(1+C150)</f>
        <v>2708.62118783664</v>
      </c>
      <c r="I150" s="14" t="n">
        <f aca="false">I149*(1+D150)</f>
        <v>2880.80695599699</v>
      </c>
      <c r="J150" s="14" t="n">
        <f aca="false">J149*(1+E150)</f>
        <v>2865.04501541257</v>
      </c>
      <c r="K150" s="14" t="n">
        <f aca="false">K149*(1+F150)</f>
        <v>2288.02054117935</v>
      </c>
      <c r="L150" s="14" t="n">
        <f aca="false">L149*(1+G150)</f>
        <v>2704.93926952871</v>
      </c>
      <c r="M150" s="14" t="n">
        <f aca="false">H150-H149</f>
        <v>45.4097320883525</v>
      </c>
      <c r="N150" s="14" t="n">
        <f aca="false">I150-I149</f>
        <v>44.3588784466083</v>
      </c>
      <c r="O150" s="14" t="n">
        <f aca="false">J150-J149</f>
        <v>43.7864322682494</v>
      </c>
      <c r="P150" s="14" t="n">
        <f aca="false">K150-K149</f>
        <v>31.2850468073743</v>
      </c>
      <c r="Q150" s="14" t="n">
        <f aca="false">L150-L149</f>
        <v>56.607186314629</v>
      </c>
    </row>
    <row r="151" customFormat="false" ht="15" hidden="false" customHeight="false" outlineLevel="0" collapsed="false">
      <c r="A151" s="11" t="n">
        <v>46172</v>
      </c>
      <c r="B151" s="12" t="s">
        <v>49</v>
      </c>
      <c r="C151" s="13" t="n">
        <v>0.0133170271939204</v>
      </c>
      <c r="D151" s="13" t="n">
        <v>0.0129904838827275</v>
      </c>
      <c r="E151" s="13" t="n">
        <v>0.0126420885533757</v>
      </c>
      <c r="F151" s="13" t="n">
        <v>0.000859340867252534</v>
      </c>
      <c r="G151" s="13" t="n">
        <v>0.0161703822250481</v>
      </c>
      <c r="H151" s="14" t="n">
        <f aca="false">H150*(1+C151)</f>
        <v>2744.69196985309</v>
      </c>
      <c r="I151" s="14" t="n">
        <f aca="false">I150*(1+D151)</f>
        <v>2918.23003232812</v>
      </c>
      <c r="J151" s="14" t="n">
        <f aca="false">J150*(1+E151)</f>
        <v>2901.26516820682</v>
      </c>
      <c r="K151" s="14" t="n">
        <f aca="false">K150*(1+F151)</f>
        <v>2289.9867307355</v>
      </c>
      <c r="L151" s="14" t="n">
        <f aca="false">L150*(1+G151)</f>
        <v>2748.67917141253</v>
      </c>
      <c r="M151" s="14" t="n">
        <f aca="false">H151-H150</f>
        <v>36.0707820164489</v>
      </c>
      <c r="N151" s="14" t="n">
        <f aca="false">I151-I150</f>
        <v>37.423076331128</v>
      </c>
      <c r="O151" s="14" t="n">
        <f aca="false">J151-J150</f>
        <v>36.2201527942534</v>
      </c>
      <c r="P151" s="14" t="n">
        <f aca="false">K151-K150</f>
        <v>1.96618955614895</v>
      </c>
      <c r="Q151" s="14" t="n">
        <f aca="false">L151-L150</f>
        <v>43.7399018838214</v>
      </c>
    </row>
    <row r="152" customFormat="false" ht="15" hidden="false" customHeight="false" outlineLevel="0" collapsed="false">
      <c r="A152" s="11" t="n">
        <v>46173</v>
      </c>
      <c r="B152" s="12" t="s">
        <v>50</v>
      </c>
      <c r="C152" s="13" t="n">
        <v>0.0407511169074246</v>
      </c>
      <c r="D152" s="13" t="n">
        <v>0.0342030585569818</v>
      </c>
      <c r="E152" s="13" t="n">
        <v>0.0336066442224934</v>
      </c>
      <c r="F152" s="13" t="n">
        <v>0.0419947933892444</v>
      </c>
      <c r="G152" s="13" t="n">
        <v>0.0417021303367466</v>
      </c>
      <c r="H152" s="14" t="n">
        <f aca="false">H151*(1+C152)</f>
        <v>2856.54123319144</v>
      </c>
      <c r="I152" s="14" t="n">
        <f aca="false">I151*(1+D152)</f>
        <v>3018.04242500658</v>
      </c>
      <c r="J152" s="14" t="n">
        <f aca="false">J151*(1+E152)</f>
        <v>2998.76695450986</v>
      </c>
      <c r="K152" s="14" t="n">
        <f aca="false">K151*(1+F152)</f>
        <v>2386.15425035685</v>
      </c>
      <c r="L152" s="14" t="n">
        <f aca="false">L151*(1+G152)</f>
        <v>2863.30494847268</v>
      </c>
      <c r="M152" s="14" t="n">
        <f aca="false">H152-H151</f>
        <v>111.849263338353</v>
      </c>
      <c r="N152" s="14" t="n">
        <f aca="false">I152-I151</f>
        <v>99.812392678461</v>
      </c>
      <c r="O152" s="14" t="n">
        <f aca="false">J152-J151</f>
        <v>97.5017863030389</v>
      </c>
      <c r="P152" s="14" t="n">
        <f aca="false">K152-K151</f>
        <v>96.1675196213487</v>
      </c>
      <c r="Q152" s="14" t="n">
        <f aca="false">L152-L151</f>
        <v>114.625777060146</v>
      </c>
    </row>
    <row r="153" customFormat="false" ht="15" hidden="false" customHeight="false" outlineLevel="0" collapsed="false">
      <c r="A153" s="11" t="n">
        <v>46174</v>
      </c>
      <c r="B153" s="12" t="s">
        <v>51</v>
      </c>
      <c r="C153" s="13" t="n">
        <v>-0.0139565812546692</v>
      </c>
      <c r="D153" s="13" t="n">
        <v>-0.0142893120817571</v>
      </c>
      <c r="E153" s="13" t="n">
        <v>-0.0132708435657185</v>
      </c>
      <c r="F153" s="13" t="n">
        <v>-0.0274110698181077</v>
      </c>
      <c r="G153" s="13" t="n">
        <v>-0.0177318246562765</v>
      </c>
      <c r="H153" s="14" t="n">
        <f aca="false">H152*(1+C153)</f>
        <v>2816.67368336309</v>
      </c>
      <c r="I153" s="14" t="n">
        <f aca="false">I152*(1+D153)</f>
        <v>2974.91667491968</v>
      </c>
      <c r="J153" s="14" t="n">
        <f aca="false">J152*(1+E153)</f>
        <v>2958.97078736651</v>
      </c>
      <c r="K153" s="14" t="n">
        <f aca="false">K152*(1+F153)</f>
        <v>2320.74720960354</v>
      </c>
      <c r="L153" s="14" t="n">
        <f aca="false">L152*(1+G153)</f>
        <v>2812.53332718891</v>
      </c>
      <c r="M153" s="14" t="n">
        <f aca="false">H153-H152</f>
        <v>-39.8675498283496</v>
      </c>
      <c r="N153" s="14" t="n">
        <f aca="false">I153-I152</f>
        <v>-43.1257500869019</v>
      </c>
      <c r="O153" s="14" t="n">
        <f aca="false">J153-J152</f>
        <v>-39.7961671433463</v>
      </c>
      <c r="P153" s="14" t="n">
        <f aca="false">K153-K152</f>
        <v>-65.4070407533059</v>
      </c>
      <c r="Q153" s="14" t="n">
        <f aca="false">L153-L152</f>
        <v>-50.7716212837663</v>
      </c>
    </row>
    <row r="154" customFormat="false" ht="15" hidden="false" customHeight="false" outlineLevel="0" collapsed="false">
      <c r="A154" s="11" t="n">
        <v>46175</v>
      </c>
      <c r="B154" s="12" t="s">
        <v>52</v>
      </c>
      <c r="C154" s="13" t="n">
        <v>0.00182296291022194</v>
      </c>
      <c r="D154" s="13" t="n">
        <v>0.0351221121560458</v>
      </c>
      <c r="E154" s="13" t="n">
        <v>0.00692140568389195</v>
      </c>
      <c r="F154" s="13" t="n">
        <v>0.00156936908669936</v>
      </c>
      <c r="G154" s="13" t="n">
        <v>0.0422426800822491</v>
      </c>
      <c r="H154" s="14" t="n">
        <f aca="false">H153*(1+C154)</f>
        <v>2821.80837501806</v>
      </c>
      <c r="I154" s="14" t="n">
        <f aca="false">I153*(1+D154)</f>
        <v>3079.4020320311</v>
      </c>
      <c r="J154" s="14" t="n">
        <f aca="false">J153*(1+E154)</f>
        <v>2979.45102459266</v>
      </c>
      <c r="K154" s="14" t="n">
        <f aca="false">K153*(1+F154)</f>
        <v>2324.38931853234</v>
      </c>
      <c r="L154" s="14" t="n">
        <f aca="false">L153*(1+G154)</f>
        <v>2931.34227275001</v>
      </c>
      <c r="M154" s="14" t="n">
        <f aca="false">H154-H153</f>
        <v>5.13469165496917</v>
      </c>
      <c r="N154" s="14" t="n">
        <f aca="false">I154-I153</f>
        <v>104.48535711142</v>
      </c>
      <c r="O154" s="14" t="n">
        <f aca="false">J154-J153</f>
        <v>20.4802372261488</v>
      </c>
      <c r="P154" s="14" t="n">
        <f aca="false">K154-K153</f>
        <v>3.64210892879555</v>
      </c>
      <c r="Q154" s="14" t="n">
        <f aca="false">L154-L153</f>
        <v>118.808945561105</v>
      </c>
    </row>
    <row r="155" customFormat="false" ht="15" hidden="false" customHeight="false" outlineLevel="0" collapsed="false">
      <c r="A155" s="11" t="n">
        <v>46176</v>
      </c>
      <c r="B155" s="12" t="s">
        <v>53</v>
      </c>
      <c r="C155" s="13" t="n">
        <v>0.0174156241193432</v>
      </c>
      <c r="D155" s="13" t="n">
        <v>0.0227182663587966</v>
      </c>
      <c r="E155" s="13" t="n">
        <v>0.0236035790872352</v>
      </c>
      <c r="F155" s="13" t="n">
        <v>0.0258204224707284</v>
      </c>
      <c r="G155" s="13" t="n">
        <v>0.0291820008532703</v>
      </c>
      <c r="H155" s="14" t="n">
        <f aca="false">H154*(1+C155)</f>
        <v>2870.95192901419</v>
      </c>
      <c r="I155" s="14" t="n">
        <f aca="false">I154*(1+D155)</f>
        <v>3149.3607076206</v>
      </c>
      <c r="J155" s="14" t="n">
        <f aca="false">J154*(1+E155)</f>
        <v>3049.77673248818</v>
      </c>
      <c r="K155" s="14" t="n">
        <f aca="false">K154*(1+F155)</f>
        <v>2384.40603272329</v>
      </c>
      <c r="L155" s="14" t="n">
        <f aca="false">L154*(1+G155)</f>
        <v>3016.88470545463</v>
      </c>
      <c r="M155" s="14" t="n">
        <f aca="false">H155-H154</f>
        <v>49.143553996129</v>
      </c>
      <c r="N155" s="14" t="n">
        <f aca="false">I155-I154</f>
        <v>69.958675589502</v>
      </c>
      <c r="O155" s="14" t="n">
        <f aca="false">J155-J154</f>
        <v>70.3257078955171</v>
      </c>
      <c r="P155" s="14" t="n">
        <f aca="false">K155-K154</f>
        <v>60.0167141909533</v>
      </c>
      <c r="Q155" s="14" t="n">
        <f aca="false">L155-L154</f>
        <v>85.542432704618</v>
      </c>
    </row>
    <row r="156" customFormat="false" ht="15" hidden="false" customHeight="false" outlineLevel="0" collapsed="false">
      <c r="A156" s="11" t="n">
        <v>46177</v>
      </c>
      <c r="B156" s="12" t="s">
        <v>47</v>
      </c>
      <c r="C156" s="13" t="n">
        <v>0.0212269932119087</v>
      </c>
      <c r="D156" s="13" t="n">
        <v>0.0147730481022204</v>
      </c>
      <c r="E156" s="13" t="n">
        <v>0.015639222649289</v>
      </c>
      <c r="F156" s="13" t="n">
        <v>0.0050037546461118</v>
      </c>
      <c r="G156" s="13" t="n">
        <v>0.0185272471201159</v>
      </c>
      <c r="H156" s="14" t="n">
        <f aca="false">H155*(1+C156)</f>
        <v>2931.89360612309</v>
      </c>
      <c r="I156" s="14" t="n">
        <f aca="false">I155*(1+D156)</f>
        <v>3195.88636484552</v>
      </c>
      <c r="J156" s="14" t="n">
        <f aca="false">J155*(1+E156)</f>
        <v>3097.47286983818</v>
      </c>
      <c r="K156" s="14" t="n">
        <f aca="false">K155*(1+F156)</f>
        <v>2396.33701548775</v>
      </c>
      <c r="L156" s="14" t="n">
        <f aca="false">L155*(1+G156)</f>
        <v>3072.77927392549</v>
      </c>
      <c r="M156" s="14" t="n">
        <f aca="false">H156-H155</f>
        <v>60.9416771089004</v>
      </c>
      <c r="N156" s="14" t="n">
        <f aca="false">I156-I155</f>
        <v>46.5256572249218</v>
      </c>
      <c r="O156" s="14" t="n">
        <f aca="false">J156-J155</f>
        <v>47.6961373500035</v>
      </c>
      <c r="P156" s="14" t="n">
        <f aca="false">K156-K155</f>
        <v>11.9309827644561</v>
      </c>
      <c r="Q156" s="14" t="n">
        <f aca="false">L156-L155</f>
        <v>55.894568470856</v>
      </c>
    </row>
    <row r="157" customFormat="false" ht="15" hidden="false" customHeight="false" outlineLevel="0" collapsed="false">
      <c r="A157" s="11" t="n">
        <v>46178</v>
      </c>
      <c r="B157" s="12" t="s">
        <v>48</v>
      </c>
      <c r="C157" s="13" t="n">
        <v>-0.0292698351488978</v>
      </c>
      <c r="D157" s="13" t="n">
        <v>-0.0281132831285146</v>
      </c>
      <c r="E157" s="13" t="n">
        <v>-0.0246943486106939</v>
      </c>
      <c r="F157" s="13" t="n">
        <v>-0.022090150294963</v>
      </c>
      <c r="G157" s="13" t="n">
        <v>-0.0345974989641544</v>
      </c>
      <c r="H157" s="14" t="n">
        <f aca="false">H156*(1+C157)</f>
        <v>2846.07756359776</v>
      </c>
      <c r="I157" s="14" t="n">
        <f aca="false">I156*(1+D157)</f>
        <v>3106.03950662406</v>
      </c>
      <c r="J157" s="14" t="n">
        <f aca="false">J156*(1+E157)</f>
        <v>3020.98279497823</v>
      </c>
      <c r="K157" s="14" t="n">
        <f aca="false">K156*(1+F157)</f>
        <v>2343.40157065824</v>
      </c>
      <c r="L157" s="14" t="n">
        <f aca="false">L156*(1+G157)</f>
        <v>2966.46879617878</v>
      </c>
      <c r="M157" s="14" t="n">
        <f aca="false">H157-H156</f>
        <v>-85.8160425253304</v>
      </c>
      <c r="N157" s="14" t="n">
        <f aca="false">I157-I156</f>
        <v>-89.8468582214614</v>
      </c>
      <c r="O157" s="14" t="n">
        <f aca="false">J157-J156</f>
        <v>-76.4900748599503</v>
      </c>
      <c r="P157" s="14" t="n">
        <f aca="false">K157-K156</f>
        <v>-52.9354448295076</v>
      </c>
      <c r="Q157" s="14" t="n">
        <f aca="false">L157-L156</f>
        <v>-106.310477746712</v>
      </c>
    </row>
    <row r="158" customFormat="false" ht="15" hidden="false" customHeight="false" outlineLevel="0" collapsed="false">
      <c r="A158" s="11" t="n">
        <v>46179</v>
      </c>
      <c r="B158" s="12" t="s">
        <v>49</v>
      </c>
      <c r="C158" s="13" t="n">
        <v>0.0423641914495206</v>
      </c>
      <c r="D158" s="13" t="n">
        <v>0.0380568432518721</v>
      </c>
      <c r="E158" s="13" t="n">
        <v>0.0353351589599963</v>
      </c>
      <c r="F158" s="13" t="n">
        <v>0.0433320136400538</v>
      </c>
      <c r="G158" s="13" t="n">
        <v>0.0477259483678508</v>
      </c>
      <c r="H158" s="14" t="n">
        <f aca="false">H157*(1+C158)</f>
        <v>2966.6493383822</v>
      </c>
      <c r="I158" s="14" t="n">
        <f aca="false">I157*(1+D158)</f>
        <v>3224.24556526177</v>
      </c>
      <c r="J158" s="14" t="n">
        <f aca="false">J157*(1+E158)</f>
        <v>3127.7297022542</v>
      </c>
      <c r="K158" s="14" t="n">
        <f aca="false">K157*(1+F158)</f>
        <v>2444.94587948213</v>
      </c>
      <c r="L158" s="14" t="n">
        <f aca="false">L157*(1+G158)</f>
        <v>3108.04633278004</v>
      </c>
      <c r="M158" s="14" t="n">
        <f aca="false">H158-H157</f>
        <v>120.571774784441</v>
      </c>
      <c r="N158" s="14" t="n">
        <f aca="false">I158-I157</f>
        <v>118.206058637713</v>
      </c>
      <c r="O158" s="14" t="n">
        <f aca="false">J158-J157</f>
        <v>106.74690727597</v>
      </c>
      <c r="P158" s="14" t="n">
        <f aca="false">K158-K157</f>
        <v>101.544308823887</v>
      </c>
      <c r="Q158" s="14" t="n">
        <f aca="false">L158-L157</f>
        <v>141.577536601269</v>
      </c>
    </row>
    <row r="159" customFormat="false" ht="15" hidden="false" customHeight="false" outlineLevel="0" collapsed="false">
      <c r="A159" s="11" t="n">
        <v>46180</v>
      </c>
      <c r="B159" s="12" t="s">
        <v>50</v>
      </c>
      <c r="C159" s="13" t="n">
        <v>-0.0166477411274498</v>
      </c>
      <c r="D159" s="13" t="n">
        <v>-0.00477950621033102</v>
      </c>
      <c r="E159" s="13" t="n">
        <v>-0.00575401813910686</v>
      </c>
      <c r="F159" s="13" t="n">
        <v>-0.018967082839467</v>
      </c>
      <c r="G159" s="13" t="n">
        <v>-0.00609271321588956</v>
      </c>
      <c r="H159" s="14" t="n">
        <f aca="false">H158*(1+C159)</f>
        <v>2917.26132818089</v>
      </c>
      <c r="I159" s="14" t="n">
        <f aca="false">I158*(1+D159)</f>
        <v>3208.83526355897</v>
      </c>
      <c r="J159" s="14" t="n">
        <f aca="false">J158*(1+E159)</f>
        <v>3109.73268881321</v>
      </c>
      <c r="K159" s="14" t="n">
        <f aca="false">K158*(1+F159)</f>
        <v>2398.57238844798</v>
      </c>
      <c r="L159" s="14" t="n">
        <f aca="false">L158*(1+G159)</f>
        <v>3089.10989781272</v>
      </c>
      <c r="M159" s="14" t="n">
        <f aca="false">H159-H158</f>
        <v>-49.3880102013072</v>
      </c>
      <c r="N159" s="14" t="n">
        <f aca="false">I159-I158</f>
        <v>-15.410301702801</v>
      </c>
      <c r="O159" s="14" t="n">
        <f aca="false">J159-J158</f>
        <v>-17.9970134409937</v>
      </c>
      <c r="P159" s="14" t="n">
        <f aca="false">K159-K158</f>
        <v>-46.3734910341509</v>
      </c>
      <c r="Q159" s="14" t="n">
        <f aca="false">L159-L158</f>
        <v>-18.936434967326</v>
      </c>
    </row>
    <row r="160" customFormat="false" ht="15" hidden="false" customHeight="false" outlineLevel="0" collapsed="false">
      <c r="A160" s="11" t="n">
        <v>46181</v>
      </c>
      <c r="B160" s="12" t="s">
        <v>51</v>
      </c>
      <c r="C160" s="13" t="n">
        <v>-0.0271557488716808</v>
      </c>
      <c r="D160" s="13" t="n">
        <v>-0.0327970295494775</v>
      </c>
      <c r="E160" s="13" t="n">
        <v>-0.0202750332145801</v>
      </c>
      <c r="F160" s="13" t="n">
        <v>-0.0269522170931309</v>
      </c>
      <c r="G160" s="13" t="n">
        <v>-0.0409624098212145</v>
      </c>
      <c r="H160" s="14" t="n">
        <f aca="false">H159*(1+C160)</f>
        <v>2838.04091215975</v>
      </c>
      <c r="I160" s="14" t="n">
        <f aca="false">I159*(1+D160)</f>
        <v>3103.59499860062</v>
      </c>
      <c r="J160" s="14" t="n">
        <f aca="false">J159*(1+E160)</f>
        <v>3046.68275525906</v>
      </c>
      <c r="K160" s="14" t="n">
        <f aca="false">K159*(1+F160)</f>
        <v>2333.92554472094</v>
      </c>
      <c r="L160" s="14" t="n">
        <f aca="false">L159*(1+G160)</f>
        <v>2962.57251219574</v>
      </c>
      <c r="M160" s="14" t="n">
        <f aca="false">H160-H159</f>
        <v>-79.2204160211463</v>
      </c>
      <c r="N160" s="14" t="n">
        <f aca="false">I160-I159</f>
        <v>-105.240264958349</v>
      </c>
      <c r="O160" s="14" t="n">
        <f aca="false">J160-J159</f>
        <v>-63.0499335541535</v>
      </c>
      <c r="P160" s="14" t="n">
        <f aca="false">K160-K159</f>
        <v>-64.6468437270391</v>
      </c>
      <c r="Q160" s="14" t="n">
        <f aca="false">L160-L159</f>
        <v>-126.537385616974</v>
      </c>
    </row>
    <row r="161" customFormat="false" ht="15" hidden="false" customHeight="false" outlineLevel="0" collapsed="false">
      <c r="A161" s="11" t="n">
        <v>46182</v>
      </c>
      <c r="B161" s="12" t="s">
        <v>52</v>
      </c>
      <c r="C161" s="13" t="n">
        <v>-0.00699637354575405</v>
      </c>
      <c r="D161" s="13" t="n">
        <v>-0.00392001770069867</v>
      </c>
      <c r="E161" s="13" t="n">
        <v>-0.00494640802769828</v>
      </c>
      <c r="F161" s="13" t="n">
        <v>-0.0113339781373723</v>
      </c>
      <c r="G161" s="13" t="n">
        <v>-0.00379113213663995</v>
      </c>
      <c r="H161" s="14" t="n">
        <f aca="false">H160*(1+C161)</f>
        <v>2818.18491780015</v>
      </c>
      <c r="I161" s="14" t="n">
        <f aca="false">I160*(1+D161)</f>
        <v>3091.42885127031</v>
      </c>
      <c r="J161" s="14" t="n">
        <f aca="false">J160*(1+E161)</f>
        <v>3031.61261922059</v>
      </c>
      <c r="K161" s="14" t="n">
        <f aca="false">K160*(1+F161)</f>
        <v>2307.47288362281</v>
      </c>
      <c r="L161" s="14" t="n">
        <f aca="false">L160*(1+G161)</f>
        <v>2951.34100833763</v>
      </c>
      <c r="M161" s="14" t="n">
        <f aca="false">H161-H160</f>
        <v>-19.8559943596024</v>
      </c>
      <c r="N161" s="14" t="n">
        <f aca="false">I161-I160</f>
        <v>-12.1661473303143</v>
      </c>
      <c r="O161" s="14" t="n">
        <f aca="false">J161-J160</f>
        <v>-15.0701360384633</v>
      </c>
      <c r="P161" s="14" t="n">
        <f aca="false">K161-K160</f>
        <v>-26.4526610981216</v>
      </c>
      <c r="Q161" s="14" t="n">
        <f aca="false">L161-L160</f>
        <v>-11.2315038581114</v>
      </c>
    </row>
    <row r="162" customFormat="false" ht="15" hidden="false" customHeight="false" outlineLevel="0" collapsed="false">
      <c r="A162" s="11" t="n">
        <v>46183</v>
      </c>
      <c r="B162" s="12" t="s">
        <v>53</v>
      </c>
      <c r="C162" s="13" t="n">
        <v>-0.00474012649367339</v>
      </c>
      <c r="D162" s="13" t="n">
        <v>-0.00296085136158931</v>
      </c>
      <c r="E162" s="13" t="n">
        <v>-0.0019002125517032</v>
      </c>
      <c r="F162" s="13" t="n">
        <v>-0.0042505463657897</v>
      </c>
      <c r="G162" s="13" t="n">
        <v>-0.00258029121111897</v>
      </c>
      <c r="H162" s="14" t="n">
        <f aca="false">H161*(1+C162)</f>
        <v>2804.82636480721</v>
      </c>
      <c r="I162" s="14" t="n">
        <f aca="false">I161*(1+D162)</f>
        <v>3082.27558994677</v>
      </c>
      <c r="J162" s="14" t="n">
        <f aca="false">J161*(1+E162)</f>
        <v>3025.85191086965</v>
      </c>
      <c r="K162" s="14" t="n">
        <f aca="false">K161*(1+F162)</f>
        <v>2297.66486314317</v>
      </c>
      <c r="L162" s="14" t="n">
        <f aca="false">L161*(1+G162)</f>
        <v>2943.7256890728</v>
      </c>
      <c r="M162" s="14" t="n">
        <f aca="false">H162-H161</f>
        <v>-13.3585529929351</v>
      </c>
      <c r="N162" s="14" t="n">
        <f aca="false">I162-I161</f>
        <v>-9.15326132353994</v>
      </c>
      <c r="O162" s="14" t="n">
        <f aca="false">J162-J161</f>
        <v>-5.76070835094515</v>
      </c>
      <c r="P162" s="14" t="n">
        <f aca="false">K162-K161</f>
        <v>-9.80802047964107</v>
      </c>
      <c r="Q162" s="14" t="n">
        <f aca="false">L162-L161</f>
        <v>-7.61531926482894</v>
      </c>
    </row>
    <row r="163" customFormat="false" ht="15" hidden="false" customHeight="false" outlineLevel="0" collapsed="false">
      <c r="A163" s="11" t="n">
        <v>46184</v>
      </c>
      <c r="B163" s="12" t="s">
        <v>47</v>
      </c>
      <c r="C163" s="13" t="n">
        <v>-0.00496924798516085</v>
      </c>
      <c r="D163" s="13" t="n">
        <v>0.0133257202636294</v>
      </c>
      <c r="E163" s="13" t="n">
        <v>0.0071506822924284</v>
      </c>
      <c r="F163" s="13" t="n">
        <v>-0.00028266264972493</v>
      </c>
      <c r="G163" s="13" t="n">
        <v>0.0149363744674846</v>
      </c>
      <c r="H163" s="14" t="n">
        <f aca="false">H162*(1+C163)</f>
        <v>2790.88848704517</v>
      </c>
      <c r="I163" s="14" t="n">
        <f aca="false">I162*(1+D163)</f>
        <v>3123.34913223381</v>
      </c>
      <c r="J163" s="14" t="n">
        <f aca="false">J162*(1+E163)</f>
        <v>3047.48881654821</v>
      </c>
      <c r="K163" s="14" t="n">
        <f aca="false">K162*(1+F163)</f>
        <v>2297.01539910478</v>
      </c>
      <c r="L163" s="14" t="n">
        <f aca="false">L162*(1+G163)</f>
        <v>2987.69427829435</v>
      </c>
      <c r="M163" s="14" t="n">
        <f aca="false">H163-H162</f>
        <v>-13.9378777620441</v>
      </c>
      <c r="N163" s="14" t="n">
        <f aca="false">I163-I162</f>
        <v>41.0735422870439</v>
      </c>
      <c r="O163" s="14" t="n">
        <f aca="false">J163-J162</f>
        <v>21.6369056785661</v>
      </c>
      <c r="P163" s="14" t="n">
        <f aca="false">K163-K162</f>
        <v>-0.649464038396218</v>
      </c>
      <c r="Q163" s="14" t="n">
        <f aca="false">L163-L162</f>
        <v>43.9685892215457</v>
      </c>
    </row>
    <row r="164" customFormat="false" ht="15" hidden="false" customHeight="false" outlineLevel="0" collapsed="false">
      <c r="A164" s="11" t="n">
        <v>46185</v>
      </c>
      <c r="B164" s="12" t="s">
        <v>48</v>
      </c>
      <c r="C164" s="13" t="n">
        <v>0.00190481740793658</v>
      </c>
      <c r="D164" s="13" t="n">
        <v>0.0117405109856398</v>
      </c>
      <c r="E164" s="13" t="n">
        <v>0.0101787476492324</v>
      </c>
      <c r="F164" s="13" t="n">
        <v>0.00446742929693134</v>
      </c>
      <c r="G164" s="13" t="n">
        <v>0.0148168311408153</v>
      </c>
      <c r="H164" s="14" t="n">
        <f aca="false">H163*(1+C164)</f>
        <v>2796.2046200189</v>
      </c>
      <c r="I164" s="14" t="n">
        <f aca="false">I163*(1+D164)</f>
        <v>3160.01884703279</v>
      </c>
      <c r="J164" s="14" t="n">
        <f aca="false">J163*(1+E164)</f>
        <v>3078.50843617571</v>
      </c>
      <c r="K164" s="14" t="n">
        <f aca="false">K163*(1+F164)</f>
        <v>2307.27715299424</v>
      </c>
      <c r="L164" s="14" t="n">
        <f aca="false">L163*(1+G164)</f>
        <v>3031.96243991622</v>
      </c>
      <c r="M164" s="14" t="n">
        <f aca="false">H164-H163</f>
        <v>5.3161329737336</v>
      </c>
      <c r="N164" s="14" t="n">
        <f aca="false">I164-I163</f>
        <v>36.6697147989794</v>
      </c>
      <c r="O164" s="14" t="n">
        <f aca="false">J164-J163</f>
        <v>31.0196196275019</v>
      </c>
      <c r="P164" s="14" t="n">
        <f aca="false">K164-K163</f>
        <v>10.2617538894633</v>
      </c>
      <c r="Q164" s="14" t="n">
        <f aca="false">L164-L163</f>
        <v>44.268161621867</v>
      </c>
    </row>
    <row r="165" customFormat="false" ht="15" hidden="false" customHeight="false" outlineLevel="0" collapsed="false">
      <c r="A165" s="11" t="n">
        <v>46186</v>
      </c>
      <c r="B165" s="12" t="s">
        <v>49</v>
      </c>
      <c r="C165" s="13" t="n">
        <v>-0.0118844865622328</v>
      </c>
      <c r="D165" s="13" t="n">
        <v>-0.0106281098478209</v>
      </c>
      <c r="E165" s="13" t="n">
        <v>-0.00948952180709969</v>
      </c>
      <c r="F165" s="13" t="n">
        <v>-0.0145993071290373</v>
      </c>
      <c r="G165" s="13" t="n">
        <v>-0.0133347365248315</v>
      </c>
      <c r="H165" s="14" t="n">
        <f aca="false">H164*(1+C165)</f>
        <v>2762.97316378703</v>
      </c>
      <c r="I165" s="14" t="n">
        <f aca="false">I164*(1+D165)</f>
        <v>3126.43381960534</v>
      </c>
      <c r="J165" s="14" t="n">
        <f aca="false">J164*(1+E165)</f>
        <v>3049.29486323728</v>
      </c>
      <c r="K165" s="14" t="n">
        <f aca="false">K164*(1+F165)</f>
        <v>2273.59250520587</v>
      </c>
      <c r="L165" s="14" t="n">
        <f aca="false">L164*(1+G165)</f>
        <v>2991.53201962675</v>
      </c>
      <c r="M165" s="14" t="n">
        <f aca="false">H165-H164</f>
        <v>-33.2314562318679</v>
      </c>
      <c r="N165" s="14" t="n">
        <f aca="false">I165-I164</f>
        <v>-33.5850274274485</v>
      </c>
      <c r="O165" s="14" t="n">
        <f aca="false">J165-J164</f>
        <v>-29.2135729384299</v>
      </c>
      <c r="P165" s="14" t="n">
        <f aca="false">K165-K164</f>
        <v>-33.6846477883737</v>
      </c>
      <c r="Q165" s="14" t="n">
        <f aca="false">L165-L164</f>
        <v>-40.4304202894682</v>
      </c>
    </row>
    <row r="166" customFormat="false" ht="15" hidden="false" customHeight="false" outlineLevel="0" collapsed="false">
      <c r="A166" s="11" t="n">
        <v>46187</v>
      </c>
      <c r="B166" s="12" t="s">
        <v>50</v>
      </c>
      <c r="C166" s="13" t="n">
        <v>0.0270671083227736</v>
      </c>
      <c r="D166" s="13" t="n">
        <v>0.0233769684601566</v>
      </c>
      <c r="E166" s="13" t="n">
        <v>0.0251905073011827</v>
      </c>
      <c r="F166" s="13" t="n">
        <v>0.0206947345884928</v>
      </c>
      <c r="G166" s="13" t="n">
        <v>0.0290637471121181</v>
      </c>
      <c r="H166" s="14" t="n">
        <f aca="false">H165*(1+C166)</f>
        <v>2837.75885770417</v>
      </c>
      <c r="I166" s="14" t="n">
        <f aca="false">I165*(1+D166)</f>
        <v>3199.52036439902</v>
      </c>
      <c r="J166" s="14" t="n">
        <f aca="false">J165*(1+E166)</f>
        <v>3126.10814775312</v>
      </c>
      <c r="K166" s="14" t="n">
        <f aca="false">K165*(1+F166)</f>
        <v>2320.64389866349</v>
      </c>
      <c r="L166" s="14" t="n">
        <f aca="false">L165*(1+G166)</f>
        <v>3078.47714972298</v>
      </c>
      <c r="M166" s="14" t="n">
        <f aca="false">H166-H165</f>
        <v>74.7856939171402</v>
      </c>
      <c r="N166" s="14" t="n">
        <f aca="false">I166-I165</f>
        <v>73.0865447936808</v>
      </c>
      <c r="O166" s="14" t="n">
        <f aca="false">J166-J165</f>
        <v>76.8132845158375</v>
      </c>
      <c r="P166" s="14" t="n">
        <f aca="false">K166-K165</f>
        <v>47.0513934576215</v>
      </c>
      <c r="Q166" s="14" t="n">
        <f aca="false">L166-L165</f>
        <v>86.945130096236</v>
      </c>
    </row>
    <row r="167" customFormat="false" ht="15" hidden="false" customHeight="false" outlineLevel="0" collapsed="false">
      <c r="A167" s="11" t="n">
        <v>46188</v>
      </c>
      <c r="B167" s="12" t="s">
        <v>51</v>
      </c>
      <c r="C167" s="13" t="n">
        <v>0.00288783088184058</v>
      </c>
      <c r="D167" s="13" t="n">
        <v>0.00540438901883907</v>
      </c>
      <c r="E167" s="13" t="n">
        <v>0.00675967003807477</v>
      </c>
      <c r="F167" s="13" t="n">
        <v>0.00220178931792558</v>
      </c>
      <c r="G167" s="13" t="n">
        <v>0.00691269212919177</v>
      </c>
      <c r="H167" s="14" t="n">
        <f aca="false">H166*(1+C167)</f>
        <v>2845.95382536867</v>
      </c>
      <c r="I167" s="14" t="n">
        <f aca="false">I166*(1+D167)</f>
        <v>3216.81181712193</v>
      </c>
      <c r="J167" s="14" t="n">
        <f aca="false">J166*(1+E167)</f>
        <v>3147.23960733527</v>
      </c>
      <c r="K167" s="14" t="n">
        <f aca="false">K166*(1+F167)</f>
        <v>2325.75346761027</v>
      </c>
      <c r="L167" s="14" t="n">
        <f aca="false">L166*(1+G167)</f>
        <v>3099.75771448577</v>
      </c>
      <c r="M167" s="14" t="n">
        <f aca="false">H167-H166</f>
        <v>8.19496766449447</v>
      </c>
      <c r="N167" s="14" t="n">
        <f aca="false">I167-I166</f>
        <v>17.29145272291</v>
      </c>
      <c r="O167" s="14" t="n">
        <f aca="false">J167-J166</f>
        <v>21.1314595821482</v>
      </c>
      <c r="P167" s="14" t="n">
        <f aca="false">K167-K166</f>
        <v>5.10956894678657</v>
      </c>
      <c r="Q167" s="14" t="n">
        <f aca="false">L167-L166</f>
        <v>21.280564762787</v>
      </c>
    </row>
    <row r="168" customFormat="false" ht="15" hidden="false" customHeight="false" outlineLevel="0" collapsed="false">
      <c r="A168" s="11" t="n">
        <v>46189</v>
      </c>
      <c r="B168" s="12" t="s">
        <v>52</v>
      </c>
      <c r="C168" s="13" t="n">
        <v>0.00615385922967482</v>
      </c>
      <c r="D168" s="13" t="n">
        <v>0.00306635770404529</v>
      </c>
      <c r="E168" s="13" t="n">
        <v>-0.00338487704661396</v>
      </c>
      <c r="F168" s="13" t="n">
        <v>0.00753277889458615</v>
      </c>
      <c r="G168" s="13" t="n">
        <v>0.00411587926141543</v>
      </c>
      <c r="H168" s="14" t="n">
        <f aca="false">H167*(1+C168)</f>
        <v>2863.46742458414</v>
      </c>
      <c r="I168" s="14" t="n">
        <f aca="false">I167*(1+D168)</f>
        <v>3226.67571281983</v>
      </c>
      <c r="J168" s="14" t="n">
        <f aca="false">J167*(1+E168)</f>
        <v>3136.58658822821</v>
      </c>
      <c r="K168" s="14" t="n">
        <f aca="false">K167*(1+F168)</f>
        <v>2343.2728542451</v>
      </c>
      <c r="L168" s="14" t="n">
        <f aca="false">L167*(1+G168)</f>
        <v>3112.51594297823</v>
      </c>
      <c r="M168" s="14" t="n">
        <f aca="false">H168-H167</f>
        <v>17.5135992154733</v>
      </c>
      <c r="N168" s="14" t="n">
        <f aca="false">I168-I167</f>
        <v>9.86389569789571</v>
      </c>
      <c r="O168" s="14" t="n">
        <f aca="false">J168-J167</f>
        <v>-10.6530191070633</v>
      </c>
      <c r="P168" s="14" t="n">
        <f aca="false">K168-K167</f>
        <v>17.519386634825</v>
      </c>
      <c r="Q168" s="14" t="n">
        <f aca="false">L168-L167</f>
        <v>12.7582284924642</v>
      </c>
    </row>
    <row r="169" customFormat="false" ht="15" hidden="false" customHeight="false" outlineLevel="0" collapsed="false">
      <c r="A169" s="11" t="n">
        <v>46190</v>
      </c>
      <c r="B169" s="12" t="s">
        <v>53</v>
      </c>
      <c r="C169" s="13" t="n">
        <v>-0.00710909739789006</v>
      </c>
      <c r="D169" s="13" t="n">
        <v>-0.000537620620016116</v>
      </c>
      <c r="E169" s="13" t="n">
        <v>0.00114440609325524</v>
      </c>
      <c r="F169" s="13" t="n">
        <v>-0.0111426229086733</v>
      </c>
      <c r="G169" s="13" t="n">
        <v>0.00204590254862191</v>
      </c>
      <c r="H169" s="14" t="n">
        <f aca="false">H168*(1+C169)</f>
        <v>2843.11075576709</v>
      </c>
      <c r="I169" s="14" t="n">
        <f aca="false">I168*(1+D169)</f>
        <v>3224.94098542251</v>
      </c>
      <c r="J169" s="14" t="n">
        <f aca="false">J168*(1+E169)</f>
        <v>3140.1761170318</v>
      </c>
      <c r="K169" s="14" t="n">
        <f aca="false">K168*(1+F169)</f>
        <v>2317.16264845812</v>
      </c>
      <c r="L169" s="14" t="n">
        <f aca="false">L168*(1+G169)</f>
        <v>3118.8838472786</v>
      </c>
      <c r="M169" s="14" t="n">
        <f aca="false">H169-H168</f>
        <v>-20.356668817054</v>
      </c>
      <c r="N169" s="14" t="n">
        <f aca="false">I169-I168</f>
        <v>-1.73472739731733</v>
      </c>
      <c r="O169" s="14" t="n">
        <f aca="false">J169-J168</f>
        <v>3.58952880359129</v>
      </c>
      <c r="P169" s="14" t="n">
        <f aca="false">K169-K168</f>
        <v>-26.1102057869839</v>
      </c>
      <c r="Q169" s="14" t="n">
        <f aca="false">L169-L168</f>
        <v>6.36790430036535</v>
      </c>
    </row>
    <row r="170" customFormat="false" ht="15" hidden="false" customHeight="false" outlineLevel="0" collapsed="false">
      <c r="A170" s="11" t="n">
        <v>46191</v>
      </c>
      <c r="B170" s="12" t="s">
        <v>47</v>
      </c>
      <c r="C170" s="13" t="n">
        <v>0.00348684775528252</v>
      </c>
      <c r="D170" s="13" t="n">
        <v>-0.000648997117078365</v>
      </c>
      <c r="E170" s="13" t="n">
        <v>-0.00259069740972029</v>
      </c>
      <c r="F170" s="13" t="n">
        <v>0.0115199804473778</v>
      </c>
      <c r="G170" s="13" t="n">
        <v>0.000458771685686754</v>
      </c>
      <c r="H170" s="14" t="n">
        <f aca="false">H169*(1+C170)</f>
        <v>2853.02425012385</v>
      </c>
      <c r="I170" s="14" t="n">
        <f aca="false">I169*(1+D170)</f>
        <v>3222.84800802022</v>
      </c>
      <c r="J170" s="14" t="n">
        <f aca="false">J169*(1+E170)</f>
        <v>3132.04087089934</v>
      </c>
      <c r="K170" s="14" t="n">
        <f aca="false">K169*(1+F170)</f>
        <v>2343.85631686175</v>
      </c>
      <c r="L170" s="14" t="n">
        <f aca="false">L169*(1+G170)</f>
        <v>3120.31470287868</v>
      </c>
      <c r="M170" s="14" t="n">
        <f aca="false">H170-H169</f>
        <v>9.91349435676602</v>
      </c>
      <c r="N170" s="14" t="n">
        <f aca="false">I170-I169</f>
        <v>-2.09297740228703</v>
      </c>
      <c r="O170" s="14" t="n">
        <f aca="false">J170-J169</f>
        <v>-8.13524613246</v>
      </c>
      <c r="P170" s="14" t="n">
        <f aca="false">K170-K169</f>
        <v>26.6936684036318</v>
      </c>
      <c r="Q170" s="14" t="n">
        <f aca="false">L170-L169</f>
        <v>1.43085560007739</v>
      </c>
    </row>
    <row r="171" customFormat="false" ht="15" hidden="false" customHeight="false" outlineLevel="0" collapsed="false">
      <c r="A171" s="11" t="n">
        <v>46192</v>
      </c>
      <c r="B171" s="12" t="s">
        <v>48</v>
      </c>
      <c r="C171" s="13" t="n">
        <v>0.0224965854786999</v>
      </c>
      <c r="D171" s="13" t="n">
        <v>0.0167688834348679</v>
      </c>
      <c r="E171" s="13" t="n">
        <v>0.0169713116995656</v>
      </c>
      <c r="F171" s="13" t="n">
        <v>0.0201636966882779</v>
      </c>
      <c r="G171" s="13" t="n">
        <v>0.0220804423181357</v>
      </c>
      <c r="H171" s="14" t="n">
        <f aca="false">H170*(1+C171)</f>
        <v>2917.20755403957</v>
      </c>
      <c r="I171" s="14" t="n">
        <f aca="false">I170*(1+D171)</f>
        <v>3276.89157059501</v>
      </c>
      <c r="J171" s="14" t="n">
        <f aca="false">J170*(1+E171)</f>
        <v>3185.19571277515</v>
      </c>
      <c r="K171" s="14" t="n">
        <f aca="false">K170*(1+F171)</f>
        <v>2391.11712471585</v>
      </c>
      <c r="L171" s="14" t="n">
        <f aca="false">L170*(1+G171)</f>
        <v>3189.21263169002</v>
      </c>
      <c r="M171" s="14" t="n">
        <f aca="false">H171-H170</f>
        <v>64.1833039157154</v>
      </c>
      <c r="N171" s="14" t="n">
        <f aca="false">I171-I170</f>
        <v>54.0435625747873</v>
      </c>
      <c r="O171" s="14" t="n">
        <f aca="false">J171-J170</f>
        <v>53.1548418758116</v>
      </c>
      <c r="P171" s="14" t="n">
        <f aca="false">K171-K170</f>
        <v>47.2608078541043</v>
      </c>
      <c r="Q171" s="14" t="n">
        <f aca="false">L171-L170</f>
        <v>68.8979288113428</v>
      </c>
    </row>
    <row r="172" customFormat="false" ht="15" hidden="false" customHeight="false" outlineLevel="0" collapsed="false">
      <c r="A172" s="11" t="n">
        <v>46193</v>
      </c>
      <c r="B172" s="12" t="s">
        <v>49</v>
      </c>
      <c r="C172" s="13" t="n">
        <v>0.00230753514485499</v>
      </c>
      <c r="D172" s="13" t="n">
        <v>0.00243030962601539</v>
      </c>
      <c r="E172" s="13" t="n">
        <v>0.00381371329858165</v>
      </c>
      <c r="F172" s="13" t="n">
        <v>-0.00460453522593191</v>
      </c>
      <c r="G172" s="13" t="n">
        <v>0.00320266976011263</v>
      </c>
      <c r="H172" s="14" t="n">
        <f aca="false">H171*(1+C172)</f>
        <v>2923.93911299535</v>
      </c>
      <c r="I172" s="14" t="n">
        <f aca="false">I171*(1+D172)</f>
        <v>3284.85543172244</v>
      </c>
      <c r="J172" s="14" t="n">
        <f aca="false">J171*(1+E172)</f>
        <v>3197.34313602355</v>
      </c>
      <c r="K172" s="14" t="n">
        <f aca="false">K171*(1+F172)</f>
        <v>2380.10714168577</v>
      </c>
      <c r="L172" s="14" t="n">
        <f aca="false">L171*(1+G172)</f>
        <v>3199.4266265441</v>
      </c>
      <c r="M172" s="14" t="n">
        <f aca="false">H172-H171</f>
        <v>6.73155895578248</v>
      </c>
      <c r="N172" s="14" t="n">
        <f aca="false">I172-I171</f>
        <v>7.96386112742584</v>
      </c>
      <c r="O172" s="14" t="n">
        <f aca="false">J172-J171</f>
        <v>12.1474232483956</v>
      </c>
      <c r="P172" s="14" t="n">
        <f aca="false">K172-K171</f>
        <v>-11.0099830300828</v>
      </c>
      <c r="Q172" s="14" t="n">
        <f aca="false">L172-L171</f>
        <v>10.213994854083</v>
      </c>
    </row>
    <row r="173" customFormat="false" ht="15" hidden="false" customHeight="false" outlineLevel="0" collapsed="false">
      <c r="A173" s="11" t="n">
        <v>46194</v>
      </c>
      <c r="B173" s="12" t="s">
        <v>50</v>
      </c>
      <c r="C173" s="13" t="n">
        <v>-0.0049225159412491</v>
      </c>
      <c r="D173" s="13" t="n">
        <v>-0.00246611930966834</v>
      </c>
      <c r="E173" s="13" t="n">
        <v>-0.00314478453542351</v>
      </c>
      <c r="F173" s="13" t="n">
        <v>0.00552995568715464</v>
      </c>
      <c r="G173" s="13" t="n">
        <v>-0.00300617368057382</v>
      </c>
      <c r="H173" s="14" t="n">
        <f aca="false">H172*(1+C173)</f>
        <v>2909.54597610039</v>
      </c>
      <c r="I173" s="14" t="n">
        <f aca="false">I172*(1+D173)</f>
        <v>3276.7545863128</v>
      </c>
      <c r="J173" s="14" t="n">
        <f aca="false">J172*(1+E173)</f>
        <v>3187.28818077494</v>
      </c>
      <c r="K173" s="14" t="n">
        <f aca="false">K172*(1+F173)</f>
        <v>2393.26902870997</v>
      </c>
      <c r="L173" s="14" t="n">
        <f aca="false">L172*(1+G173)</f>
        <v>3189.80859442646</v>
      </c>
      <c r="M173" s="14" t="n">
        <f aca="false">H173-H172</f>
        <v>-14.3931368949616</v>
      </c>
      <c r="N173" s="14" t="n">
        <f aca="false">I173-I172</f>
        <v>-8.10084540963953</v>
      </c>
      <c r="O173" s="14" t="n">
        <f aca="false">J173-J172</f>
        <v>-10.0549552486095</v>
      </c>
      <c r="P173" s="14" t="n">
        <f aca="false">K173-K172</f>
        <v>13.1618870242028</v>
      </c>
      <c r="Q173" s="14" t="n">
        <f aca="false">L173-L172</f>
        <v>-9.61803211764391</v>
      </c>
    </row>
    <row r="174" customFormat="false" ht="15" hidden="false" customHeight="false" outlineLevel="0" collapsed="false">
      <c r="A174" s="11" t="n">
        <v>46195</v>
      </c>
      <c r="B174" s="12" t="s">
        <v>51</v>
      </c>
      <c r="C174" s="13" t="n">
        <v>0.00455153035489642</v>
      </c>
      <c r="D174" s="13" t="n">
        <v>-0.00826443313591588</v>
      </c>
      <c r="E174" s="13" t="n">
        <v>-0.00608239638906475</v>
      </c>
      <c r="F174" s="13" t="n">
        <v>0.00570744722724714</v>
      </c>
      <c r="G174" s="13" t="n">
        <v>-0.0102226396827235</v>
      </c>
      <c r="H174" s="14" t="n">
        <f aca="false">H173*(1+C174)</f>
        <v>2922.78886292958</v>
      </c>
      <c r="I174" s="14" t="n">
        <f aca="false">I173*(1+D174)</f>
        <v>3249.67406713141</v>
      </c>
      <c r="J174" s="14" t="n">
        <f aca="false">J173*(1+E174)</f>
        <v>3167.90183065328</v>
      </c>
      <c r="K174" s="14" t="n">
        <f aca="false">K173*(1+F174)</f>
        <v>2406.92848539194</v>
      </c>
      <c r="L174" s="14" t="n">
        <f aca="false">L173*(1+G174)</f>
        <v>3157.20033050878</v>
      </c>
      <c r="M174" s="14" t="n">
        <f aca="false">H174-H173</f>
        <v>13.2428868291877</v>
      </c>
      <c r="N174" s="14" t="n">
        <f aca="false">I174-I173</f>
        <v>-27.0805191813879</v>
      </c>
      <c r="O174" s="14" t="n">
        <f aca="false">J174-J173</f>
        <v>-19.3863501216542</v>
      </c>
      <c r="P174" s="14" t="n">
        <f aca="false">K174-K173</f>
        <v>13.6594566819672</v>
      </c>
      <c r="Q174" s="14" t="n">
        <f aca="false">L174-L173</f>
        <v>-32.6082639176766</v>
      </c>
    </row>
    <row r="175" customFormat="false" ht="15" hidden="false" customHeight="false" outlineLevel="0" collapsed="false">
      <c r="A175" s="11" t="n">
        <v>46196</v>
      </c>
      <c r="B175" s="12" t="s">
        <v>52</v>
      </c>
      <c r="C175" s="13" t="n">
        <v>0.00481032564824258</v>
      </c>
      <c r="D175" s="13" t="n">
        <v>0.00371577123807184</v>
      </c>
      <c r="E175" s="13" t="n">
        <v>0.0037167862259552</v>
      </c>
      <c r="F175" s="13" t="n">
        <v>0.00297639571491148</v>
      </c>
      <c r="G175" s="13" t="n">
        <v>0.00462784312759068</v>
      </c>
      <c r="H175" s="14" t="n">
        <f aca="false">H174*(1+C175)</f>
        <v>2936.84842916132</v>
      </c>
      <c r="I175" s="14" t="n">
        <f aca="false">I174*(1+D175)</f>
        <v>3261.74911256316</v>
      </c>
      <c r="J175" s="14" t="n">
        <f aca="false">J174*(1+E175)</f>
        <v>3179.67624454263</v>
      </c>
      <c r="K175" s="14" t="n">
        <f aca="false">K174*(1+F175)</f>
        <v>2414.09245702196</v>
      </c>
      <c r="L175" s="14" t="n">
        <f aca="false">L174*(1+G175)</f>
        <v>3171.81135836075</v>
      </c>
      <c r="M175" s="14" t="n">
        <f aca="false">H175-H174</f>
        <v>14.0595662317478</v>
      </c>
      <c r="N175" s="14" t="n">
        <f aca="false">I175-I174</f>
        <v>12.0750454317545</v>
      </c>
      <c r="O175" s="14" t="n">
        <f aca="false">J175-J174</f>
        <v>11.7744138893509</v>
      </c>
      <c r="P175" s="14" t="n">
        <f aca="false">K175-K174</f>
        <v>7.16397163001875</v>
      </c>
      <c r="Q175" s="14" t="n">
        <f aca="false">L175-L174</f>
        <v>14.6110278519718</v>
      </c>
    </row>
    <row r="176" customFormat="false" ht="15" hidden="false" customHeight="false" outlineLevel="0" collapsed="false">
      <c r="A176" s="11" t="n">
        <v>46197</v>
      </c>
      <c r="B176" s="12" t="s">
        <v>53</v>
      </c>
      <c r="C176" s="13" t="n">
        <v>0.0231260436821368</v>
      </c>
      <c r="D176" s="13" t="n">
        <v>0.0172197849287314</v>
      </c>
      <c r="E176" s="13" t="n">
        <v>0.0172196705218358</v>
      </c>
      <c r="F176" s="13" t="n">
        <v>0.0220088166306021</v>
      </c>
      <c r="G176" s="13" t="n">
        <v>0.0215319923742902</v>
      </c>
      <c r="H176" s="14" t="n">
        <f aca="false">H175*(1+C176)</f>
        <v>3004.76611422192</v>
      </c>
      <c r="I176" s="14" t="n">
        <f aca="false">I175*(1+D176)</f>
        <v>3317.91573077298</v>
      </c>
      <c r="J176" s="14" t="n">
        <f aca="false">J175*(1+E176)</f>
        <v>3234.42922183976</v>
      </c>
      <c r="K176" s="14" t="n">
        <f aca="false">K175*(1+F176)</f>
        <v>2467.22377523787</v>
      </c>
      <c r="L176" s="14" t="n">
        <f aca="false">L175*(1+G176)</f>
        <v>3240.10677634167</v>
      </c>
      <c r="M176" s="14" t="n">
        <f aca="false">H176-H175</f>
        <v>67.9176850605995</v>
      </c>
      <c r="N176" s="14" t="n">
        <f aca="false">I176-I175</f>
        <v>56.1666182098184</v>
      </c>
      <c r="O176" s="14" t="n">
        <f aca="false">J176-J175</f>
        <v>54.752977297132</v>
      </c>
      <c r="P176" s="14" t="n">
        <f aca="false">K176-K175</f>
        <v>53.1313182159161</v>
      </c>
      <c r="Q176" s="14" t="n">
        <f aca="false">L176-L175</f>
        <v>68.2954179809103</v>
      </c>
    </row>
    <row r="177" customFormat="false" ht="15" hidden="false" customHeight="false" outlineLevel="0" collapsed="false">
      <c r="A177" s="11" t="n">
        <v>46198</v>
      </c>
      <c r="B177" s="12" t="s">
        <v>47</v>
      </c>
      <c r="C177" s="13" t="n">
        <v>0.0502089522816519</v>
      </c>
      <c r="D177" s="13" t="n">
        <v>0.0453857461850762</v>
      </c>
      <c r="E177" s="13" t="n">
        <v>0.0453858056257704</v>
      </c>
      <c r="F177" s="13" t="n">
        <v>0.0593379111703252</v>
      </c>
      <c r="G177" s="13" t="n">
        <v>0.0556320316211804</v>
      </c>
      <c r="H177" s="14" t="n">
        <f aca="false">H176*(1+C177)</f>
        <v>3155.63227266842</v>
      </c>
      <c r="I177" s="14" t="n">
        <f aca="false">I176*(1+D177)</f>
        <v>3468.50181199332</v>
      </c>
      <c r="J177" s="14" t="n">
        <f aca="false">J176*(1+E177)</f>
        <v>3381.2263978125</v>
      </c>
      <c r="K177" s="14" t="n">
        <f aca="false">K176*(1+F177)</f>
        <v>2613.62368045025</v>
      </c>
      <c r="L177" s="14" t="n">
        <f aca="false">L176*(1+G177)</f>
        <v>3420.36049897911</v>
      </c>
      <c r="M177" s="14" t="n">
        <f aca="false">H177-H176</f>
        <v>150.866158446493</v>
      </c>
      <c r="N177" s="14" t="n">
        <f aca="false">I177-I176</f>
        <v>150.586081220334</v>
      </c>
      <c r="O177" s="14" t="n">
        <f aca="false">J177-J176</f>
        <v>146.797175972731</v>
      </c>
      <c r="P177" s="14" t="n">
        <f aca="false">K177-K176</f>
        <v>146.399905212379</v>
      </c>
      <c r="Q177" s="14" t="n">
        <f aca="false">L177-L176</f>
        <v>180.253722637441</v>
      </c>
    </row>
    <row r="178" customFormat="false" ht="15" hidden="false" customHeight="false" outlineLevel="0" collapsed="false">
      <c r="A178" s="11" t="n">
        <v>46199</v>
      </c>
      <c r="B178" s="12" t="s">
        <v>48</v>
      </c>
      <c r="C178" s="13" t="n">
        <v>0.0133089901864557</v>
      </c>
      <c r="D178" s="13" t="n">
        <v>0.0100377194485225</v>
      </c>
      <c r="E178" s="13" t="n">
        <v>0.0100377294005001</v>
      </c>
      <c r="F178" s="13" t="n">
        <v>0.012468253839142</v>
      </c>
      <c r="G178" s="13" t="n">
        <v>0.0115590377506871</v>
      </c>
      <c r="H178" s="14" t="n">
        <f aca="false">H177*(1+C178)</f>
        <v>3197.63055161742</v>
      </c>
      <c r="I178" s="14" t="n">
        <f aca="false">I177*(1+D178)</f>
        <v>3503.3176600888</v>
      </c>
      <c r="J178" s="14" t="n">
        <f aca="false">J177*(1+E178)</f>
        <v>3415.16623343557</v>
      </c>
      <c r="K178" s="14" t="n">
        <f aca="false">K177*(1+F178)</f>
        <v>2646.2110039381</v>
      </c>
      <c r="L178" s="14" t="n">
        <f aca="false">L177*(1+G178)</f>
        <v>3459.89657510776</v>
      </c>
      <c r="M178" s="14" t="n">
        <f aca="false">H178-H177</f>
        <v>41.9982789490064</v>
      </c>
      <c r="N178" s="14" t="n">
        <f aca="false">I178-I177</f>
        <v>34.8158480954812</v>
      </c>
      <c r="O178" s="14" t="n">
        <f aca="false">J178-J177</f>
        <v>33.9398356230695</v>
      </c>
      <c r="P178" s="14" t="n">
        <f aca="false">K178-K177</f>
        <v>32.5873234878459</v>
      </c>
      <c r="Q178" s="14" t="n">
        <f aca="false">L178-L177</f>
        <v>39.5360761286584</v>
      </c>
    </row>
    <row r="179" customFormat="false" ht="15" hidden="false" customHeight="false" outlineLevel="0" collapsed="false">
      <c r="A179" s="11" t="n">
        <v>46200</v>
      </c>
      <c r="B179" s="12" t="s">
        <v>49</v>
      </c>
      <c r="C179" s="13" t="n">
        <v>-0.027945685144768</v>
      </c>
      <c r="D179" s="13" t="n">
        <v>-0.0306747194368507</v>
      </c>
      <c r="E179" s="13" t="n">
        <v>-0.0306747308965603</v>
      </c>
      <c r="F179" s="13" t="n">
        <v>-0.0212025667680544</v>
      </c>
      <c r="G179" s="13" t="n">
        <v>-0.0374436341360356</v>
      </c>
      <c r="H179" s="14" t="n">
        <f aca="false">H178*(1+C179)</f>
        <v>3108.27057501263</v>
      </c>
      <c r="I179" s="14" t="n">
        <f aca="false">I178*(1+D179)</f>
        <v>3395.85437376741</v>
      </c>
      <c r="J179" s="14" t="n">
        <f aca="false">J178*(1+E179)</f>
        <v>3310.40692825791</v>
      </c>
      <c r="K179" s="14" t="n">
        <f aca="false">K178*(1+F179)</f>
        <v>2590.10453844474</v>
      </c>
      <c r="L179" s="14" t="n">
        <f aca="false">L178*(1+G179)</f>
        <v>3330.34547360091</v>
      </c>
      <c r="M179" s="14" t="n">
        <f aca="false">H179-H178</f>
        <v>-89.359976604791</v>
      </c>
      <c r="N179" s="14" t="n">
        <f aca="false">I179-I178</f>
        <v>-107.463286321388</v>
      </c>
      <c r="O179" s="14" t="n">
        <f aca="false">J179-J178</f>
        <v>-104.759305177655</v>
      </c>
      <c r="P179" s="14" t="n">
        <f aca="false">K179-K178</f>
        <v>-56.106465493358</v>
      </c>
      <c r="Q179" s="14" t="n">
        <f aca="false">L179-L178</f>
        <v>-129.551101506858</v>
      </c>
    </row>
    <row r="180" customFormat="false" ht="15" hidden="false" customHeight="false" outlineLevel="0" collapsed="false">
      <c r="A180" s="11" t="n">
        <v>46201</v>
      </c>
      <c r="B180" s="12" t="s">
        <v>50</v>
      </c>
      <c r="C180" s="13" t="n">
        <v>0.0258468486440916</v>
      </c>
      <c r="D180" s="13" t="n">
        <v>0.0116280726687475</v>
      </c>
      <c r="E180" s="13" t="n">
        <v>0.0116280847743133</v>
      </c>
      <c r="F180" s="13" t="n">
        <v>0.0131610271933196</v>
      </c>
      <c r="G180" s="13" t="n">
        <v>0.0144156743145852</v>
      </c>
      <c r="H180" s="14" t="n">
        <f aca="false">H179*(1+C180)</f>
        <v>3188.60957410987</v>
      </c>
      <c r="I180" s="14" t="n">
        <f aca="false">I179*(1+D180)</f>
        <v>3435.34161519806</v>
      </c>
      <c r="J180" s="14" t="n">
        <f aca="false">J179*(1+E180)</f>
        <v>3348.90062065717</v>
      </c>
      <c r="K180" s="14" t="n">
        <f aca="false">K179*(1+F180)</f>
        <v>2624.19297470875</v>
      </c>
      <c r="L180" s="14" t="n">
        <f aca="false">L179*(1+G180)</f>
        <v>3378.35464930339</v>
      </c>
      <c r="M180" s="14" t="n">
        <f aca="false">H180-H179</f>
        <v>80.3389990972346</v>
      </c>
      <c r="N180" s="14" t="n">
        <f aca="false">I180-I179</f>
        <v>39.4872414306515</v>
      </c>
      <c r="O180" s="14" t="n">
        <f aca="false">J180-J179</f>
        <v>38.4936923992573</v>
      </c>
      <c r="P180" s="14" t="n">
        <f aca="false">K180-K179</f>
        <v>34.0884362640118</v>
      </c>
      <c r="Q180" s="14" t="n">
        <f aca="false">L180-L179</f>
        <v>48.0091757024843</v>
      </c>
    </row>
    <row r="181" customFormat="false" ht="15" hidden="false" customHeight="false" outlineLevel="0" collapsed="false">
      <c r="A181" s="11" t="n">
        <v>46202</v>
      </c>
      <c r="B181" s="12" t="s">
        <v>51</v>
      </c>
      <c r="C181" s="13" t="n">
        <v>0.020639335341646</v>
      </c>
      <c r="D181" s="13" t="n">
        <v>0.0104480444137439</v>
      </c>
      <c r="E181" s="13" t="n">
        <v>0.0107447464239948</v>
      </c>
      <c r="F181" s="13" t="n">
        <v>0.039574866697519</v>
      </c>
      <c r="G181" s="13" t="n">
        <v>0.0137950178455079</v>
      </c>
      <c r="H181" s="14" t="n">
        <f aca="false">H180*(1+C181)</f>
        <v>3254.4203563835</v>
      </c>
      <c r="I181" s="14" t="n">
        <f aca="false">I180*(1+D181)</f>
        <v>3471.23421697003</v>
      </c>
      <c r="J181" s="14" t="n">
        <f aca="false">J180*(1+E181)</f>
        <v>3384.88370862529</v>
      </c>
      <c r="K181" s="14" t="n">
        <f aca="false">K180*(1+F181)</f>
        <v>2728.04506187142</v>
      </c>
      <c r="L181" s="14" t="n">
        <f aca="false">L180*(1+G181)</f>
        <v>3424.95911197898</v>
      </c>
      <c r="M181" s="14" t="n">
        <f aca="false">H181-H180</f>
        <v>65.810782273637</v>
      </c>
      <c r="N181" s="14" t="n">
        <f aca="false">I181-I180</f>
        <v>35.8926017719718</v>
      </c>
      <c r="O181" s="14" t="n">
        <f aca="false">J181-J180</f>
        <v>35.9830879681199</v>
      </c>
      <c r="P181" s="14" t="n">
        <f aca="false">K181-K180</f>
        <v>103.852087162665</v>
      </c>
      <c r="Q181" s="14" t="n">
        <f aca="false">L181-L180</f>
        <v>46.6044626755943</v>
      </c>
    </row>
    <row r="182" customFormat="false" ht="15" hidden="false" customHeight="false" outlineLevel="0" collapsed="false">
      <c r="A182" s="11" t="n">
        <v>46203</v>
      </c>
      <c r="B182" s="12" t="s">
        <v>52</v>
      </c>
      <c r="C182" s="13" t="n">
        <v>0.0287541480758473</v>
      </c>
      <c r="D182" s="13" t="n">
        <v>0.0401049140099726</v>
      </c>
      <c r="E182" s="13" t="n">
        <v>0.0403886457640328</v>
      </c>
      <c r="F182" s="13" t="n">
        <v>0.0242011528460895</v>
      </c>
      <c r="G182" s="13" t="n">
        <v>0.0523533682744125</v>
      </c>
      <c r="H182" s="14" t="n">
        <f aca="false">H181*(1+C182)</f>
        <v>3347.99844121201</v>
      </c>
      <c r="I182" s="14" t="n">
        <f aca="false">I181*(1+D182)</f>
        <v>3610.44776675009</v>
      </c>
      <c r="J182" s="14" t="n">
        <f aca="false">J181*(1+E182)</f>
        <v>3521.5945776854</v>
      </c>
      <c r="K182" s="14" t="n">
        <f aca="false">K181*(1+F182)</f>
        <v>2794.06689738479</v>
      </c>
      <c r="L182" s="14" t="n">
        <f aca="false">L181*(1+G182)</f>
        <v>3604.26725769323</v>
      </c>
      <c r="M182" s="14" t="n">
        <f aca="false">H182-H181</f>
        <v>93.5780848285031</v>
      </c>
      <c r="N182" s="14" t="n">
        <f aca="false">I182-I181</f>
        <v>139.213549780057</v>
      </c>
      <c r="O182" s="14" t="n">
        <f aca="false">J182-J181</f>
        <v>136.710869060112</v>
      </c>
      <c r="P182" s="14" t="n">
        <f aca="false">K182-K181</f>
        <v>66.0218355133698</v>
      </c>
      <c r="Q182" s="14" t="n">
        <f aca="false">L182-L181</f>
        <v>179.30814571424</v>
      </c>
    </row>
    <row r="183" customFormat="false" ht="15" hidden="false" customHeight="false" outlineLevel="0" collapsed="false">
      <c r="A183" s="11" t="n">
        <v>46204</v>
      </c>
      <c r="B183" s="12" t="s">
        <v>53</v>
      </c>
      <c r="C183" s="13" t="n">
        <v>-0.0260122277317331</v>
      </c>
      <c r="D183" s="13" t="n">
        <v>-0.0248400867748324</v>
      </c>
      <c r="E183" s="13" t="n">
        <v>-0.0245378109357096</v>
      </c>
      <c r="F183" s="13" t="n">
        <v>-0.0368333370357856</v>
      </c>
      <c r="G183" s="13" t="n">
        <v>-0.0304840777994638</v>
      </c>
      <c r="H183" s="14" t="n">
        <f aca="false">H182*(1+C183)</f>
        <v>3260.90954331371</v>
      </c>
      <c r="I183" s="14" t="n">
        <f aca="false">I182*(1+D183)</f>
        <v>3520.76393092802</v>
      </c>
      <c r="J183" s="14" t="n">
        <f aca="false">J182*(1+E183)</f>
        <v>3435.18235574594</v>
      </c>
      <c r="K183" s="14" t="n">
        <f aca="false">K182*(1+F183)</f>
        <v>2691.15208965288</v>
      </c>
      <c r="L183" s="14" t="n">
        <f aca="false">L182*(1+G183)</f>
        <v>3494.39449419965</v>
      </c>
      <c r="M183" s="14" t="n">
        <f aca="false">H183-H182</f>
        <v>-87.0888978982939</v>
      </c>
      <c r="N183" s="14" t="n">
        <f aca="false">I183-I182</f>
        <v>-89.6838358220721</v>
      </c>
      <c r="O183" s="14" t="n">
        <f aca="false">J183-J182</f>
        <v>-86.412221939464</v>
      </c>
      <c r="P183" s="14" t="n">
        <f aca="false">K183-K182</f>
        <v>-102.914807731906</v>
      </c>
      <c r="Q183" s="14" t="n">
        <f aca="false">L183-L182</f>
        <v>-109.87276349358</v>
      </c>
    </row>
    <row r="184" customFormat="false" ht="15" hidden="false" customHeight="false" outlineLevel="0" collapsed="false">
      <c r="A184" s="11" t="n">
        <v>46205</v>
      </c>
      <c r="B184" s="12" t="s">
        <v>47</v>
      </c>
      <c r="C184" s="13" t="n">
        <v>0.0222814374975293</v>
      </c>
      <c r="D184" s="13" t="n">
        <v>0.0196055187896529</v>
      </c>
      <c r="E184" s="13" t="n">
        <v>0.0201415495702861</v>
      </c>
      <c r="F184" s="13" t="n">
        <v>0.0157374258037388</v>
      </c>
      <c r="G184" s="13" t="n">
        <v>0.0229416073763525</v>
      </c>
      <c r="H184" s="14" t="n">
        <f aca="false">H183*(1+C184)</f>
        <v>3333.56729548815</v>
      </c>
      <c r="I184" s="14" t="n">
        <f aca="false">I183*(1+D184)</f>
        <v>3589.79033432976</v>
      </c>
      <c r="J184" s="14" t="n">
        <f aca="false">J183*(1+E184)</f>
        <v>3504.37225144716</v>
      </c>
      <c r="K184" s="14" t="n">
        <f aca="false">K183*(1+F184)</f>
        <v>2733.50389599037</v>
      </c>
      <c r="L184" s="14" t="n">
        <f aca="false">L183*(1+G184)</f>
        <v>3574.56152070366</v>
      </c>
      <c r="M184" s="14" t="n">
        <f aca="false">H184-H183</f>
        <v>72.6577521744412</v>
      </c>
      <c r="N184" s="14" t="n">
        <f aca="false">I184-I183</f>
        <v>69.0264034017414</v>
      </c>
      <c r="O184" s="14" t="n">
        <f aca="false">J184-J183</f>
        <v>69.189895701229</v>
      </c>
      <c r="P184" s="14" t="n">
        <f aca="false">K184-K183</f>
        <v>42.3518063374891</v>
      </c>
      <c r="Q184" s="14" t="n">
        <f aca="false">L184-L183</f>
        <v>80.1670265040166</v>
      </c>
    </row>
    <row r="185" customFormat="false" ht="15" hidden="false" customHeight="false" outlineLevel="0" collapsed="false">
      <c r="A185" s="11" t="n">
        <v>46206</v>
      </c>
      <c r="B185" s="12" t="s">
        <v>48</v>
      </c>
      <c r="C185" s="13" t="n">
        <v>-0.0238701411721695</v>
      </c>
      <c r="D185" s="13" t="n">
        <v>-0.0237569447936398</v>
      </c>
      <c r="E185" s="13" t="n">
        <v>-0.0225418882668526</v>
      </c>
      <c r="F185" s="13" t="n">
        <v>-0.0217197593145064</v>
      </c>
      <c r="G185" s="13" t="n">
        <v>-0.0300880577813001</v>
      </c>
      <c r="H185" s="14" t="n">
        <f aca="false">H184*(1+C185)</f>
        <v>3253.99457353792</v>
      </c>
      <c r="I185" s="14" t="n">
        <f aca="false">I184*(1+D185)</f>
        <v>3504.50788353635</v>
      </c>
      <c r="J185" s="14" t="n">
        <f aca="false">J184*(1+E185)</f>
        <v>3425.37708370958</v>
      </c>
      <c r="K185" s="14" t="n">
        <f aca="false">K184*(1+F185)</f>
        <v>2674.13284928419</v>
      </c>
      <c r="L185" s="14" t="n">
        <f aca="false">L184*(1+G185)</f>
        <v>3467.00990712592</v>
      </c>
      <c r="M185" s="14" t="n">
        <f aca="false">H185-H184</f>
        <v>-79.5727219502292</v>
      </c>
      <c r="N185" s="14" t="n">
        <f aca="false">I185-I184</f>
        <v>-85.2824507934138</v>
      </c>
      <c r="O185" s="14" t="n">
        <f aca="false">J185-J184</f>
        <v>-78.9951677375807</v>
      </c>
      <c r="P185" s="14" t="n">
        <f aca="false">K185-K184</f>
        <v>-59.3710467061765</v>
      </c>
      <c r="Q185" s="14" t="n">
        <f aca="false">L185-L184</f>
        <v>-107.551613577744</v>
      </c>
    </row>
    <row r="186" customFormat="false" ht="15" hidden="false" customHeight="false" outlineLevel="0" collapsed="false">
      <c r="A186" s="11" t="n">
        <v>46207</v>
      </c>
      <c r="B186" s="12" t="s">
        <v>49</v>
      </c>
      <c r="C186" s="13" t="n">
        <v>-0.0128098942763402</v>
      </c>
      <c r="D186" s="13" t="n">
        <v>0.0218491946472504</v>
      </c>
      <c r="E186" s="13" t="n">
        <v>-0.00986482726091465</v>
      </c>
      <c r="F186" s="13" t="n">
        <v>-0.0149291110206756</v>
      </c>
      <c r="G186" s="13" t="n">
        <v>0.0273496113029521</v>
      </c>
      <c r="H186" s="14" t="n">
        <f aca="false">H185*(1+C186)</f>
        <v>3212.31124707512</v>
      </c>
      <c r="I186" s="14" t="n">
        <f aca="false">I185*(1+D186)</f>
        <v>3581.07855842656</v>
      </c>
      <c r="J186" s="14" t="n">
        <f aca="false">J185*(1+E186)</f>
        <v>3391.58633047529</v>
      </c>
      <c r="K186" s="14" t="n">
        <f aca="false">K185*(1+F186)</f>
        <v>2634.2104230932</v>
      </c>
      <c r="L186" s="14" t="n">
        <f aca="false">L185*(1+G186)</f>
        <v>3561.8312804693</v>
      </c>
      <c r="M186" s="14" t="n">
        <f aca="false">H186-H185</f>
        <v>-41.6833264628058</v>
      </c>
      <c r="N186" s="14" t="n">
        <f aca="false">I186-I185</f>
        <v>76.5706748902089</v>
      </c>
      <c r="O186" s="14" t="n">
        <f aca="false">J186-J185</f>
        <v>-33.7907532342906</v>
      </c>
      <c r="P186" s="14" t="n">
        <f aca="false">K186-K185</f>
        <v>-39.9224261909994</v>
      </c>
      <c r="Q186" s="14" t="n">
        <f aca="false">L186-L185</f>
        <v>94.8213733433781</v>
      </c>
    </row>
    <row r="187" customFormat="false" ht="15" hidden="false" customHeight="false" outlineLevel="0" collapsed="false">
      <c r="A187" s="11" t="n">
        <v>46208</v>
      </c>
      <c r="B187" s="12" t="s">
        <v>50</v>
      </c>
      <c r="C187" s="13" t="n">
        <v>0.00560893259954121</v>
      </c>
      <c r="D187" s="13" t="n">
        <v>0.00444780038188055</v>
      </c>
      <c r="E187" s="13" t="n">
        <v>0.00312799098122199</v>
      </c>
      <c r="F187" s="13" t="n">
        <v>0.00885173875990719</v>
      </c>
      <c r="G187" s="13" t="n">
        <v>0.00589306526979305</v>
      </c>
      <c r="H187" s="14" t="n">
        <f aca="false">H186*(1+C187)</f>
        <v>3230.32888434871</v>
      </c>
      <c r="I187" s="14" t="n">
        <f aca="false">I186*(1+D187)</f>
        <v>3597.00648100627</v>
      </c>
      <c r="J187" s="14" t="n">
        <f aca="false">J186*(1+E187)</f>
        <v>3402.19518192906</v>
      </c>
      <c r="K187" s="14" t="n">
        <f aca="false">K186*(1+F187)</f>
        <v>2657.52776559704</v>
      </c>
      <c r="L187" s="14" t="n">
        <f aca="false">L186*(1+G187)</f>
        <v>3582.82138468509</v>
      </c>
      <c r="M187" s="14" t="n">
        <f aca="false">H187-H186</f>
        <v>18.0176372735923</v>
      </c>
      <c r="N187" s="14" t="n">
        <f aca="false">I187-I186</f>
        <v>15.9279225797141</v>
      </c>
      <c r="O187" s="14" t="n">
        <f aca="false">J187-J186</f>
        <v>10.6088514537628</v>
      </c>
      <c r="P187" s="14" t="n">
        <f aca="false">K187-K186</f>
        <v>23.3173425038453</v>
      </c>
      <c r="Q187" s="14" t="n">
        <f aca="false">L187-L186</f>
        <v>20.9901042157962</v>
      </c>
    </row>
    <row r="188" customFormat="false" ht="15" hidden="false" customHeight="false" outlineLevel="0" collapsed="false">
      <c r="A188" s="11" t="n">
        <v>46209</v>
      </c>
      <c r="B188" s="12" t="s">
        <v>51</v>
      </c>
      <c r="C188" s="13" t="n">
        <v>0.0167966567090877</v>
      </c>
      <c r="D188" s="13" t="n">
        <v>0.0149621064711867</v>
      </c>
      <c r="E188" s="13" t="n">
        <v>0.0154074290684052</v>
      </c>
      <c r="F188" s="13" t="n">
        <v>0.0184656465524918</v>
      </c>
      <c r="G188" s="13" t="n">
        <v>0.0171544128834558</v>
      </c>
      <c r="H188" s="14" t="n">
        <f aca="false">H187*(1+C188)</f>
        <v>3284.58760967657</v>
      </c>
      <c r="I188" s="14" t="n">
        <f aca="false">I187*(1+D188)</f>
        <v>3650.82527495263</v>
      </c>
      <c r="J188" s="14" t="n">
        <f aca="false">J187*(1+E188)</f>
        <v>3454.6142628715</v>
      </c>
      <c r="K188" s="14" t="n">
        <f aca="false">K187*(1+F188)</f>
        <v>2706.60073401999</v>
      </c>
      <c r="L188" s="14" t="n">
        <f aca="false">L187*(1+G188)</f>
        <v>3644.28258200566</v>
      </c>
      <c r="M188" s="14" t="n">
        <f aca="false">H188-H187</f>
        <v>54.2587253278557</v>
      </c>
      <c r="N188" s="14" t="n">
        <f aca="false">I188-I187</f>
        <v>53.8187939463642</v>
      </c>
      <c r="O188" s="14" t="n">
        <f aca="false">J188-J187</f>
        <v>52.4190809424417</v>
      </c>
      <c r="P188" s="14" t="n">
        <f aca="false">K188-K187</f>
        <v>49.0729684229482</v>
      </c>
      <c r="Q188" s="14" t="n">
        <f aca="false">L188-L187</f>
        <v>61.4611973205629</v>
      </c>
    </row>
    <row r="189" customFormat="false" ht="15" hidden="false" customHeight="false" outlineLevel="0" collapsed="false">
      <c r="A189" s="11" t="n">
        <v>46210</v>
      </c>
      <c r="B189" s="12" t="s">
        <v>52</v>
      </c>
      <c r="C189" s="13" t="n">
        <v>-0.0296647698807849</v>
      </c>
      <c r="D189" s="13" t="n">
        <v>-0.0336176645455695</v>
      </c>
      <c r="E189" s="13" t="n">
        <v>-0.0264444623478985</v>
      </c>
      <c r="F189" s="13" t="n">
        <v>-0.0324037956374126</v>
      </c>
      <c r="G189" s="13" t="n">
        <v>-0.0354401339618569</v>
      </c>
      <c r="H189" s="14" t="n">
        <f aca="false">H188*(1+C189)</f>
        <v>3187.15107408223</v>
      </c>
      <c r="I189" s="14" t="n">
        <f aca="false">I188*(1+D189)</f>
        <v>3528.09305554479</v>
      </c>
      <c r="J189" s="14" t="n">
        <f aca="false">J188*(1+E189)</f>
        <v>3363.25884607048</v>
      </c>
      <c r="K189" s="14" t="n">
        <f aca="false">K188*(1+F189)</f>
        <v>2618.89659696273</v>
      </c>
      <c r="L189" s="14" t="n">
        <f aca="false">L188*(1+G189)</f>
        <v>3515.12871910451</v>
      </c>
      <c r="M189" s="14" t="n">
        <f aca="false">H189-H188</f>
        <v>-97.4365355943323</v>
      </c>
      <c r="N189" s="14" t="n">
        <f aca="false">I189-I188</f>
        <v>-122.732219407845</v>
      </c>
      <c r="O189" s="14" t="n">
        <f aca="false">J189-J188</f>
        <v>-91.3554168010187</v>
      </c>
      <c r="P189" s="14" t="n">
        <f aca="false">K189-K188</f>
        <v>-87.7041370572547</v>
      </c>
      <c r="Q189" s="14" t="n">
        <f aca="false">L189-L188</f>
        <v>-129.153862901142</v>
      </c>
    </row>
    <row r="190" customFormat="false" ht="15" hidden="false" customHeight="false" outlineLevel="0" collapsed="false">
      <c r="A190" s="11" t="n">
        <v>46211</v>
      </c>
      <c r="B190" s="12" t="s">
        <v>53</v>
      </c>
      <c r="C190" s="13" t="n">
        <v>0.00415082360425656</v>
      </c>
      <c r="D190" s="13" t="n">
        <v>-0.00481737782423015</v>
      </c>
      <c r="E190" s="13" t="n">
        <v>0.00572197606851028</v>
      </c>
      <c r="F190" s="13" t="n">
        <v>0.000747296964319189</v>
      </c>
      <c r="G190" s="13" t="n">
        <v>-0.00497074824317279</v>
      </c>
      <c r="H190" s="14" t="n">
        <f aca="false">H189*(1+C190)</f>
        <v>3200.38037599087</v>
      </c>
      <c r="I190" s="14" t="n">
        <f aca="false">I189*(1+D190)</f>
        <v>3511.09689829719</v>
      </c>
      <c r="J190" s="14" t="n">
        <f aca="false">J189*(1+E190)</f>
        <v>3382.5033326999</v>
      </c>
      <c r="K190" s="14" t="n">
        <f aca="false">K189*(1+F190)</f>
        <v>2620.85369043951</v>
      </c>
      <c r="L190" s="14" t="n">
        <f aca="false">L189*(1+G190)</f>
        <v>3497.6558991995</v>
      </c>
      <c r="M190" s="14" t="n">
        <f aca="false">H190-H189</f>
        <v>13.2293019086319</v>
      </c>
      <c r="N190" s="14" t="n">
        <f aca="false">I190-I189</f>
        <v>-16.9961572476022</v>
      </c>
      <c r="O190" s="14" t="n">
        <f aca="false">J190-J189</f>
        <v>19.2444866294209</v>
      </c>
      <c r="P190" s="14" t="n">
        <f aca="false">K190-K189</f>
        <v>1.95709347677621</v>
      </c>
      <c r="Q190" s="14" t="n">
        <f aca="false">L190-L189</f>
        <v>-17.4728199050151</v>
      </c>
    </row>
    <row r="191" customFormat="false" ht="15" hidden="false" customHeight="false" outlineLevel="0" collapsed="false">
      <c r="A191" s="11" t="n">
        <v>46212</v>
      </c>
      <c r="B191" s="12" t="s">
        <v>47</v>
      </c>
      <c r="C191" s="13" t="n">
        <v>-0.0406588820976875</v>
      </c>
      <c r="D191" s="13" t="n">
        <v>-0.045525423554284</v>
      </c>
      <c r="E191" s="13" t="n">
        <v>-0.0455476131943317</v>
      </c>
      <c r="F191" s="13" t="n">
        <v>-0.0141713555802061</v>
      </c>
      <c r="G191" s="13" t="n">
        <v>-0.048463098397377</v>
      </c>
      <c r="H191" s="14" t="n">
        <f aca="false">H190*(1+C191)</f>
        <v>3070.2564876157</v>
      </c>
      <c r="I191" s="14" t="n">
        <f aca="false">I190*(1+D191)</f>
        <v>3351.25272486208</v>
      </c>
      <c r="J191" s="14" t="n">
        <f aca="false">J190*(1+E191)</f>
        <v>3228.43837927355</v>
      </c>
      <c r="K191" s="14" t="n">
        <f aca="false">K190*(1+F191)</f>
        <v>2583.7126408686</v>
      </c>
      <c r="L191" s="14" t="n">
        <f aca="false">L190*(1+G191)</f>
        <v>3328.14865719643</v>
      </c>
      <c r="M191" s="14" t="n">
        <f aca="false">H191-H190</f>
        <v>-130.123888375165</v>
      </c>
      <c r="N191" s="14" t="n">
        <f aca="false">I191-I190</f>
        <v>-159.844173435112</v>
      </c>
      <c r="O191" s="14" t="n">
        <f aca="false">J191-J190</f>
        <v>-154.064953426353</v>
      </c>
      <c r="P191" s="14" t="n">
        <f aca="false">K191-K190</f>
        <v>-37.1410495709138</v>
      </c>
      <c r="Q191" s="14" t="n">
        <f aca="false">L191-L190</f>
        <v>-169.507242003071</v>
      </c>
    </row>
    <row r="192" customFormat="false" ht="15" hidden="false" customHeight="false" outlineLevel="0" collapsed="false">
      <c r="A192" s="11" t="n">
        <v>46213</v>
      </c>
      <c r="B192" s="12" t="s">
        <v>48</v>
      </c>
      <c r="C192" s="13" t="n">
        <v>0.00150444855380849</v>
      </c>
      <c r="D192" s="13" t="n">
        <v>0.00359698187251701</v>
      </c>
      <c r="E192" s="13" t="n">
        <v>0.00364577360461754</v>
      </c>
      <c r="F192" s="13" t="n">
        <v>-0.0151194225457454</v>
      </c>
      <c r="G192" s="13" t="n">
        <v>0.00376909514194068</v>
      </c>
      <c r="H192" s="14" t="n">
        <f aca="false">H191*(1+C192)</f>
        <v>3074.87553054831</v>
      </c>
      <c r="I192" s="14" t="n">
        <f aca="false">I191*(1+D192)</f>
        <v>3363.30712016363</v>
      </c>
      <c r="J192" s="14" t="n">
        <f aca="false">J191*(1+E192)</f>
        <v>3240.20853470084</v>
      </c>
      <c r="K192" s="14" t="n">
        <f aca="false">K191*(1+F192)</f>
        <v>2544.64839771452</v>
      </c>
      <c r="L192" s="14" t="n">
        <f aca="false">L191*(1+G192)</f>
        <v>3340.69276613192</v>
      </c>
      <c r="M192" s="14" t="n">
        <f aca="false">H192-H191</f>
        <v>4.61904293261478</v>
      </c>
      <c r="N192" s="14" t="n">
        <f aca="false">I192-I191</f>
        <v>12.0543953015522</v>
      </c>
      <c r="O192" s="14" t="n">
        <f aca="false">J192-J191</f>
        <v>11.7701554272899</v>
      </c>
      <c r="P192" s="14" t="n">
        <f aca="false">K192-K191</f>
        <v>-39.0642431540759</v>
      </c>
      <c r="Q192" s="14" t="n">
        <f aca="false">L192-L191</f>
        <v>12.5441089354954</v>
      </c>
    </row>
    <row r="193" customFormat="false" ht="15" hidden="false" customHeight="false" outlineLevel="0" collapsed="false">
      <c r="A193" s="11" t="n">
        <v>46214</v>
      </c>
      <c r="B193" s="12" t="s">
        <v>49</v>
      </c>
      <c r="C193" s="13" t="n">
        <v>0.0150209780162653</v>
      </c>
      <c r="D193" s="13" t="n">
        <v>0.00799359405172285</v>
      </c>
      <c r="E193" s="13" t="n">
        <v>0.00793965891641122</v>
      </c>
      <c r="F193" s="13" t="n">
        <v>0.00566923978643807</v>
      </c>
      <c r="G193" s="13" t="n">
        <v>0.00915787106950916</v>
      </c>
      <c r="H193" s="14" t="n">
        <f aca="false">H192*(1+C193)</f>
        <v>3121.06316829543</v>
      </c>
      <c r="I193" s="14" t="n">
        <f aca="false">I192*(1+D193)</f>
        <v>3390.19203195348</v>
      </c>
      <c r="J193" s="14" t="n">
        <f aca="false">J192*(1+E193)</f>
        <v>3265.93468528441</v>
      </c>
      <c r="K193" s="14" t="n">
        <f aca="false">K192*(1+F193)</f>
        <v>2559.07461965334</v>
      </c>
      <c r="L193" s="14" t="n">
        <f aca="false">L192*(1+G193)</f>
        <v>3371.286399767</v>
      </c>
      <c r="M193" s="14" t="n">
        <f aca="false">H193-H192</f>
        <v>46.1876377471185</v>
      </c>
      <c r="N193" s="14" t="n">
        <f aca="false">I193-I192</f>
        <v>26.8849117898571</v>
      </c>
      <c r="O193" s="14" t="n">
        <f aca="false">J193-J192</f>
        <v>25.7261505835691</v>
      </c>
      <c r="P193" s="14" t="n">
        <f aca="false">K193-K192</f>
        <v>14.4262219388188</v>
      </c>
      <c r="Q193" s="14" t="n">
        <f aca="false">L193-L192</f>
        <v>30.5936336350778</v>
      </c>
    </row>
    <row r="194" customFormat="false" ht="15" hidden="false" customHeight="false" outlineLevel="0" collapsed="false">
      <c r="A194" s="11" t="n">
        <v>46215</v>
      </c>
      <c r="B194" s="12" t="s">
        <v>50</v>
      </c>
      <c r="C194" s="13" t="n">
        <v>0.0201275155256342</v>
      </c>
      <c r="D194" s="13" t="n">
        <v>0.0145387590903498</v>
      </c>
      <c r="E194" s="13" t="n">
        <v>0.014510232215861</v>
      </c>
      <c r="F194" s="13" t="n">
        <v>0.0195295752878302</v>
      </c>
      <c r="G194" s="13" t="n">
        <v>0.0159021715796418</v>
      </c>
      <c r="H194" s="14" t="n">
        <f aca="false">H193*(1+C194)</f>
        <v>3183.88241567178</v>
      </c>
      <c r="I194" s="14" t="n">
        <f aca="false">I193*(1+D194)</f>
        <v>3439.48121717608</v>
      </c>
      <c r="J194" s="14" t="n">
        <f aca="false">J193*(1+E194)</f>
        <v>3313.32415596972</v>
      </c>
      <c r="K194" s="14" t="n">
        <f aca="false">K193*(1+F194)</f>
        <v>2609.05226010503</v>
      </c>
      <c r="L194" s="14" t="n">
        <f aca="false">L193*(1+G194)</f>
        <v>3424.89717454021</v>
      </c>
      <c r="M194" s="14" t="n">
        <f aca="false">H194-H193</f>
        <v>62.8192473763515</v>
      </c>
      <c r="N194" s="14" t="n">
        <f aca="false">I194-I193</f>
        <v>49.2891852225953</v>
      </c>
      <c r="O194" s="14" t="n">
        <f aca="false">J194-J193</f>
        <v>47.3894706853116</v>
      </c>
      <c r="P194" s="14" t="n">
        <f aca="false">K194-K193</f>
        <v>49.9776404516952</v>
      </c>
      <c r="Q194" s="14" t="n">
        <f aca="false">L194-L193</f>
        <v>53.6107747732071</v>
      </c>
    </row>
    <row r="195" customFormat="false" ht="15" hidden="false" customHeight="false" outlineLevel="0" collapsed="false">
      <c r="A195" s="11" t="n">
        <v>46216</v>
      </c>
      <c r="B195" s="12" t="s">
        <v>51</v>
      </c>
      <c r="C195" s="13" t="n">
        <v>-0.0074591411244081</v>
      </c>
      <c r="D195" s="13" t="n">
        <v>0.0013574864290682</v>
      </c>
      <c r="E195" s="13" t="n">
        <v>0.00135748603895264</v>
      </c>
      <c r="F195" s="13" t="n">
        <v>-0.00849301041166706</v>
      </c>
      <c r="G195" s="13" t="n">
        <v>0.00227582213991889</v>
      </c>
      <c r="H195" s="14" t="n">
        <f aca="false">H194*(1+C195)</f>
        <v>3160.13338740977</v>
      </c>
      <c r="I195" s="14" t="n">
        <f aca="false">I194*(1+D195)</f>
        <v>3444.15026625143</v>
      </c>
      <c r="J195" s="14" t="n">
        <f aca="false">J194*(1+E195)</f>
        <v>3317.82194725397</v>
      </c>
      <c r="K195" s="14" t="n">
        <f aca="false">K194*(1+F195)</f>
        <v>2586.89355209538</v>
      </c>
      <c r="L195" s="14" t="n">
        <f aca="false">L194*(1+G195)</f>
        <v>3432.69163135697</v>
      </c>
      <c r="M195" s="14" t="n">
        <f aca="false">H195-H194</f>
        <v>-23.749028262017</v>
      </c>
      <c r="N195" s="14" t="n">
        <f aca="false">I195-I194</f>
        <v>4.66904907535127</v>
      </c>
      <c r="O195" s="14" t="n">
        <f aca="false">J195-J194</f>
        <v>4.49779128425371</v>
      </c>
      <c r="P195" s="14" t="n">
        <f aca="false">K195-K194</f>
        <v>-22.1587080096556</v>
      </c>
      <c r="Q195" s="14" t="n">
        <f aca="false">L195-L194</f>
        <v>7.79445681676407</v>
      </c>
    </row>
    <row r="196" customFormat="false" ht="15" hidden="false" customHeight="false" outlineLevel="0" collapsed="false">
      <c r="A196" s="11" t="n">
        <v>46217</v>
      </c>
      <c r="B196" s="12" t="s">
        <v>52</v>
      </c>
      <c r="C196" s="13" t="n">
        <v>0.0343604937570818</v>
      </c>
      <c r="D196" s="13" t="n">
        <v>0.0250712352939049</v>
      </c>
      <c r="E196" s="13" t="n">
        <v>0.0250712361751025</v>
      </c>
      <c r="F196" s="13" t="n">
        <v>0.0221627517303585</v>
      </c>
      <c r="G196" s="13" t="n">
        <v>0.0267308014770334</v>
      </c>
      <c r="H196" s="14" t="n">
        <f aca="false">H195*(1+C196)</f>
        <v>3268.71713093941</v>
      </c>
      <c r="I196" s="14" t="n">
        <f aca="false">I195*(1+D196)</f>
        <v>3530.49936796419</v>
      </c>
      <c r="J196" s="14" t="n">
        <f aca="false">J195*(1+E196)</f>
        <v>3401.00384488051</v>
      </c>
      <c r="K196" s="14" t="n">
        <f aca="false">K195*(1+F196)</f>
        <v>2644.22623164333</v>
      </c>
      <c r="L196" s="14" t="n">
        <f aca="false">L195*(1+G196)</f>
        <v>3524.45022988665</v>
      </c>
      <c r="M196" s="14" t="n">
        <f aca="false">H196-H195</f>
        <v>108.583743529639</v>
      </c>
      <c r="N196" s="14" t="n">
        <f aca="false">I196-I195</f>
        <v>86.3491017127549</v>
      </c>
      <c r="O196" s="14" t="n">
        <f aca="false">J196-J195</f>
        <v>83.1818976265427</v>
      </c>
      <c r="P196" s="14" t="n">
        <f aca="false">K196-K195</f>
        <v>57.3326795479547</v>
      </c>
      <c r="Q196" s="14" t="n">
        <f aca="false">L196-L195</f>
        <v>91.7585985296769</v>
      </c>
    </row>
    <row r="197" customFormat="false" ht="15" hidden="false" customHeight="false" outlineLevel="0" collapsed="false">
      <c r="A197" s="11" t="n">
        <v>46218</v>
      </c>
      <c r="B197" s="12" t="s">
        <v>53</v>
      </c>
      <c r="C197" s="13" t="n">
        <v>0.0183584888373743</v>
      </c>
      <c r="D197" s="13" t="n">
        <v>0.0116172507779163</v>
      </c>
      <c r="E197" s="13" t="n">
        <v>0.0116172506583525</v>
      </c>
      <c r="F197" s="13" t="n">
        <v>0.0120981926197775</v>
      </c>
      <c r="G197" s="13" t="n">
        <v>0.0126758140469877</v>
      </c>
      <c r="H197" s="14" t="n">
        <f aca="false">H196*(1+C197)</f>
        <v>3328.72583790029</v>
      </c>
      <c r="I197" s="14" t="n">
        <f aca="false">I196*(1+D197)</f>
        <v>3571.5140644931</v>
      </c>
      <c r="J197" s="14" t="n">
        <f aca="false">J196*(1+E197)</f>
        <v>3440.51415903651</v>
      </c>
      <c r="K197" s="14" t="n">
        <f aca="false">K196*(1+F197)</f>
        <v>2676.21658992402</v>
      </c>
      <c r="L197" s="14" t="n">
        <f aca="false">L196*(1+G197)</f>
        <v>3569.12550561855</v>
      </c>
      <c r="M197" s="14" t="n">
        <f aca="false">H197-H196</f>
        <v>60.0087069608849</v>
      </c>
      <c r="N197" s="14" t="n">
        <f aca="false">I197-I196</f>
        <v>41.0146965289146</v>
      </c>
      <c r="O197" s="14" t="n">
        <f aca="false">J197-J196</f>
        <v>39.5103141559976</v>
      </c>
      <c r="P197" s="14" t="n">
        <f aca="false">K197-K196</f>
        <v>31.9903582806892</v>
      </c>
      <c r="Q197" s="14" t="n">
        <f aca="false">L197-L196</f>
        <v>44.6752757319064</v>
      </c>
    </row>
    <row r="198" customFormat="false" ht="15" hidden="false" customHeight="false" outlineLevel="0" collapsed="false">
      <c r="A198" s="11" t="n">
        <v>46219</v>
      </c>
      <c r="B198" s="12" t="s">
        <v>47</v>
      </c>
      <c r="C198" s="13" t="n">
        <v>-0.018134585331011</v>
      </c>
      <c r="D198" s="13" t="n">
        <v>-0.0181612770677092</v>
      </c>
      <c r="E198" s="13" t="n">
        <v>-0.0181987302574621</v>
      </c>
      <c r="F198" s="13" t="n">
        <v>-0.022621154565885</v>
      </c>
      <c r="G198" s="13" t="n">
        <v>-0.0194239157881906</v>
      </c>
      <c r="H198" s="14" t="n">
        <f aca="false">H197*(1+C198)</f>
        <v>3268.36077514935</v>
      </c>
      <c r="I198" s="14" t="n">
        <f aca="false">I197*(1+D198)</f>
        <v>3506.65080801662</v>
      </c>
      <c r="J198" s="14" t="n">
        <f aca="false">J197*(1+E198)</f>
        <v>3377.90116990923</v>
      </c>
      <c r="K198" s="14" t="n">
        <f aca="false">K197*(1+F198)</f>
        <v>2615.67748079157</v>
      </c>
      <c r="L198" s="14" t="n">
        <f aca="false">L197*(1+G198)</f>
        <v>3499.79911235994</v>
      </c>
      <c r="M198" s="14" t="n">
        <f aca="false">H198-H197</f>
        <v>-60.3650627509437</v>
      </c>
      <c r="N198" s="14" t="n">
        <f aca="false">I198-I197</f>
        <v>-64.8632564764794</v>
      </c>
      <c r="O198" s="14" t="n">
        <f aca="false">J198-J197</f>
        <v>-62.6129891272844</v>
      </c>
      <c r="P198" s="14" t="n">
        <f aca="false">K198-K197</f>
        <v>-60.5391091324573</v>
      </c>
      <c r="Q198" s="14" t="n">
        <f aca="false">L198-L197</f>
        <v>-69.3263932586183</v>
      </c>
    </row>
    <row r="199" customFormat="false" ht="15" hidden="false" customHeight="false" outlineLevel="0" collapsed="false">
      <c r="A199" s="11" t="n">
        <v>46220</v>
      </c>
      <c r="B199" s="12" t="s">
        <v>48</v>
      </c>
      <c r="C199" s="13" t="n">
        <v>0.0288001527324296</v>
      </c>
      <c r="D199" s="13" t="n">
        <v>0.0251087762203284</v>
      </c>
      <c r="E199" s="13" t="n">
        <v>0.0266965764361852</v>
      </c>
      <c r="F199" s="13" t="n">
        <v>0.0222637905231978</v>
      </c>
      <c r="G199" s="13" t="n">
        <v>0.0282560309374328</v>
      </c>
      <c r="H199" s="14" t="n">
        <f aca="false">H198*(1+C199)</f>
        <v>3362.49006465833</v>
      </c>
      <c r="I199" s="14" t="n">
        <f aca="false">I198*(1+D199)</f>
        <v>3594.69851843794</v>
      </c>
      <c r="J199" s="14" t="n">
        <f aca="false">J198*(1+E199)</f>
        <v>3468.07956668559</v>
      </c>
      <c r="K199" s="14" t="n">
        <f aca="false">K198*(1+F199)</f>
        <v>2673.91237630015</v>
      </c>
      <c r="L199" s="14" t="n">
        <f aca="false">L198*(1+G199)</f>
        <v>3598.68954435358</v>
      </c>
      <c r="M199" s="14" t="n">
        <f aca="false">H199-H198</f>
        <v>94.1292895089837</v>
      </c>
      <c r="N199" s="14" t="n">
        <f aca="false">I199-I198</f>
        <v>88.0477104213228</v>
      </c>
      <c r="O199" s="14" t="n">
        <f aca="false">J199-J198</f>
        <v>90.1783967763613</v>
      </c>
      <c r="P199" s="14" t="n">
        <f aca="false">K199-K198</f>
        <v>58.234895508589</v>
      </c>
      <c r="Q199" s="14" t="n">
        <f aca="false">L199-L198</f>
        <v>98.8904319936423</v>
      </c>
    </row>
    <row r="200" customFormat="false" ht="15" hidden="false" customHeight="false" outlineLevel="0" collapsed="false">
      <c r="A200" s="11" t="n">
        <v>46221</v>
      </c>
      <c r="B200" s="12" t="s">
        <v>49</v>
      </c>
      <c r="C200" s="13" t="n">
        <v>-0.00547287562545151</v>
      </c>
      <c r="D200" s="13" t="n">
        <v>-0.011026126660304</v>
      </c>
      <c r="E200" s="13" t="n">
        <v>-0.00999465351282252</v>
      </c>
      <c r="F200" s="13" t="n">
        <v>-0.00559070290816716</v>
      </c>
      <c r="G200" s="13" t="n">
        <v>-0.0123684175508066</v>
      </c>
      <c r="H200" s="14" t="n">
        <f aca="false">H199*(1+C200)</f>
        <v>3344.08757474264</v>
      </c>
      <c r="I200" s="14" t="n">
        <f aca="false">I199*(1+D200)</f>
        <v>3555.06291726804</v>
      </c>
      <c r="J200" s="14" t="n">
        <f aca="false">J199*(1+E200)</f>
        <v>3433.41731306167</v>
      </c>
      <c r="K200" s="14" t="n">
        <f aca="false">K199*(1+F200)</f>
        <v>2658.96332660179</v>
      </c>
      <c r="L200" s="14" t="n">
        <f aca="false">L199*(1+G200)</f>
        <v>3554.17944943329</v>
      </c>
      <c r="M200" s="14" t="n">
        <f aca="false">H200-H199</f>
        <v>-18.4024899156916</v>
      </c>
      <c r="N200" s="14" t="n">
        <f aca="false">I200-I199</f>
        <v>-39.635601169904</v>
      </c>
      <c r="O200" s="14" t="n">
        <f aca="false">J200-J199</f>
        <v>-34.662253623922</v>
      </c>
      <c r="P200" s="14" t="n">
        <f aca="false">K200-K199</f>
        <v>-14.9490496983658</v>
      </c>
      <c r="Q200" s="14" t="n">
        <f aca="false">L200-L199</f>
        <v>-44.510094920287</v>
      </c>
    </row>
    <row r="201" customFormat="false" ht="15" hidden="false" customHeight="false" outlineLevel="0" collapsed="false">
      <c r="A201" s="11" t="n">
        <v>46222</v>
      </c>
      <c r="B201" s="12" t="s">
        <v>50</v>
      </c>
      <c r="C201" s="13" t="n">
        <v>0.017683034966173</v>
      </c>
      <c r="D201" s="13" t="n">
        <v>0.0220865671865872</v>
      </c>
      <c r="E201" s="13" t="n">
        <v>0.0212864224753991</v>
      </c>
      <c r="F201" s="13" t="n">
        <v>0.00600583225045526</v>
      </c>
      <c r="G201" s="13" t="n">
        <v>0.0293222739629121</v>
      </c>
      <c r="H201" s="14" t="n">
        <f aca="false">H200*(1+C201)</f>
        <v>3403.22119225676</v>
      </c>
      <c r="I201" s="14" t="n">
        <f aca="false">I200*(1+D201)</f>
        <v>3633.58205324283</v>
      </c>
      <c r="J201" s="14" t="n">
        <f aca="false">J200*(1+E201)</f>
        <v>3506.50248452185</v>
      </c>
      <c r="K201" s="14" t="n">
        <f aca="false">K200*(1+F201)</f>
        <v>2674.93261430147</v>
      </c>
      <c r="L201" s="14" t="n">
        <f aca="false">L200*(1+G201)</f>
        <v>3658.39607296293</v>
      </c>
      <c r="M201" s="14" t="n">
        <f aca="false">H201-H200</f>
        <v>59.1336175141187</v>
      </c>
      <c r="N201" s="14" t="n">
        <f aca="false">I201-I200</f>
        <v>78.5191359747855</v>
      </c>
      <c r="O201" s="14" t="n">
        <f aca="false">J201-J200</f>
        <v>73.0851714601809</v>
      </c>
      <c r="P201" s="14" t="n">
        <f aca="false">K201-K200</f>
        <v>15.9692876996828</v>
      </c>
      <c r="Q201" s="14" t="n">
        <f aca="false">L201-L200</f>
        <v>104.216623529634</v>
      </c>
    </row>
    <row r="202" customFormat="false" ht="15" hidden="false" customHeight="false" outlineLevel="0" collapsed="false">
      <c r="A202" s="11" t="n">
        <v>46223</v>
      </c>
      <c r="B202" s="12" t="s">
        <v>51</v>
      </c>
      <c r="C202" s="13" t="n">
        <v>-0.0012282735345498</v>
      </c>
      <c r="D202" s="13" t="n">
        <v>0.0074436468050885</v>
      </c>
      <c r="E202" s="13" t="n">
        <v>0.00846398503494763</v>
      </c>
      <c r="F202" s="13" t="n">
        <v>-0.00839582404314293</v>
      </c>
      <c r="G202" s="13" t="n">
        <v>0.00856705694319904</v>
      </c>
      <c r="H202" s="14" t="n">
        <f aca="false">H201*(1+C202)</f>
        <v>3399.04110573409</v>
      </c>
      <c r="I202" s="14" t="n">
        <f aca="false">I201*(1+D202)</f>
        <v>3660.62915468447</v>
      </c>
      <c r="J202" s="14" t="n">
        <f aca="false">J201*(1+E202)</f>
        <v>3536.18146907585</v>
      </c>
      <c r="K202" s="14" t="n">
        <f aca="false">K201*(1+F202)</f>
        <v>2652.47435074453</v>
      </c>
      <c r="L202" s="14" t="n">
        <f aca="false">L201*(1+G202)</f>
        <v>3689.73776044078</v>
      </c>
      <c r="M202" s="14" t="n">
        <f aca="false">H202-H201</f>
        <v>-4.18008652266781</v>
      </c>
      <c r="N202" s="14" t="n">
        <f aca="false">I202-I201</f>
        <v>27.0471014416476</v>
      </c>
      <c r="O202" s="14" t="n">
        <f aca="false">J202-J201</f>
        <v>29.6789845539997</v>
      </c>
      <c r="P202" s="14" t="n">
        <f aca="false">K202-K201</f>
        <v>-22.4582635569395</v>
      </c>
      <c r="Q202" s="14" t="n">
        <f aca="false">L202-L201</f>
        <v>31.3416874778491</v>
      </c>
    </row>
    <row r="203" customFormat="false" ht="15" hidden="false" customHeight="false" outlineLevel="0" collapsed="false">
      <c r="A203" s="11" t="n">
        <v>46224</v>
      </c>
      <c r="B203" s="12" t="s">
        <v>52</v>
      </c>
      <c r="C203" s="13" t="n">
        <v>-0.0167165428862468</v>
      </c>
      <c r="D203" s="13" t="n">
        <v>-0.0206741007521999</v>
      </c>
      <c r="E203" s="13" t="n">
        <v>-0.0113367852125889</v>
      </c>
      <c r="F203" s="13" t="n">
        <v>-0.0209365175018073</v>
      </c>
      <c r="G203" s="13" t="n">
        <v>-0.0237982668482135</v>
      </c>
      <c r="H203" s="14" t="n">
        <f aca="false">H202*(1+C203)</f>
        <v>3342.22088931797</v>
      </c>
      <c r="I203" s="14" t="n">
        <f aca="false">I202*(1+D203)</f>
        <v>3584.94893872409</v>
      </c>
      <c r="J203" s="14" t="n">
        <f aca="false">J202*(1+E203)</f>
        <v>3496.0925392882</v>
      </c>
      <c r="K203" s="14" t="n">
        <f aca="false">K202*(1+F203)</f>
        <v>2596.94077507707</v>
      </c>
      <c r="L203" s="14" t="n">
        <f aca="false">L202*(1+G203)</f>
        <v>3601.92839661788</v>
      </c>
      <c r="M203" s="14" t="n">
        <f aca="false">H203-H202</f>
        <v>-56.8202164161198</v>
      </c>
      <c r="N203" s="14" t="n">
        <f aca="false">I203-I202</f>
        <v>-75.6802159603872</v>
      </c>
      <c r="O203" s="14" t="n">
        <f aca="false">J203-J202</f>
        <v>-40.0889297876502</v>
      </c>
      <c r="P203" s="14" t="n">
        <f aca="false">K203-K202</f>
        <v>-55.5335756674581</v>
      </c>
      <c r="Q203" s="14" t="n">
        <f aca="false">L203-L202</f>
        <v>-87.8093638228993</v>
      </c>
    </row>
    <row r="204" customFormat="false" ht="15" hidden="false" customHeight="false" outlineLevel="0" collapsed="false">
      <c r="A204" s="11" t="n">
        <v>46225</v>
      </c>
      <c r="B204" s="12" t="s">
        <v>53</v>
      </c>
      <c r="C204" s="13" t="n">
        <v>0.00322108741337046</v>
      </c>
      <c r="D204" s="13" t="n">
        <v>0.00333852771563059</v>
      </c>
      <c r="E204" s="13" t="n">
        <v>0.00148471893448287</v>
      </c>
      <c r="F204" s="13" t="n">
        <v>0.00196573894040719</v>
      </c>
      <c r="G204" s="13" t="n">
        <v>0.00412634839755677</v>
      </c>
      <c r="H204" s="14" t="n">
        <f aca="false">H203*(1+C204)</f>
        <v>3352.98647495726</v>
      </c>
      <c r="I204" s="14" t="n">
        <f aca="false">I203*(1+D204)</f>
        <v>3596.91739011514</v>
      </c>
      <c r="J204" s="14" t="n">
        <f aca="false">J203*(1+E204)</f>
        <v>3501.28325407798</v>
      </c>
      <c r="K204" s="14" t="n">
        <f aca="false">K203*(1+F204)</f>
        <v>2602.04568268457</v>
      </c>
      <c r="L204" s="14" t="n">
        <f aca="false">L203*(1+G204)</f>
        <v>3616.79120808538</v>
      </c>
      <c r="M204" s="14" t="n">
        <f aca="false">H204-H203</f>
        <v>10.7655856392857</v>
      </c>
      <c r="N204" s="14" t="n">
        <f aca="false">I204-I203</f>
        <v>11.9684513910506</v>
      </c>
      <c r="O204" s="14" t="n">
        <f aca="false">J204-J203</f>
        <v>5.19071478978549</v>
      </c>
      <c r="P204" s="14" t="n">
        <f aca="false">K204-K203</f>
        <v>5.10490760750054</v>
      </c>
      <c r="Q204" s="14" t="n">
        <f aca="false">L204-L203</f>
        <v>14.8628114674989</v>
      </c>
    </row>
    <row r="205" customFormat="false" ht="15" hidden="false" customHeight="false" outlineLevel="0" collapsed="false">
      <c r="A205" s="11" t="n">
        <v>46226</v>
      </c>
      <c r="B205" s="12" t="s">
        <v>47</v>
      </c>
      <c r="C205" s="13" t="n">
        <v>0.016843745611745</v>
      </c>
      <c r="D205" s="13" t="n">
        <v>0.0072289486445716</v>
      </c>
      <c r="E205" s="13" t="n">
        <v>0.0190451961775866</v>
      </c>
      <c r="F205" s="13" t="n">
        <v>0.0204837258299553</v>
      </c>
      <c r="G205" s="13" t="n">
        <v>0.00897405864690182</v>
      </c>
      <c r="H205" s="14" t="n">
        <f aca="false">H204*(1+C205)</f>
        <v>3409.46332618106</v>
      </c>
      <c r="I205" s="14" t="n">
        <f aca="false">I204*(1+D205)</f>
        <v>3622.91932120705</v>
      </c>
      <c r="J205" s="14" t="n">
        <f aca="false">J204*(1+E205)</f>
        <v>3567.9658805252</v>
      </c>
      <c r="K205" s="14" t="n">
        <f aca="false">K204*(1+F205)</f>
        <v>2655.3452730457</v>
      </c>
      <c r="L205" s="14" t="n">
        <f aca="false">L204*(1+G205)</f>
        <v>3649.24850450033</v>
      </c>
      <c r="M205" s="14" t="n">
        <f aca="false">H205-H204</f>
        <v>56.4768512238015</v>
      </c>
      <c r="N205" s="14" t="n">
        <f aca="false">I205-I204</f>
        <v>26.0019310919088</v>
      </c>
      <c r="O205" s="14" t="n">
        <f aca="false">J205-J204</f>
        <v>66.6826264472138</v>
      </c>
      <c r="P205" s="14" t="n">
        <f aca="false">K205-K204</f>
        <v>53.2995903611295</v>
      </c>
      <c r="Q205" s="14" t="n">
        <f aca="false">L205-L204</f>
        <v>32.457296414957</v>
      </c>
    </row>
    <row r="206" customFormat="false" ht="15" hidden="false" customHeight="false" outlineLevel="0" collapsed="false">
      <c r="A206" s="11" t="n">
        <v>46227</v>
      </c>
      <c r="B206" s="12" t="s">
        <v>48</v>
      </c>
      <c r="C206" s="13" t="n">
        <v>0.00101353049846203</v>
      </c>
      <c r="D206" s="13" t="n">
        <v>0.0106589546738196</v>
      </c>
      <c r="E206" s="13" t="n">
        <v>-0.00378391598101126</v>
      </c>
      <c r="F206" s="13" t="n">
        <v>0.00192944953838459</v>
      </c>
      <c r="G206" s="13" t="n">
        <v>0.0112377324444263</v>
      </c>
      <c r="H206" s="14" t="n">
        <f aca="false">H205*(1+C206)</f>
        <v>3412.91892124553</v>
      </c>
      <c r="I206" s="14" t="n">
        <f aca="false">I205*(1+D206)</f>
        <v>3661.5358540387</v>
      </c>
      <c r="J206" s="14" t="n">
        <f aca="false">J205*(1+E206)</f>
        <v>3554.46499741017</v>
      </c>
      <c r="K206" s="14" t="n">
        <f aca="false">K205*(1+F206)</f>
        <v>2660.46862775703</v>
      </c>
      <c r="L206" s="14" t="n">
        <f aca="false">L205*(1+G206)</f>
        <v>3690.25778281713</v>
      </c>
      <c r="M206" s="14" t="n">
        <f aca="false">H206-H205</f>
        <v>3.45559506447216</v>
      </c>
      <c r="N206" s="14" t="n">
        <f aca="false">I206-I205</f>
        <v>38.6165328316511</v>
      </c>
      <c r="O206" s="14" t="n">
        <f aca="false">J206-J205</f>
        <v>-13.5008831150221</v>
      </c>
      <c r="P206" s="14" t="n">
        <f aca="false">K206-K205</f>
        <v>5.12335471132974</v>
      </c>
      <c r="Q206" s="14" t="n">
        <f aca="false">L206-L205</f>
        <v>41.009278316797</v>
      </c>
    </row>
    <row r="207" customFormat="false" ht="15" hidden="false" customHeight="false" outlineLevel="0" collapsed="false">
      <c r="A207" s="11" t="n">
        <v>46228</v>
      </c>
      <c r="B207" s="12" t="s">
        <v>49</v>
      </c>
      <c r="C207" s="13" t="n">
        <v>-0.00295876949835927</v>
      </c>
      <c r="D207" s="13" t="n">
        <v>0.00431056431081704</v>
      </c>
      <c r="E207" s="13" t="n">
        <v>-0.000794900773383103</v>
      </c>
      <c r="F207" s="13" t="n">
        <v>-0.00651480700202217</v>
      </c>
      <c r="G207" s="13" t="n">
        <v>0.00389974370816848</v>
      </c>
      <c r="H207" s="14" t="n">
        <f aca="false">H206*(1+C207)</f>
        <v>3402.82088084098</v>
      </c>
      <c r="I207" s="14" t="n">
        <f aca="false">I206*(1+D207)</f>
        <v>3677.31913981389</v>
      </c>
      <c r="J207" s="14" t="n">
        <f aca="false">J206*(1+E207)</f>
        <v>3551.63955043477</v>
      </c>
      <c r="K207" s="14" t="n">
        <f aca="false">K206*(1+F207)</f>
        <v>2643.13618811226</v>
      </c>
      <c r="L207" s="14" t="n">
        <f aca="false">L206*(1+G207)</f>
        <v>3704.64884238719</v>
      </c>
      <c r="M207" s="14" t="n">
        <f aca="false">H207-H206</f>
        <v>-10.0980404045545</v>
      </c>
      <c r="N207" s="14" t="n">
        <f aca="false">I207-I206</f>
        <v>15.783285775196</v>
      </c>
      <c r="O207" s="14" t="n">
        <f aca="false">J207-J206</f>
        <v>-2.82544697540425</v>
      </c>
      <c r="P207" s="14" t="n">
        <f aca="false">K207-K206</f>
        <v>-17.332439644772</v>
      </c>
      <c r="Q207" s="14" t="n">
        <f aca="false">L207-L206</f>
        <v>14.3910595700609</v>
      </c>
    </row>
    <row r="208" customFormat="false" ht="15" hidden="false" customHeight="false" outlineLevel="0" collapsed="false">
      <c r="A208" s="11" t="n">
        <v>46229</v>
      </c>
      <c r="B208" s="12" t="s">
        <v>50</v>
      </c>
      <c r="C208" s="13" t="n">
        <v>-0.00319311582578963</v>
      </c>
      <c r="D208" s="13" t="n">
        <v>-0.00818924820794392</v>
      </c>
      <c r="E208" s="13" t="n">
        <v>-0.00478404417726029</v>
      </c>
      <c r="F208" s="13" t="n">
        <v>0.000968364003759159</v>
      </c>
      <c r="G208" s="13" t="n">
        <v>-0.011036027401078</v>
      </c>
      <c r="H208" s="14" t="n">
        <f aca="false">H207*(1+C208)</f>
        <v>3391.95527963404</v>
      </c>
      <c r="I208" s="14" t="n">
        <f aca="false">I207*(1+D208)</f>
        <v>3647.20466063813</v>
      </c>
      <c r="J208" s="14" t="n">
        <f aca="false">J207*(1+E208)</f>
        <v>3534.64834992378</v>
      </c>
      <c r="K208" s="14" t="n">
        <f aca="false">K207*(1+F208)</f>
        <v>2645.69570605386</v>
      </c>
      <c r="L208" s="14" t="n">
        <f aca="false">L207*(1+G208)</f>
        <v>3663.76423625123</v>
      </c>
      <c r="M208" s="14" t="n">
        <f aca="false">H208-H207</f>
        <v>-10.8656012069409</v>
      </c>
      <c r="N208" s="14" t="n">
        <f aca="false">I208-I207</f>
        <v>-30.1144791757588</v>
      </c>
      <c r="O208" s="14" t="n">
        <f aca="false">J208-J207</f>
        <v>-16.991200510985</v>
      </c>
      <c r="P208" s="14" t="n">
        <f aca="false">K208-K207</f>
        <v>2.55951794160137</v>
      </c>
      <c r="Q208" s="14" t="n">
        <f aca="false">L208-L207</f>
        <v>-40.8846061359568</v>
      </c>
    </row>
    <row r="209" customFormat="false" ht="15" hidden="false" customHeight="false" outlineLevel="0" collapsed="false">
      <c r="A209" s="11" t="n">
        <v>46230</v>
      </c>
      <c r="B209" s="12" t="s">
        <v>51</v>
      </c>
      <c r="C209" s="13" t="n">
        <v>0.0247975799960075</v>
      </c>
      <c r="D209" s="13" t="n">
        <v>0.02344123012695</v>
      </c>
      <c r="E209" s="13" t="n">
        <v>0.0255999809462912</v>
      </c>
      <c r="F209" s="13" t="n">
        <v>0.0308886333754865</v>
      </c>
      <c r="G209" s="13" t="n">
        <v>0.0237035901054448</v>
      </c>
      <c r="H209" s="14" t="n">
        <f aca="false">H208*(1+C209)</f>
        <v>3476.06756202364</v>
      </c>
      <c r="I209" s="14" t="n">
        <f aca="false">I208*(1+D209)</f>
        <v>3732.69962440824</v>
      </c>
      <c r="J209" s="14" t="n">
        <f aca="false">J208*(1+E209)</f>
        <v>3625.13528033367</v>
      </c>
      <c r="K209" s="14" t="n">
        <f aca="false">K208*(1+F209)</f>
        <v>2727.41763074126</v>
      </c>
      <c r="L209" s="14" t="n">
        <f aca="false">L208*(1+G209)</f>
        <v>3750.60860195032</v>
      </c>
      <c r="M209" s="14" t="n">
        <f aca="false">H209-H208</f>
        <v>84.1122823896048</v>
      </c>
      <c r="N209" s="14" t="n">
        <f aca="false">I209-I208</f>
        <v>85.4949637701029</v>
      </c>
      <c r="O209" s="14" t="n">
        <f aca="false">J209-J208</f>
        <v>90.4869304098888</v>
      </c>
      <c r="P209" s="14" t="n">
        <f aca="false">K209-K208</f>
        <v>81.721924687397</v>
      </c>
      <c r="Q209" s="14" t="n">
        <f aca="false">L209-L208</f>
        <v>86.8443656990871</v>
      </c>
    </row>
    <row r="210" customFormat="false" ht="15" hidden="false" customHeight="false" outlineLevel="0" collapsed="false">
      <c r="A210" s="11" t="n">
        <v>46231</v>
      </c>
      <c r="B210" s="12" t="s">
        <v>52</v>
      </c>
      <c r="C210" s="13" t="n">
        <v>0.0103831287623536</v>
      </c>
      <c r="D210" s="13" t="n">
        <v>0.0105571135602412</v>
      </c>
      <c r="E210" s="13" t="n">
        <v>0.0108972837450728</v>
      </c>
      <c r="F210" s="13" t="n">
        <v>0.00859560042779872</v>
      </c>
      <c r="G210" s="13" t="n">
        <v>0.00986523809204487</v>
      </c>
      <c r="H210" s="14" t="n">
        <f aca="false">H209*(1+C210)</f>
        <v>3512.16001910677</v>
      </c>
      <c r="I210" s="14" t="n">
        <f aca="false">I209*(1+D210)</f>
        <v>3772.10615822938</v>
      </c>
      <c r="J210" s="14" t="n">
        <f aca="false">J209*(1+E210)</f>
        <v>3664.63940809774</v>
      </c>
      <c r="K210" s="14" t="n">
        <f aca="false">K209*(1+F210)</f>
        <v>2750.86142289485</v>
      </c>
      <c r="L210" s="14" t="n">
        <f aca="false">L209*(1+G210)</f>
        <v>3787.60924879863</v>
      </c>
      <c r="M210" s="14" t="n">
        <f aca="false">H210-H209</f>
        <v>36.0924570831326</v>
      </c>
      <c r="N210" s="14" t="n">
        <f aca="false">I210-I209</f>
        <v>39.4065338211472</v>
      </c>
      <c r="O210" s="14" t="n">
        <f aca="false">J210-J209</f>
        <v>39.5041277640707</v>
      </c>
      <c r="P210" s="14" t="n">
        <f aca="false">K210-K209</f>
        <v>23.4437921535855</v>
      </c>
      <c r="Q210" s="14" t="n">
        <f aca="false">L210-L209</f>
        <v>37.0006468483111</v>
      </c>
    </row>
    <row r="211" customFormat="false" ht="15" hidden="false" customHeight="false" outlineLevel="0" collapsed="false">
      <c r="A211" s="11" t="n">
        <v>46232</v>
      </c>
      <c r="B211" s="12" t="s">
        <v>53</v>
      </c>
      <c r="C211" s="13" t="n">
        <v>0.00361765899414912</v>
      </c>
      <c r="D211" s="13" t="n">
        <v>0.00299873683558631</v>
      </c>
      <c r="E211" s="13" t="n">
        <v>0.00280955174642973</v>
      </c>
      <c r="F211" s="13" t="n">
        <v>0.00612398943607584</v>
      </c>
      <c r="G211" s="13" t="n">
        <v>0.00320974562518805</v>
      </c>
      <c r="H211" s="14" t="n">
        <f aca="false">H210*(1+C211)</f>
        <v>3524.86581638879</v>
      </c>
      <c r="I211" s="14" t="n">
        <f aca="false">I210*(1+D211)</f>
        <v>3783.41771191381</v>
      </c>
      <c r="J211" s="14" t="n">
        <f aca="false">J210*(1+E211)</f>
        <v>3674.9354021468</v>
      </c>
      <c r="K211" s="14" t="n">
        <f aca="false">K210*(1+F211)</f>
        <v>2767.70766918876</v>
      </c>
      <c r="L211" s="14" t="n">
        <f aca="false">L210*(1+G211)</f>
        <v>3799.76651101488</v>
      </c>
      <c r="M211" s="14" t="n">
        <f aca="false">H211-H210</f>
        <v>12.705797282013</v>
      </c>
      <c r="N211" s="14" t="n">
        <f aca="false">I211-I210</f>
        <v>11.3115536844248</v>
      </c>
      <c r="O211" s="14" t="n">
        <f aca="false">J211-J210</f>
        <v>10.2959940490564</v>
      </c>
      <c r="P211" s="14" t="n">
        <f aca="false">K211-K210</f>
        <v>16.8462462939165</v>
      </c>
      <c r="Q211" s="14" t="n">
        <f aca="false">L211-L210</f>
        <v>12.157262216253</v>
      </c>
    </row>
    <row r="212" customFormat="false" ht="15" hidden="false" customHeight="false" outlineLevel="0" collapsed="false">
      <c r="A212" s="11" t="n">
        <v>46233</v>
      </c>
      <c r="B212" s="12" t="s">
        <v>47</v>
      </c>
      <c r="C212" s="13" t="n">
        <v>-0.0181146031026172</v>
      </c>
      <c r="D212" s="13" t="n">
        <v>-0.0294068940224826</v>
      </c>
      <c r="E212" s="13" t="n">
        <v>-0.0199873388301825</v>
      </c>
      <c r="F212" s="13" t="n">
        <v>-0.0166539858184719</v>
      </c>
      <c r="G212" s="13" t="n">
        <v>-0.0290931795526406</v>
      </c>
      <c r="H212" s="14" t="n">
        <f aca="false">H211*(1+C212)</f>
        <v>3461.01427113492</v>
      </c>
      <c r="I212" s="14" t="n">
        <f aca="false">I211*(1+D212)</f>
        <v>3672.15914821678</v>
      </c>
      <c r="J212" s="14" t="n">
        <f aca="false">J211*(1+E212)</f>
        <v>3601.48322308506</v>
      </c>
      <c r="K212" s="14" t="n">
        <f aca="false">K211*(1+F212)</f>
        <v>2721.61430491642</v>
      </c>
      <c r="L212" s="14" t="n">
        <f aca="false">L211*(1+G212)</f>
        <v>3689.21922165182</v>
      </c>
      <c r="M212" s="14" t="n">
        <f aca="false">H212-H211</f>
        <v>-63.8515452538654</v>
      </c>
      <c r="N212" s="14" t="n">
        <f aca="false">I212-I211</f>
        <v>-111.258563697033</v>
      </c>
      <c r="O212" s="14" t="n">
        <f aca="false">J212-J211</f>
        <v>-73.4521790617414</v>
      </c>
      <c r="P212" s="14" t="n">
        <f aca="false">K212-K211</f>
        <v>-46.0933642723453</v>
      </c>
      <c r="Q212" s="14" t="n">
        <f aca="false">L212-L211</f>
        <v>-110.547289363067</v>
      </c>
    </row>
    <row r="213" customFormat="false" ht="15" hidden="false" customHeight="false" outlineLevel="0" collapsed="false">
      <c r="A213" s="11" t="n">
        <v>46234</v>
      </c>
      <c r="B213" s="12" t="s">
        <v>48</v>
      </c>
      <c r="C213" s="13" t="n">
        <v>-0.000554991516212577</v>
      </c>
      <c r="D213" s="13" t="n">
        <v>-1.95456615420225E-005</v>
      </c>
      <c r="E213" s="13" t="n">
        <v>0.000117425377510802</v>
      </c>
      <c r="F213" s="13" t="n">
        <v>0.0010913392358522</v>
      </c>
      <c r="G213" s="13" t="n">
        <v>0.000980490772473641</v>
      </c>
      <c r="H213" s="14" t="n">
        <f aca="false">H212*(1+C213)</f>
        <v>3459.09343757695</v>
      </c>
      <c r="I213" s="14" t="n">
        <f aca="false">I212*(1+D213)</f>
        <v>3672.08737343694</v>
      </c>
      <c r="J213" s="14" t="n">
        <f aca="false">J212*(1+E213)</f>
        <v>3601.90612861213</v>
      </c>
      <c r="K213" s="14" t="n">
        <f aca="false">K212*(1+F213)</f>
        <v>2724.58450939223</v>
      </c>
      <c r="L213" s="14" t="n">
        <f aca="false">L212*(1+G213)</f>
        <v>3692.83646705628</v>
      </c>
      <c r="M213" s="14" t="n">
        <f aca="false">H213-H212</f>
        <v>-1.92083355797058</v>
      </c>
      <c r="N213" s="14" t="n">
        <f aca="false">I213-I212</f>
        <v>-0.0717747798394157</v>
      </c>
      <c r="O213" s="14" t="n">
        <f aca="false">J213-J212</f>
        <v>0.422905527069361</v>
      </c>
      <c r="P213" s="14" t="n">
        <f aca="false">K213-K212</f>
        <v>2.9702044758119</v>
      </c>
      <c r="Q213" s="14" t="n">
        <f aca="false">L213-L212</f>
        <v>3.61724540446176</v>
      </c>
    </row>
    <row r="214" customFormat="false" ht="15" hidden="false" customHeight="false" outlineLevel="0" collapsed="false">
      <c r="A214" s="11" t="n">
        <v>46235</v>
      </c>
      <c r="B214" s="12" t="s">
        <v>49</v>
      </c>
      <c r="C214" s="13" t="n">
        <v>0.0253096520822611</v>
      </c>
      <c r="D214" s="13" t="n">
        <v>0.0268870705950797</v>
      </c>
      <c r="E214" s="13" t="n">
        <v>0.0272329730456621</v>
      </c>
      <c r="F214" s="13" t="n">
        <v>0.0289077998288956</v>
      </c>
      <c r="G214" s="13" t="n">
        <v>0.0249397480780416</v>
      </c>
      <c r="H214" s="14" t="n">
        <f aca="false">H213*(1+C214)</f>
        <v>3546.64188900206</v>
      </c>
      <c r="I214" s="14" t="n">
        <f aca="false">I213*(1+D214)</f>
        <v>3770.81904587784</v>
      </c>
      <c r="J214" s="14" t="n">
        <f aca="false">J213*(1+E214)</f>
        <v>3699.99674112563</v>
      </c>
      <c r="K214" s="14" t="n">
        <f aca="false">K213*(1+F214)</f>
        <v>2803.34625300665</v>
      </c>
      <c r="L214" s="14" t="n">
        <f aca="false">L213*(1+G214)</f>
        <v>3784.93487823807</v>
      </c>
      <c r="M214" s="14" t="n">
        <f aca="false">H214-H213</f>
        <v>87.5484514251052</v>
      </c>
      <c r="N214" s="14" t="n">
        <f aca="false">I214-I213</f>
        <v>98.7316724408997</v>
      </c>
      <c r="O214" s="14" t="n">
        <f aca="false">J214-J213</f>
        <v>98.0906125134989</v>
      </c>
      <c r="P214" s="14" t="n">
        <f aca="false">K214-K213</f>
        <v>78.7617436144201</v>
      </c>
      <c r="Q214" s="14" t="n">
        <f aca="false">L214-L213</f>
        <v>92.0984111817888</v>
      </c>
    </row>
    <row r="215" customFormat="false" ht="15" hidden="false" customHeight="false" outlineLevel="0" collapsed="false">
      <c r="A215" s="11" t="n">
        <v>46236</v>
      </c>
      <c r="B215" s="12" t="s">
        <v>50</v>
      </c>
      <c r="C215" s="13" t="n">
        <v>-0.0189768200582008</v>
      </c>
      <c r="D215" s="13" t="n">
        <v>-0.0203928626658766</v>
      </c>
      <c r="E215" s="13" t="n">
        <v>-0.0196973720800433</v>
      </c>
      <c r="F215" s="13" t="n">
        <v>-0.0267564495601451</v>
      </c>
      <c r="G215" s="13" t="n">
        <v>-0.0236621548574524</v>
      </c>
      <c r="H215" s="14" t="n">
        <f aca="false">H214*(1+C215)</f>
        <v>3479.33790406359</v>
      </c>
      <c r="I215" s="14" t="n">
        <f aca="false">I214*(1+D215)</f>
        <v>3693.92125093738</v>
      </c>
      <c r="J215" s="14" t="n">
        <f aca="false">J214*(1+E215)</f>
        <v>3627.11652862073</v>
      </c>
      <c r="K215" s="14" t="n">
        <f aca="false">K214*(1+F215)</f>
        <v>2728.33866038845</v>
      </c>
      <c r="L215" s="14" t="n">
        <f aca="false">L214*(1+G215)</f>
        <v>3695.37516302383</v>
      </c>
      <c r="M215" s="14" t="n">
        <f aca="false">H215-H214</f>
        <v>-67.3039849384695</v>
      </c>
      <c r="N215" s="14" t="n">
        <f aca="false">I215-I214</f>
        <v>-76.8977949404584</v>
      </c>
      <c r="O215" s="14" t="n">
        <f aca="false">J215-J214</f>
        <v>-72.8802125048992</v>
      </c>
      <c r="P215" s="14" t="n">
        <f aca="false">K215-K214</f>
        <v>-75.0075926181944</v>
      </c>
      <c r="Q215" s="14" t="n">
        <f aca="false">L215-L214</f>
        <v>-89.5597152142418</v>
      </c>
    </row>
    <row r="216" customFormat="false" ht="15" hidden="false" customHeight="false" outlineLevel="0" collapsed="false">
      <c r="A216" s="11" t="n">
        <v>46237</v>
      </c>
      <c r="B216" s="12" t="s">
        <v>51</v>
      </c>
      <c r="C216" s="13" t="n">
        <v>-0.0066515804848733</v>
      </c>
      <c r="D216" s="13" t="n">
        <v>-0.0078432474626675</v>
      </c>
      <c r="E216" s="13" t="n">
        <v>-0.00743843719811814</v>
      </c>
      <c r="F216" s="13" t="n">
        <v>-0.00502554110389097</v>
      </c>
      <c r="G216" s="13" t="n">
        <v>-0.00823522142172634</v>
      </c>
      <c r="H216" s="14" t="n">
        <f aca="false">H215*(1+C216)</f>
        <v>3456.19480796064</v>
      </c>
      <c r="I216" s="14" t="n">
        <f aca="false">I215*(1+D216)</f>
        <v>3664.94891245867</v>
      </c>
      <c r="J216" s="14" t="n">
        <f aca="false">J215*(1+E216)</f>
        <v>3600.13645011233</v>
      </c>
      <c r="K216" s="14" t="n">
        <f aca="false">K215*(1+F216)</f>
        <v>2714.62728230534</v>
      </c>
      <c r="L216" s="14" t="n">
        <f aca="false">L215*(1+G216)</f>
        <v>3664.94293031998</v>
      </c>
      <c r="M216" s="14" t="n">
        <f aca="false">H216-H215</f>
        <v>-23.1430961029491</v>
      </c>
      <c r="N216" s="14" t="n">
        <f aca="false">I216-I215</f>
        <v>-28.972338478708</v>
      </c>
      <c r="O216" s="14" t="n">
        <f aca="false">J216-J215</f>
        <v>-26.9800785084012</v>
      </c>
      <c r="P216" s="14" t="n">
        <f aca="false">K216-K215</f>
        <v>-13.7113780831169</v>
      </c>
      <c r="Q216" s="14" t="n">
        <f aca="false">L216-L215</f>
        <v>-30.432232703849</v>
      </c>
    </row>
    <row r="217" customFormat="false" ht="15" hidden="false" customHeight="false" outlineLevel="0" collapsed="false">
      <c r="A217" s="11" t="n">
        <v>46238</v>
      </c>
      <c r="B217" s="12" t="s">
        <v>52</v>
      </c>
      <c r="C217" s="13" t="n">
        <v>0.0275057196803524</v>
      </c>
      <c r="D217" s="13" t="n">
        <v>0.023231677402395</v>
      </c>
      <c r="E217" s="13" t="n">
        <v>0.023394629352963</v>
      </c>
      <c r="F217" s="13" t="n">
        <v>0.0229543034789629</v>
      </c>
      <c r="G217" s="13" t="n">
        <v>0.0221221165056869</v>
      </c>
      <c r="H217" s="14" t="n">
        <f aca="false">H216*(1+C217)</f>
        <v>3551.25993350909</v>
      </c>
      <c r="I217" s="14" t="n">
        <f aca="false">I216*(1+D217)</f>
        <v>3750.09182328917</v>
      </c>
      <c r="J217" s="14" t="n">
        <f aca="false">J216*(1+E217)</f>
        <v>3684.3603079828</v>
      </c>
      <c r="K217" s="14" t="n">
        <f aca="false">K216*(1+F217)</f>
        <v>2776.93966077565</v>
      </c>
      <c r="L217" s="14" t="n">
        <f aca="false">L216*(1+G217)</f>
        <v>3746.01922481121</v>
      </c>
      <c r="M217" s="14" t="n">
        <f aca="false">H217-H216</f>
        <v>95.0651255484549</v>
      </c>
      <c r="N217" s="14" t="n">
        <f aca="false">I217-I216</f>
        <v>85.1429108304983</v>
      </c>
      <c r="O217" s="14" t="n">
        <f aca="false">J217-J216</f>
        <v>84.2238578704701</v>
      </c>
      <c r="P217" s="14" t="n">
        <f aca="false">K217-K216</f>
        <v>62.3123784703084</v>
      </c>
      <c r="Q217" s="14" t="n">
        <f aca="false">L217-L216</f>
        <v>81.0762944912317</v>
      </c>
    </row>
    <row r="218" customFormat="false" ht="15" hidden="false" customHeight="false" outlineLevel="0" collapsed="false">
      <c r="A218" s="11" t="n">
        <v>46239</v>
      </c>
      <c r="B218" s="12" t="s">
        <v>53</v>
      </c>
      <c r="C218" s="13" t="n">
        <v>-0.042940952588291</v>
      </c>
      <c r="D218" s="13" t="n">
        <v>-0.053532352548537</v>
      </c>
      <c r="E218" s="13" t="n">
        <v>-0.0535395577429918</v>
      </c>
      <c r="F218" s="13" t="n">
        <v>-0.0222695610992784</v>
      </c>
      <c r="G218" s="13" t="n">
        <v>-0.0581251210683181</v>
      </c>
      <c r="H218" s="14" t="n">
        <f aca="false">H217*(1+C218)</f>
        <v>3398.76544907558</v>
      </c>
      <c r="I218" s="14" t="n">
        <f aca="false">I217*(1+D218)</f>
        <v>3549.34058571547</v>
      </c>
      <c r="J218" s="14" t="n">
        <f aca="false">J217*(1+E218)</f>
        <v>3487.10128652757</v>
      </c>
      <c r="K218" s="14" t="n">
        <f aca="false">K217*(1+F218)</f>
        <v>2715.09843333099</v>
      </c>
      <c r="L218" s="14" t="n">
        <f aca="false">L217*(1+G218)</f>
        <v>3528.28140384481</v>
      </c>
      <c r="M218" s="14" t="n">
        <f aca="false">H218-H217</f>
        <v>-152.494484433511</v>
      </c>
      <c r="N218" s="14" t="n">
        <f aca="false">I218-I217</f>
        <v>-200.751237573701</v>
      </c>
      <c r="O218" s="14" t="n">
        <f aca="false">J218-J217</f>
        <v>-197.259021455232</v>
      </c>
      <c r="P218" s="14" t="n">
        <f aca="false">K218-K217</f>
        <v>-61.8412274446528</v>
      </c>
      <c r="Q218" s="14" t="n">
        <f aca="false">L218-L217</f>
        <v>-217.737820966399</v>
      </c>
    </row>
    <row r="219" customFormat="false" ht="15" hidden="false" customHeight="false" outlineLevel="0" collapsed="false">
      <c r="A219" s="11" t="n">
        <v>46240</v>
      </c>
      <c r="B219" s="12" t="s">
        <v>47</v>
      </c>
      <c r="C219" s="13" t="n">
        <v>0.00111270690252763</v>
      </c>
      <c r="D219" s="13" t="n">
        <v>-0.00674413368609158</v>
      </c>
      <c r="E219" s="13" t="n">
        <v>-0.00674409538094586</v>
      </c>
      <c r="F219" s="13" t="n">
        <v>-0.00913238428077384</v>
      </c>
      <c r="G219" s="13" t="n">
        <v>-0.0159572933515157</v>
      </c>
      <c r="H219" s="14" t="n">
        <f aca="false">H218*(1+C219)</f>
        <v>3402.54727885084</v>
      </c>
      <c r="I219" s="14" t="n">
        <f aca="false">I218*(1+D219)</f>
        <v>3525.40335830793</v>
      </c>
      <c r="J219" s="14" t="n">
        <f aca="false">J218*(1+E219)</f>
        <v>3463.5839428482</v>
      </c>
      <c r="K219" s="14" t="n">
        <f aca="false">K218*(1+F219)</f>
        <v>2690.30311107769</v>
      </c>
      <c r="L219" s="14" t="n">
        <f aca="false">L218*(1+G219)</f>
        <v>3471.97958245696</v>
      </c>
      <c r="M219" s="14" t="n">
        <f aca="false">H219-H218</f>
        <v>3.78182977525876</v>
      </c>
      <c r="N219" s="14" t="n">
        <f aca="false">I219-I218</f>
        <v>-23.9372274075358</v>
      </c>
      <c r="O219" s="14" t="n">
        <f aca="false">J219-J218</f>
        <v>-23.5173436793611</v>
      </c>
      <c r="P219" s="14" t="n">
        <f aca="false">K219-K218</f>
        <v>-24.7953222533056</v>
      </c>
      <c r="Q219" s="14" t="n">
        <f aca="false">L219-L218</f>
        <v>-56.3018213878495</v>
      </c>
    </row>
    <row r="220" customFormat="false" ht="15" hidden="false" customHeight="false" outlineLevel="0" collapsed="false">
      <c r="A220" s="11" t="n">
        <v>46241</v>
      </c>
      <c r="B220" s="12" t="s">
        <v>48</v>
      </c>
      <c r="C220" s="13" t="n">
        <v>-0.0117958143911046</v>
      </c>
      <c r="D220" s="13" t="n">
        <v>-0.01945680886018</v>
      </c>
      <c r="E220" s="13" t="n">
        <v>-0.02232131888328</v>
      </c>
      <c r="F220" s="13" t="n">
        <v>-0.00189070180355228</v>
      </c>
      <c r="G220" s="13" t="n">
        <v>-0.0234862148234832</v>
      </c>
      <c r="H220" s="14" t="n">
        <f aca="false">H219*(1+C220)</f>
        <v>3362.41146269256</v>
      </c>
      <c r="I220" s="14" t="n">
        <f aca="false">I219*(1+D220)</f>
        <v>3456.8102590103</v>
      </c>
      <c r="J220" s="14" t="n">
        <f aca="false">J219*(1+E220)</f>
        <v>3386.27218118088</v>
      </c>
      <c r="K220" s="14" t="n">
        <f aca="false">K219*(1+F220)</f>
        <v>2685.21655013347</v>
      </c>
      <c r="L220" s="14" t="n">
        <f aca="false">L219*(1+G220)</f>
        <v>3390.43592412063</v>
      </c>
      <c r="M220" s="14" t="n">
        <f aca="false">H220-H219</f>
        <v>-40.1358161582825</v>
      </c>
      <c r="N220" s="14" t="n">
        <f aca="false">I220-I219</f>
        <v>-68.5930992976341</v>
      </c>
      <c r="O220" s="14" t="n">
        <f aca="false">J220-J219</f>
        <v>-77.311761667323</v>
      </c>
      <c r="P220" s="14" t="n">
        <f aca="false">K220-K219</f>
        <v>-5.08656094421713</v>
      </c>
      <c r="Q220" s="14" t="n">
        <f aca="false">L220-L219</f>
        <v>-81.5436583363317</v>
      </c>
    </row>
    <row r="221" customFormat="false" ht="15" hidden="false" customHeight="false" outlineLevel="0" collapsed="false">
      <c r="A221" s="11" t="n">
        <v>46242</v>
      </c>
      <c r="B221" s="12" t="s">
        <v>49</v>
      </c>
      <c r="C221" s="13" t="n">
        <v>0.039712267267274</v>
      </c>
      <c r="D221" s="13" t="n">
        <v>0.0498362663079487</v>
      </c>
      <c r="E221" s="13" t="n">
        <v>0.052345893764358</v>
      </c>
      <c r="F221" s="13" t="n">
        <v>0.0410168406110688</v>
      </c>
      <c r="G221" s="13" t="n">
        <v>0.0614191896006505</v>
      </c>
      <c r="H221" s="14" t="n">
        <f aca="false">H220*(1+C221)</f>
        <v>3495.94044536155</v>
      </c>
      <c r="I221" s="14" t="n">
        <f aca="false">I220*(1+D221)</f>
        <v>3629.08477565438</v>
      </c>
      <c r="J221" s="14" t="n">
        <f aca="false">J220*(1+E221)</f>
        <v>3563.52962503418</v>
      </c>
      <c r="K221" s="14" t="n">
        <f aca="false">K220*(1+F221)</f>
        <v>2795.3556493765</v>
      </c>
      <c r="L221" s="14" t="n">
        <f aca="false">L220*(1+G221)</f>
        <v>3598.67375097305</v>
      </c>
      <c r="M221" s="14" t="n">
        <f aca="false">H221-H220</f>
        <v>133.528982668992</v>
      </c>
      <c r="N221" s="14" t="n">
        <f aca="false">I221-I220</f>
        <v>172.274516644086</v>
      </c>
      <c r="O221" s="14" t="n">
        <f aca="false">J221-J220</f>
        <v>177.257443853295</v>
      </c>
      <c r="P221" s="14" t="n">
        <f aca="false">K221-K220</f>
        <v>110.139099243029</v>
      </c>
      <c r="Q221" s="14" t="n">
        <f aca="false">L221-L220</f>
        <v>208.237826852421</v>
      </c>
    </row>
    <row r="222" customFormat="false" ht="15" hidden="false" customHeight="false" outlineLevel="0" collapsed="false">
      <c r="A222" s="11" t="n">
        <v>46243</v>
      </c>
      <c r="B222" s="12" t="s">
        <v>50</v>
      </c>
      <c r="C222" s="13" t="n">
        <v>0.0558816210092715</v>
      </c>
      <c r="D222" s="13" t="n">
        <v>0.0488417429776481</v>
      </c>
      <c r="E222" s="13" t="n">
        <v>0.0513859578672612</v>
      </c>
      <c r="F222" s="13" t="n">
        <v>0.0444380837038532</v>
      </c>
      <c r="G222" s="13" t="n">
        <v>0.0532777382225402</v>
      </c>
      <c r="H222" s="14" t="n">
        <f aca="false">H221*(1+C222)</f>
        <v>3691.29926440023</v>
      </c>
      <c r="I222" s="14" t="n">
        <f aca="false">I221*(1+D222)</f>
        <v>3806.33560151099</v>
      </c>
      <c r="J222" s="14" t="n">
        <f aca="false">J221*(1+E222)</f>
        <v>3746.64500820492</v>
      </c>
      <c r="K222" s="14" t="n">
        <f aca="false">K221*(1+F222)</f>
        <v>2919.57589770553</v>
      </c>
      <c r="L222" s="14" t="n">
        <f aca="false">L221*(1+G222)</f>
        <v>3790.40294902572</v>
      </c>
      <c r="M222" s="14" t="n">
        <f aca="false">H222-H221</f>
        <v>195.358819038678</v>
      </c>
      <c r="N222" s="14" t="n">
        <f aca="false">I222-I221</f>
        <v>177.250825856607</v>
      </c>
      <c r="O222" s="14" t="n">
        <f aca="false">J222-J221</f>
        <v>183.115383170744</v>
      </c>
      <c r="P222" s="14" t="n">
        <f aca="false">K222-K221</f>
        <v>124.220248329032</v>
      </c>
      <c r="Q222" s="14" t="n">
        <f aca="false">L222-L221</f>
        <v>191.729198052669</v>
      </c>
    </row>
    <row r="223" customFormat="false" ht="15" hidden="false" customHeight="false" outlineLevel="0" collapsed="false">
      <c r="A223" s="11" t="n">
        <v>46244</v>
      </c>
      <c r="B223" s="12" t="s">
        <v>51</v>
      </c>
      <c r="C223" s="13" t="n">
        <v>0.0125895622268231</v>
      </c>
      <c r="D223" s="13" t="n">
        <v>0.0186401620389338</v>
      </c>
      <c r="E223" s="13" t="n">
        <v>0.0186367520908489</v>
      </c>
      <c r="F223" s="13" t="n">
        <v>0.0105316392898395</v>
      </c>
      <c r="G223" s="13" t="n">
        <v>0.0169383064871294</v>
      </c>
      <c r="H223" s="14" t="n">
        <f aca="false">H222*(1+C223)</f>
        <v>3737.77110618722</v>
      </c>
      <c r="I223" s="14" t="n">
        <f aca="false">I222*(1+D223)</f>
        <v>3877.28631389772</v>
      </c>
      <c r="J223" s="14" t="n">
        <f aca="false">J222*(1+E223)</f>
        <v>3816.47030239525</v>
      </c>
      <c r="K223" s="14" t="n">
        <f aca="false">K222*(1+F223)</f>
        <v>2950.32381793948</v>
      </c>
      <c r="L223" s="14" t="n">
        <f aca="false">L222*(1+G223)</f>
        <v>3854.60595588604</v>
      </c>
      <c r="M223" s="14" t="n">
        <f aca="false">H223-H222</f>
        <v>46.4718417869926</v>
      </c>
      <c r="N223" s="14" t="n">
        <f aca="false">I223-I222</f>
        <v>70.9507123867275</v>
      </c>
      <c r="O223" s="14" t="n">
        <f aca="false">J223-J222</f>
        <v>69.8252941903311</v>
      </c>
      <c r="P223" s="14" t="n">
        <f aca="false">K223-K222</f>
        <v>30.7479202339441</v>
      </c>
      <c r="Q223" s="14" t="n">
        <f aca="false">L223-L222</f>
        <v>64.2030068603167</v>
      </c>
    </row>
    <row r="224" customFormat="false" ht="15" hidden="false" customHeight="false" outlineLevel="0" collapsed="false">
      <c r="A224" s="11" t="n">
        <v>46245</v>
      </c>
      <c r="B224" s="12" t="s">
        <v>52</v>
      </c>
      <c r="C224" s="13" t="n">
        <v>0.010719133232306</v>
      </c>
      <c r="D224" s="13" t="n">
        <v>0.00566614313551335</v>
      </c>
      <c r="E224" s="13" t="n">
        <v>0.00908459601358891</v>
      </c>
      <c r="F224" s="13" t="n">
        <v>0.00303994851462341</v>
      </c>
      <c r="G224" s="13" t="n">
        <v>0.00406724956981086</v>
      </c>
      <c r="H224" s="14" t="n">
        <f aca="false">H223*(1+C224)</f>
        <v>3777.8367726663</v>
      </c>
      <c r="I224" s="14" t="n">
        <f aca="false">I223*(1+D224)</f>
        <v>3899.25557312963</v>
      </c>
      <c r="J224" s="14" t="n">
        <f aca="false">J223*(1+E224)</f>
        <v>3851.14139329037</v>
      </c>
      <c r="K224" s="14" t="n">
        <f aca="false">K223*(1+F224)</f>
        <v>2959.29265044748</v>
      </c>
      <c r="L224" s="14" t="n">
        <f aca="false">L223*(1+G224)</f>
        <v>3870.2836003019</v>
      </c>
      <c r="M224" s="14" t="n">
        <f aca="false">H224-H223</f>
        <v>40.0656664790845</v>
      </c>
      <c r="N224" s="14" t="n">
        <f aca="false">I224-I223</f>
        <v>21.9692592319116</v>
      </c>
      <c r="O224" s="14" t="n">
        <f aca="false">J224-J223</f>
        <v>34.6710908951209</v>
      </c>
      <c r="P224" s="14" t="n">
        <f aca="false">K224-K223</f>
        <v>8.96883250800329</v>
      </c>
      <c r="Q224" s="14" t="n">
        <f aca="false">L224-L223</f>
        <v>15.6776444158677</v>
      </c>
    </row>
    <row r="225" customFormat="false" ht="15" hidden="false" customHeight="false" outlineLevel="0" collapsed="false">
      <c r="A225" s="11" t="n">
        <v>46246</v>
      </c>
      <c r="B225" s="12" t="s">
        <v>53</v>
      </c>
      <c r="C225" s="13" t="n">
        <v>-0.0220883802946643</v>
      </c>
      <c r="D225" s="13" t="n">
        <v>-0.0287358660584103</v>
      </c>
      <c r="E225" s="13" t="n">
        <v>-0.0257620498561603</v>
      </c>
      <c r="F225" s="13" t="n">
        <v>-0.0320348489815899</v>
      </c>
      <c r="G225" s="13" t="n">
        <v>-0.0285466461830866</v>
      </c>
      <c r="H225" s="14" t="n">
        <f aca="false">H224*(1+C225)</f>
        <v>3694.39047734048</v>
      </c>
      <c r="I225" s="14" t="n">
        <f aca="false">I224*(1+D225)</f>
        <v>3787.20708725267</v>
      </c>
      <c r="J225" s="14" t="n">
        <f aca="false">J224*(1+E225)</f>
        <v>3751.9280967133</v>
      </c>
      <c r="K225" s="14" t="n">
        <f aca="false">K224*(1+F225)</f>
        <v>2864.49215729806</v>
      </c>
      <c r="L225" s="14" t="n">
        <f aca="false">L224*(1+G225)</f>
        <v>3759.79998373588</v>
      </c>
      <c r="M225" s="14" t="n">
        <f aca="false">H225-H224</f>
        <v>-83.4462953258208</v>
      </c>
      <c r="N225" s="14" t="n">
        <f aca="false">I225-I224</f>
        <v>-112.048485876963</v>
      </c>
      <c r="O225" s="14" t="n">
        <f aca="false">J225-J224</f>
        <v>-99.2132965770693</v>
      </c>
      <c r="P225" s="14" t="n">
        <f aca="false">K225-K224</f>
        <v>-94.8004931494138</v>
      </c>
      <c r="Q225" s="14" t="n">
        <f aca="false">L225-L224</f>
        <v>-110.483616566021</v>
      </c>
    </row>
    <row r="226" customFormat="false" ht="15" hidden="false" customHeight="false" outlineLevel="0" collapsed="false">
      <c r="A226" s="11" t="n">
        <v>46247</v>
      </c>
      <c r="B226" s="12" t="s">
        <v>47</v>
      </c>
      <c r="C226" s="13" t="n">
        <v>-0.0108124823724087</v>
      </c>
      <c r="D226" s="13" t="n">
        <v>-0.0113676718528219</v>
      </c>
      <c r="E226" s="13" t="n">
        <v>-0.00710998091277461</v>
      </c>
      <c r="F226" s="13" t="n">
        <v>-0.0197328115300076</v>
      </c>
      <c r="G226" s="13" t="n">
        <v>-0.0120761303762623</v>
      </c>
      <c r="H226" s="14" t="n">
        <f aca="false">H225*(1+C226)</f>
        <v>3654.44494542744</v>
      </c>
      <c r="I226" s="14" t="n">
        <f aca="false">I225*(1+D226)</f>
        <v>3744.1553598461</v>
      </c>
      <c r="J226" s="14" t="n">
        <f aca="false">J225*(1+E226)</f>
        <v>3725.25195955957</v>
      </c>
      <c r="K226" s="14" t="n">
        <f aca="false">K225*(1+F226)</f>
        <v>2807.96767342892</v>
      </c>
      <c r="L226" s="14" t="n">
        <f aca="false">L225*(1+G226)</f>
        <v>3714.39614894362</v>
      </c>
      <c r="M226" s="14" t="n">
        <f aca="false">H226-H225</f>
        <v>-39.9455319130389</v>
      </c>
      <c r="N226" s="14" t="n">
        <f aca="false">I226-I225</f>
        <v>-43.0517274065701</v>
      </c>
      <c r="O226" s="14" t="n">
        <f aca="false">J226-J225</f>
        <v>-26.6761371537341</v>
      </c>
      <c r="P226" s="14" t="n">
        <f aca="false">K226-K225</f>
        <v>-56.5244838691474</v>
      </c>
      <c r="Q226" s="14" t="n">
        <f aca="false">L226-L225</f>
        <v>-45.4038347922628</v>
      </c>
    </row>
    <row r="227" customFormat="false" ht="15" hidden="false" customHeight="false" outlineLevel="0" collapsed="false">
      <c r="A227" s="11" t="n">
        <v>46248</v>
      </c>
      <c r="B227" s="12" t="s">
        <v>48</v>
      </c>
      <c r="C227" s="13" t="n">
        <v>-0.0139849595402609</v>
      </c>
      <c r="D227" s="13" t="n">
        <v>-0.0170428922123325</v>
      </c>
      <c r="E227" s="13" t="n">
        <v>-0.0164955422507064</v>
      </c>
      <c r="F227" s="13" t="n">
        <v>-0.0114089572207778</v>
      </c>
      <c r="G227" s="13" t="n">
        <v>-0.0181012094440523</v>
      </c>
      <c r="H227" s="14" t="n">
        <f aca="false">H226*(1+C227)</f>
        <v>3603.33768072353</v>
      </c>
      <c r="I227" s="14" t="n">
        <f aca="false">I226*(1+D227)</f>
        <v>3680.34412362201</v>
      </c>
      <c r="J227" s="14" t="n">
        <f aca="false">J226*(1+E227)</f>
        <v>3663.80190846613</v>
      </c>
      <c r="K227" s="14" t="n">
        <f aca="false">K226*(1+F227)</f>
        <v>2775.93169036544</v>
      </c>
      <c r="L227" s="14" t="n">
        <f aca="false">L226*(1+G227)</f>
        <v>3647.16108629341</v>
      </c>
      <c r="M227" s="14" t="n">
        <f aca="false">H227-H226</f>
        <v>-51.1072647039136</v>
      </c>
      <c r="N227" s="14" t="n">
        <f aca="false">I227-I226</f>
        <v>-63.8112362240845</v>
      </c>
      <c r="O227" s="14" t="n">
        <f aca="false">J227-J226</f>
        <v>-61.4500510934417</v>
      </c>
      <c r="P227" s="14" t="n">
        <f aca="false">K227-K226</f>
        <v>-32.0359830634775</v>
      </c>
      <c r="Q227" s="14" t="n">
        <f aca="false">L227-L226</f>
        <v>-67.2350626502093</v>
      </c>
    </row>
    <row r="228" customFormat="false" ht="15" hidden="false" customHeight="false" outlineLevel="0" collapsed="false">
      <c r="A228" s="11" t="n">
        <v>46249</v>
      </c>
      <c r="B228" s="12" t="s">
        <v>49</v>
      </c>
      <c r="C228" s="13" t="n">
        <v>-0.0218338965481602</v>
      </c>
      <c r="D228" s="13" t="n">
        <v>-0.0214239512644896</v>
      </c>
      <c r="E228" s="13" t="n">
        <v>-0.0214864765932558</v>
      </c>
      <c r="F228" s="13" t="n">
        <v>-0.0268226726474055</v>
      </c>
      <c r="G228" s="13" t="n">
        <v>-0.0213174496940616</v>
      </c>
      <c r="H228" s="14" t="n">
        <f aca="false">H227*(1+C228)</f>
        <v>3524.66277857452</v>
      </c>
      <c r="I228" s="14" t="n">
        <f aca="false">I227*(1+D228)</f>
        <v>3601.49661048098</v>
      </c>
      <c r="J228" s="14" t="n">
        <f aca="false">J227*(1+E228)</f>
        <v>3585.07971451754</v>
      </c>
      <c r="K228" s="14" t="n">
        <f aca="false">K227*(1+F228)</f>
        <v>2701.47378334321</v>
      </c>
      <c r="L228" s="14" t="n">
        <f aca="false">L227*(1+G228)</f>
        <v>3569.41291331021</v>
      </c>
      <c r="M228" s="14" t="n">
        <f aca="false">H228-H227</f>
        <v>-78.674902149005</v>
      </c>
      <c r="N228" s="14" t="n">
        <f aca="false">I228-I227</f>
        <v>-78.8475131410287</v>
      </c>
      <c r="O228" s="14" t="n">
        <f aca="false">J228-J227</f>
        <v>-78.722193948583</v>
      </c>
      <c r="P228" s="14" t="n">
        <f aca="false">K228-K227</f>
        <v>-74.4579070222312</v>
      </c>
      <c r="Q228" s="14" t="n">
        <f aca="false">L228-L227</f>
        <v>-77.7481729831989</v>
      </c>
    </row>
    <row r="229" customFormat="false" ht="15" hidden="false" customHeight="false" outlineLevel="0" collapsed="false">
      <c r="A229" s="11" t="n">
        <v>46250</v>
      </c>
      <c r="B229" s="12" t="s">
        <v>50</v>
      </c>
      <c r="C229" s="13" t="n">
        <v>-0.0368905878642113</v>
      </c>
      <c r="D229" s="13" t="n">
        <v>-0.0425776248708505</v>
      </c>
      <c r="E229" s="13" t="n">
        <v>-0.0424638693013792</v>
      </c>
      <c r="F229" s="13" t="n">
        <v>-0.0311650315659134</v>
      </c>
      <c r="G229" s="13" t="n">
        <v>-0.0510142038722608</v>
      </c>
      <c r="H229" s="14" t="n">
        <f aca="false">H228*(1+C229)</f>
        <v>3394.63589664981</v>
      </c>
      <c r="I229" s="14" t="n">
        <f aca="false">I228*(1+D229)</f>
        <v>3448.15343882628</v>
      </c>
      <c r="J229" s="14" t="n">
        <f aca="false">J228*(1+E229)</f>
        <v>3432.84335808525</v>
      </c>
      <c r="K229" s="14" t="n">
        <f aca="false">K228*(1+F229)</f>
        <v>2617.28226761083</v>
      </c>
      <c r="L229" s="14" t="n">
        <f aca="false">L228*(1+G229)</f>
        <v>3387.32215524632</v>
      </c>
      <c r="M229" s="14" t="n">
        <f aca="false">H229-H228</f>
        <v>-130.026881924719</v>
      </c>
      <c r="N229" s="14" t="n">
        <f aca="false">I229-I228</f>
        <v>-153.343171654699</v>
      </c>
      <c r="O229" s="14" t="n">
        <f aca="false">J229-J228</f>
        <v>-152.236356432299</v>
      </c>
      <c r="P229" s="14" t="n">
        <f aca="false">K229-K228</f>
        <v>-84.1915157323783</v>
      </c>
      <c r="Q229" s="14" t="n">
        <f aca="false">L229-L228</f>
        <v>-182.090758063887</v>
      </c>
    </row>
    <row r="230" customFormat="false" ht="15" hidden="false" customHeight="false" outlineLevel="0" collapsed="false">
      <c r="A230" s="11" t="n">
        <v>46251</v>
      </c>
      <c r="B230" s="12" t="s">
        <v>51</v>
      </c>
      <c r="C230" s="13" t="n">
        <v>0.00973476045058397</v>
      </c>
      <c r="D230" s="13" t="n">
        <v>0.0257556248835097</v>
      </c>
      <c r="E230" s="13" t="n">
        <v>0.0216915208007288</v>
      </c>
      <c r="F230" s="13" t="n">
        <v>0.000940535363257888</v>
      </c>
      <c r="G230" s="13" t="n">
        <v>0.0296896574179609</v>
      </c>
      <c r="H230" s="14" t="n">
        <f aca="false">H229*(1+C230)</f>
        <v>3427.68186392065</v>
      </c>
      <c r="I230" s="14" t="n">
        <f aca="false">I229*(1+D230)</f>
        <v>3536.96278533748</v>
      </c>
      <c r="J230" s="14" t="n">
        <f aca="false">J229*(1+E230)</f>
        <v>3507.3069511928</v>
      </c>
      <c r="K230" s="14" t="n">
        <f aca="false">K229*(1+F230)</f>
        <v>2619.74391413915</v>
      </c>
      <c r="L230" s="14" t="n">
        <f aca="false">L229*(1+G230)</f>
        <v>3487.89058959986</v>
      </c>
      <c r="M230" s="14" t="n">
        <f aca="false">H230-H229</f>
        <v>33.0459672708394</v>
      </c>
      <c r="N230" s="14" t="n">
        <f aca="false">I230-I229</f>
        <v>88.8093465111942</v>
      </c>
      <c r="O230" s="14" t="n">
        <f aca="false">J230-J229</f>
        <v>74.46359310755</v>
      </c>
      <c r="P230" s="14" t="n">
        <f aca="false">K230-K229</f>
        <v>2.46164652831567</v>
      </c>
      <c r="Q230" s="14" t="n">
        <f aca="false">L230-L229</f>
        <v>100.568434353532</v>
      </c>
    </row>
    <row r="231" customFormat="false" ht="15" hidden="false" customHeight="false" outlineLevel="0" collapsed="false">
      <c r="A231" s="11" t="n">
        <v>46252</v>
      </c>
      <c r="B231" s="12" t="s">
        <v>52</v>
      </c>
      <c r="C231" s="13" t="n">
        <v>-0.012860472811884</v>
      </c>
      <c r="D231" s="13" t="n">
        <v>0.000162341889420037</v>
      </c>
      <c r="E231" s="13" t="n">
        <v>-0.0107356807468822</v>
      </c>
      <c r="F231" s="13" t="n">
        <v>-0.00818062177231005</v>
      </c>
      <c r="G231" s="13" t="n">
        <v>-0.00654992164172602</v>
      </c>
      <c r="H231" s="14" t="n">
        <f aca="false">H230*(1+C231)</f>
        <v>3383.60025450191</v>
      </c>
      <c r="I231" s="14" t="n">
        <f aca="false">I230*(1+D231)</f>
        <v>3537.53698255886</v>
      </c>
      <c r="J231" s="14" t="n">
        <f aca="false">J230*(1+E231)</f>
        <v>3469.65362348347</v>
      </c>
      <c r="K231" s="14" t="n">
        <f aca="false">K230*(1+F231)</f>
        <v>2598.31278003726</v>
      </c>
      <c r="L231" s="14" t="n">
        <f aca="false">L230*(1+G231)</f>
        <v>3465.04517954306</v>
      </c>
      <c r="M231" s="14" t="n">
        <f aca="false">H231-H230</f>
        <v>-44.0816094187394</v>
      </c>
      <c r="N231" s="14" t="n">
        <f aca="false">I231-I230</f>
        <v>0.574197221380473</v>
      </c>
      <c r="O231" s="14" t="n">
        <f aca="false">J231-J230</f>
        <v>-37.6533277093263</v>
      </c>
      <c r="P231" s="14" t="n">
        <f aca="false">K231-K230</f>
        <v>-21.4311341018833</v>
      </c>
      <c r="Q231" s="14" t="n">
        <f aca="false">L231-L230</f>
        <v>-22.8454100567924</v>
      </c>
    </row>
    <row r="232" customFormat="false" ht="15" hidden="false" customHeight="false" outlineLevel="0" collapsed="false">
      <c r="A232" s="11" t="n">
        <v>46253</v>
      </c>
      <c r="B232" s="12" t="s">
        <v>53</v>
      </c>
      <c r="C232" s="13" t="n">
        <v>-0.0480350298234957</v>
      </c>
      <c r="D232" s="13" t="n">
        <v>-0.0553533973736314</v>
      </c>
      <c r="E232" s="13" t="n">
        <v>-0.0506012079130133</v>
      </c>
      <c r="F232" s="13" t="n">
        <v>-0.0276284887606319</v>
      </c>
      <c r="G232" s="13" t="n">
        <v>-0.0366623400253672</v>
      </c>
      <c r="H232" s="14" t="n">
        <f aca="false">H231*(1+C232)</f>
        <v>3221.06891536612</v>
      </c>
      <c r="I232" s="14" t="n">
        <f aca="false">I231*(1+D232)</f>
        <v>3341.72229223936</v>
      </c>
      <c r="J232" s="14" t="n">
        <f aca="false">J231*(1+E232)</f>
        <v>3294.08495909544</v>
      </c>
      <c r="K232" s="14" t="n">
        <f aca="false">K231*(1+F232)</f>
        <v>2526.5253245974</v>
      </c>
      <c r="L232" s="14" t="n">
        <f aca="false">L231*(1+G232)</f>
        <v>3338.0085149674</v>
      </c>
      <c r="M232" s="14" t="n">
        <f aca="false">H232-H231</f>
        <v>-162.531339135787</v>
      </c>
      <c r="N232" s="14" t="n">
        <f aca="false">I232-I231</f>
        <v>-195.814690319497</v>
      </c>
      <c r="O232" s="14" t="n">
        <f aca="false">J232-J231</f>
        <v>-175.568664388027</v>
      </c>
      <c r="P232" s="14" t="n">
        <f aca="false">K232-K231</f>
        <v>-71.7874554398659</v>
      </c>
      <c r="Q232" s="14" t="n">
        <f aca="false">L232-L231</f>
        <v>-127.036664575667</v>
      </c>
    </row>
    <row r="233" customFormat="false" ht="15" hidden="false" customHeight="false" outlineLevel="0" collapsed="false">
      <c r="A233" s="11" t="n">
        <v>46254</v>
      </c>
      <c r="B233" s="12" t="s">
        <v>47</v>
      </c>
      <c r="C233" s="13" t="n">
        <v>0.0447843331600576</v>
      </c>
      <c r="D233" s="13" t="n">
        <v>0.0524514223658925</v>
      </c>
      <c r="E233" s="13" t="n">
        <v>0.0427473932474466</v>
      </c>
      <c r="F233" s="13" t="n">
        <v>0.0694403191701166</v>
      </c>
      <c r="G233" s="13" t="n">
        <v>0.0451545784694616</v>
      </c>
      <c r="H233" s="14" t="n">
        <f aca="false">H232*(1+C233)</f>
        <v>3365.32233880338</v>
      </c>
      <c r="I233" s="14" t="n">
        <f aca="false">I232*(1+D233)</f>
        <v>3517.00037961913</v>
      </c>
      <c r="J233" s="14" t="n">
        <f aca="false">J232*(1+E233)</f>
        <v>3434.89850423239</v>
      </c>
      <c r="K233" s="14" t="n">
        <f aca="false">K232*(1+F233)</f>
        <v>2701.96804952882</v>
      </c>
      <c r="L233" s="14" t="n">
        <f aca="false">L232*(1+G233)</f>
        <v>3488.73488238822</v>
      </c>
      <c r="M233" s="14" t="n">
        <f aca="false">H233-H232</f>
        <v>144.253423437262</v>
      </c>
      <c r="N233" s="14" t="n">
        <f aca="false">I233-I232</f>
        <v>175.278087379765</v>
      </c>
      <c r="O233" s="14" t="n">
        <f aca="false">J233-J232</f>
        <v>140.813545136952</v>
      </c>
      <c r="P233" s="14" t="n">
        <f aca="false">K233-K232</f>
        <v>175.442724931426</v>
      </c>
      <c r="Q233" s="14" t="n">
        <f aca="false">L233-L232</f>
        <v>150.726367420826</v>
      </c>
    </row>
    <row r="234" customFormat="false" ht="15" hidden="false" customHeight="false" outlineLevel="0" collapsed="false">
      <c r="A234" s="11" t="n">
        <v>46255</v>
      </c>
      <c r="B234" s="12" t="s">
        <v>48</v>
      </c>
      <c r="C234" s="13" t="n">
        <v>-0.0179495300319296</v>
      </c>
      <c r="D234" s="13" t="n">
        <v>-0.0145966226366373</v>
      </c>
      <c r="E234" s="13" t="n">
        <v>-0.0172620810414054</v>
      </c>
      <c r="F234" s="13" t="n">
        <v>-0.0116285928861799</v>
      </c>
      <c r="G234" s="13" t="n">
        <v>-0.0185807913264992</v>
      </c>
      <c r="H234" s="14" t="n">
        <f aca="false">H233*(1+C234)</f>
        <v>3304.91638441591</v>
      </c>
      <c r="I234" s="14" t="n">
        <f aca="false">I233*(1+D234)</f>
        <v>3465.66405226492</v>
      </c>
      <c r="J234" s="14" t="n">
        <f aca="false">J233*(1+E234)</f>
        <v>3375.60500788333</v>
      </c>
      <c r="K234" s="14" t="n">
        <f aca="false">K233*(1+F234)</f>
        <v>2670.54796308939</v>
      </c>
      <c r="L234" s="14" t="n">
        <f aca="false">L233*(1+G234)</f>
        <v>3423.91142754509</v>
      </c>
      <c r="M234" s="14" t="n">
        <f aca="false">H234-H233</f>
        <v>-60.4059543874746</v>
      </c>
      <c r="N234" s="14" t="n">
        <f aca="false">I234-I233</f>
        <v>-51.3363273542104</v>
      </c>
      <c r="O234" s="14" t="n">
        <f aca="false">J234-J233</f>
        <v>-59.2934963490616</v>
      </c>
      <c r="P234" s="14" t="n">
        <f aca="false">K234-K233</f>
        <v>-31.4200864394361</v>
      </c>
      <c r="Q234" s="14" t="n">
        <f aca="false">L234-L233</f>
        <v>-64.8234548431342</v>
      </c>
    </row>
    <row r="235" customFormat="false" ht="15" hidden="false" customHeight="false" outlineLevel="0" collapsed="false">
      <c r="A235" s="11" t="n">
        <v>46256</v>
      </c>
      <c r="B235" s="12" t="s">
        <v>49</v>
      </c>
      <c r="C235" s="13" t="n">
        <v>0.0233871561944539</v>
      </c>
      <c r="D235" s="13" t="n">
        <v>0.0293999796881324</v>
      </c>
      <c r="E235" s="13" t="n">
        <v>0.0314094310199393</v>
      </c>
      <c r="F235" s="13" t="n">
        <v>0.0237118435148186</v>
      </c>
      <c r="G235" s="13" t="n">
        <v>0.0378679368708424</v>
      </c>
      <c r="H235" s="14" t="n">
        <f aca="false">H234*(1+C235)</f>
        <v>3382.20898010785</v>
      </c>
      <c r="I235" s="14" t="n">
        <f aca="false">I234*(1+D235)</f>
        <v>3567.55450500739</v>
      </c>
      <c r="J235" s="14" t="n">
        <f aca="false">J234*(1+E235)</f>
        <v>3481.63084052901</v>
      </c>
      <c r="K235" s="14" t="n">
        <f aca="false">K234*(1+F235)</f>
        <v>2733.87157848898</v>
      </c>
      <c r="L235" s="14" t="n">
        <f aca="false">L234*(1+G235)</f>
        <v>3553.56788933472</v>
      </c>
      <c r="M235" s="14" t="n">
        <f aca="false">H235-H234</f>
        <v>77.2925956919444</v>
      </c>
      <c r="N235" s="14" t="n">
        <f aca="false">I235-I234</f>
        <v>101.890452742479</v>
      </c>
      <c r="O235" s="14" t="n">
        <f aca="false">J235-J234</f>
        <v>106.025832645673</v>
      </c>
      <c r="P235" s="14" t="n">
        <f aca="false">K235-K234</f>
        <v>63.3236153995936</v>
      </c>
      <c r="Q235" s="14" t="n">
        <f aca="false">L235-L234</f>
        <v>129.656461789633</v>
      </c>
    </row>
    <row r="236" customFormat="false" ht="15" hidden="false" customHeight="false" outlineLevel="0" collapsed="false">
      <c r="A236" s="11" t="n">
        <v>46257</v>
      </c>
      <c r="B236" s="12" t="s">
        <v>50</v>
      </c>
      <c r="C236" s="13" t="n">
        <v>0.00700365436812966</v>
      </c>
      <c r="D236" s="13" t="n">
        <v>0.0150768965775846</v>
      </c>
      <c r="E236" s="13" t="n">
        <v>0.0149277953781285</v>
      </c>
      <c r="F236" s="13" t="n">
        <v>0.00344690255698144</v>
      </c>
      <c r="G236" s="13" t="n">
        <v>0.018800854947623</v>
      </c>
      <c r="H236" s="14" t="n">
        <f aca="false">H235*(1+C236)</f>
        <v>3405.89680280531</v>
      </c>
      <c r="I236" s="14" t="n">
        <f aca="false">I235*(1+D236)</f>
        <v>3621.34215531429</v>
      </c>
      <c r="J236" s="14" t="n">
        <f aca="false">J235*(1+E236)</f>
        <v>3533.6039132986</v>
      </c>
      <c r="K236" s="14" t="n">
        <f aca="false">K235*(1+F236)</f>
        <v>2743.29496742333</v>
      </c>
      <c r="L236" s="14" t="n">
        <f aca="false">L235*(1+G236)</f>
        <v>3620.37800376864</v>
      </c>
      <c r="M236" s="14" t="n">
        <f aca="false">H236-H235</f>
        <v>23.6878226974595</v>
      </c>
      <c r="N236" s="14" t="n">
        <f aca="false">I236-I235</f>
        <v>53.7876503068928</v>
      </c>
      <c r="O236" s="14" t="n">
        <f aca="false">J236-J235</f>
        <v>51.9730727695983</v>
      </c>
      <c r="P236" s="14" t="n">
        <f aca="false">K236-K235</f>
        <v>9.42338893435272</v>
      </c>
      <c r="Q236" s="14" t="n">
        <f aca="false">L236-L235</f>
        <v>66.810114433913</v>
      </c>
    </row>
    <row r="237" customFormat="false" ht="15" hidden="false" customHeight="false" outlineLevel="0" collapsed="false">
      <c r="A237" s="11" t="n">
        <v>46258</v>
      </c>
      <c r="B237" s="12" t="s">
        <v>51</v>
      </c>
      <c r="C237" s="13" t="n">
        <v>-0.0011169270280742</v>
      </c>
      <c r="D237" s="13" t="n">
        <v>0.00476394233211609</v>
      </c>
      <c r="E237" s="13" t="n">
        <v>0.00424301140024666</v>
      </c>
      <c r="F237" s="13" t="n">
        <v>0.0047858361311437</v>
      </c>
      <c r="G237" s="13" t="n">
        <v>0.00566324130884577</v>
      </c>
      <c r="H237" s="14" t="n">
        <f aca="false">H236*(1+C237)</f>
        <v>3402.09266461143</v>
      </c>
      <c r="I237" s="14" t="n">
        <f aca="false">I236*(1+D237)</f>
        <v>3638.59402050707</v>
      </c>
      <c r="J237" s="14" t="n">
        <f aca="false">J236*(1+E237)</f>
        <v>3548.59703498669</v>
      </c>
      <c r="K237" s="14" t="n">
        <f aca="false">K236*(1+F237)</f>
        <v>2756.42392759681</v>
      </c>
      <c r="L237" s="14" t="n">
        <f aca="false">L236*(1+G237)</f>
        <v>3640.88107803321</v>
      </c>
      <c r="M237" s="14" t="n">
        <f aca="false">H237-H236</f>
        <v>-3.80413819388468</v>
      </c>
      <c r="N237" s="14" t="n">
        <f aca="false">I237-I236</f>
        <v>17.2518651927785</v>
      </c>
      <c r="O237" s="14" t="n">
        <f aca="false">J237-J236</f>
        <v>14.9931216880823</v>
      </c>
      <c r="P237" s="14" t="n">
        <f aca="false">K237-K236</f>
        <v>13.1289601734793</v>
      </c>
      <c r="Q237" s="14" t="n">
        <f aca="false">L237-L236</f>
        <v>20.503074264579</v>
      </c>
    </row>
    <row r="238" customFormat="false" ht="15" hidden="false" customHeight="false" outlineLevel="0" collapsed="false">
      <c r="A238" s="11" t="n">
        <v>46259</v>
      </c>
      <c r="B238" s="12" t="s">
        <v>52</v>
      </c>
      <c r="C238" s="13" t="n">
        <v>0.0152984290163403</v>
      </c>
      <c r="D238" s="13" t="n">
        <v>0.023485323443664</v>
      </c>
      <c r="E238" s="13" t="n">
        <v>0.023317426730907</v>
      </c>
      <c r="F238" s="13" t="n">
        <v>0.0185428480399964</v>
      </c>
      <c r="G238" s="13" t="n">
        <v>0.0287620866757862</v>
      </c>
      <c r="H238" s="14" t="n">
        <f aca="false">H237*(1+C238)</f>
        <v>3454.139337748</v>
      </c>
      <c r="I238" s="14" t="n">
        <f aca="false">I237*(1+D238)</f>
        <v>3724.04757795886</v>
      </c>
      <c r="J238" s="14" t="n">
        <f aca="false">J237*(1+E238)</f>
        <v>3631.3411863475</v>
      </c>
      <c r="K238" s="14" t="n">
        <f aca="false">K237*(1+F238)</f>
        <v>2807.53587762005</v>
      </c>
      <c r="L238" s="14" t="n">
        <f aca="false">L237*(1+G238)</f>
        <v>3745.60041517583</v>
      </c>
      <c r="M238" s="14" t="n">
        <f aca="false">H238-H237</f>
        <v>52.04667313657</v>
      </c>
      <c r="N238" s="14" t="n">
        <f aca="false">I238-I237</f>
        <v>85.4535574517904</v>
      </c>
      <c r="O238" s="14" t="n">
        <f aca="false">J238-J237</f>
        <v>82.7441513608155</v>
      </c>
      <c r="P238" s="14" t="n">
        <f aca="false">K238-K237</f>
        <v>51.111950023238</v>
      </c>
      <c r="Q238" s="14" t="n">
        <f aca="false">L238-L237</f>
        <v>104.719337142621</v>
      </c>
    </row>
    <row r="239" customFormat="false" ht="15" hidden="false" customHeight="false" outlineLevel="0" collapsed="false">
      <c r="A239" s="11" t="n">
        <v>46260</v>
      </c>
      <c r="B239" s="12" t="s">
        <v>53</v>
      </c>
      <c r="C239" s="13" t="n">
        <v>0.0263899012958605</v>
      </c>
      <c r="D239" s="13" t="n">
        <v>0.0247243495048364</v>
      </c>
      <c r="E239" s="13" t="n">
        <v>0.0240098955067112</v>
      </c>
      <c r="F239" s="13" t="n">
        <v>0.0262670100677822</v>
      </c>
      <c r="G239" s="13" t="n">
        <v>0.0285707817598675</v>
      </c>
      <c r="H239" s="14" t="n">
        <f aca="false">H238*(1+C239)</f>
        <v>3545.29373393332</v>
      </c>
      <c r="I239" s="14" t="n">
        <f aca="false">I238*(1+D239)</f>
        <v>3816.12223184895</v>
      </c>
      <c r="J239" s="14" t="n">
        <f aca="false">J238*(1+E239)</f>
        <v>3718.52930878092</v>
      </c>
      <c r="K239" s="14" t="n">
        <f aca="false">K238*(1+F239)</f>
        <v>2881.28145078316</v>
      </c>
      <c r="L239" s="14" t="n">
        <f aca="false">L238*(1+G239)</f>
        <v>3852.61514719749</v>
      </c>
      <c r="M239" s="14" t="n">
        <f aca="false">H239-H238</f>
        <v>91.154396185319</v>
      </c>
      <c r="N239" s="14" t="n">
        <f aca="false">I239-I238</f>
        <v>92.0746538900939</v>
      </c>
      <c r="O239" s="14" t="n">
        <f aca="false">J239-J238</f>
        <v>87.1881224334202</v>
      </c>
      <c r="P239" s="14" t="n">
        <f aca="false">K239-K238</f>
        <v>73.7455731631058</v>
      </c>
      <c r="Q239" s="14" t="n">
        <f aca="false">L239-L238</f>
        <v>107.014732021658</v>
      </c>
    </row>
    <row r="240" customFormat="false" ht="15" hidden="false" customHeight="false" outlineLevel="0" collapsed="false">
      <c r="A240" s="11" t="n">
        <v>46261</v>
      </c>
      <c r="B240" s="12" t="s">
        <v>47</v>
      </c>
      <c r="C240" s="13" t="n">
        <v>-0.000697215508144666</v>
      </c>
      <c r="D240" s="13" t="n">
        <v>0.00184901393876939</v>
      </c>
      <c r="E240" s="13" t="n">
        <v>0.00207219842560063</v>
      </c>
      <c r="F240" s="13" t="n">
        <v>0.000458323069413402</v>
      </c>
      <c r="G240" s="13" t="n">
        <v>0.00249212948482069</v>
      </c>
      <c r="H240" s="14" t="n">
        <f aca="false">H239*(1+C240)</f>
        <v>3542.82190016109</v>
      </c>
      <c r="I240" s="14" t="n">
        <f aca="false">I239*(1+D240)</f>
        <v>3823.17829504769</v>
      </c>
      <c r="J240" s="14" t="n">
        <f aca="false">J239*(1+E240)</f>
        <v>3726.23483936013</v>
      </c>
      <c r="K240" s="14" t="n">
        <f aca="false">K239*(1+F240)</f>
        <v>2882.60200854152</v>
      </c>
      <c r="L240" s="14" t="n">
        <f aca="false">L239*(1+G240)</f>
        <v>3862.21636299949</v>
      </c>
      <c r="M240" s="14" t="n">
        <f aca="false">H240-H239</f>
        <v>-2.47183377222609</v>
      </c>
      <c r="N240" s="14" t="n">
        <f aca="false">I240-I239</f>
        <v>7.05606319873687</v>
      </c>
      <c r="O240" s="14" t="n">
        <f aca="false">J240-J239</f>
        <v>7.70553057920597</v>
      </c>
      <c r="P240" s="14" t="n">
        <f aca="false">K240-K239</f>
        <v>1.32055775836716</v>
      </c>
      <c r="Q240" s="14" t="n">
        <f aca="false">L240-L239</f>
        <v>9.60121580199802</v>
      </c>
    </row>
    <row r="241" customFormat="false" ht="15" hidden="false" customHeight="false" outlineLevel="0" collapsed="false">
      <c r="A241" s="11" t="n">
        <v>46262</v>
      </c>
      <c r="B241" s="12" t="s">
        <v>48</v>
      </c>
      <c r="C241" s="13" t="n">
        <v>0.00881384753428383</v>
      </c>
      <c r="D241" s="13" t="n">
        <v>0.00922667595289877</v>
      </c>
      <c r="E241" s="13" t="n">
        <v>0.0105068770628767</v>
      </c>
      <c r="F241" s="13" t="n">
        <v>0.00605052164095365</v>
      </c>
      <c r="G241" s="13" t="n">
        <v>0.0121011742914164</v>
      </c>
      <c r="H241" s="14" t="n">
        <f aca="false">H240*(1+C241)</f>
        <v>3574.04779223023</v>
      </c>
      <c r="I241" s="14" t="n">
        <f aca="false">I240*(1+D241)</f>
        <v>3858.45352228625</v>
      </c>
      <c r="J241" s="14" t="n">
        <f aca="false">J240*(1+E241)</f>
        <v>3765.38593072469</v>
      </c>
      <c r="K241" s="14" t="n">
        <f aca="false">K240*(1+F241)</f>
        <v>2900.04325437646</v>
      </c>
      <c r="L241" s="14" t="n">
        <f aca="false">L240*(1+G241)</f>
        <v>3908.95371635931</v>
      </c>
      <c r="M241" s="14" t="n">
        <f aca="false">H241-H240</f>
        <v>31.2258920691415</v>
      </c>
      <c r="N241" s="14" t="n">
        <f aca="false">I241-I240</f>
        <v>35.275227238561</v>
      </c>
      <c r="O241" s="14" t="n">
        <f aca="false">J241-J240</f>
        <v>39.1510913645648</v>
      </c>
      <c r="P241" s="14" t="n">
        <f aca="false">K241-K240</f>
        <v>17.441245834937</v>
      </c>
      <c r="Q241" s="14" t="n">
        <f aca="false">L241-L240</f>
        <v>46.7373533598179</v>
      </c>
    </row>
    <row r="242" customFormat="false" ht="15" hidden="false" customHeight="false" outlineLevel="0" collapsed="false">
      <c r="A242" s="11" t="n">
        <v>46263</v>
      </c>
      <c r="B242" s="12" t="s">
        <v>49</v>
      </c>
      <c r="C242" s="13" t="n">
        <v>0.0350159240852372</v>
      </c>
      <c r="D242" s="13" t="n">
        <v>0.0276243465418453</v>
      </c>
      <c r="E242" s="13" t="n">
        <v>0.0279077969867192</v>
      </c>
      <c r="F242" s="13" t="n">
        <v>0.0353605411145497</v>
      </c>
      <c r="G242" s="13" t="n">
        <v>0.0341112354282569</v>
      </c>
      <c r="H242" s="14" t="n">
        <f aca="false">H241*(1+C242)</f>
        <v>3699.19637839997</v>
      </c>
      <c r="I242" s="14" t="n">
        <f aca="false">I241*(1+D242)</f>
        <v>3965.04077950149</v>
      </c>
      <c r="J242" s="14" t="n">
        <f aca="false">J241*(1+E242)</f>
        <v>3870.46955685601</v>
      </c>
      <c r="K242" s="14" t="n">
        <f aca="false">K241*(1+F242)</f>
        <v>3002.59035310681</v>
      </c>
      <c r="L242" s="14" t="n">
        <f aca="false">L241*(1+G242)</f>
        <v>4042.2929568562</v>
      </c>
      <c r="M242" s="14" t="n">
        <f aca="false">H242-H241</f>
        <v>125.148586169743</v>
      </c>
      <c r="N242" s="14" t="n">
        <f aca="false">I242-I241</f>
        <v>106.587257215239</v>
      </c>
      <c r="O242" s="14" t="n">
        <f aca="false">J242-J241</f>
        <v>105.083626131313</v>
      </c>
      <c r="P242" s="14" t="n">
        <f aca="false">K242-K241</f>
        <v>102.547098730351</v>
      </c>
      <c r="Q242" s="14" t="n">
        <f aca="false">L242-L241</f>
        <v>133.339240496892</v>
      </c>
    </row>
    <row r="243" customFormat="false" ht="15" hidden="false" customHeight="false" outlineLevel="0" collapsed="false">
      <c r="A243" s="11" t="n">
        <v>46264</v>
      </c>
      <c r="B243" s="12" t="s">
        <v>50</v>
      </c>
      <c r="C243" s="13" t="n">
        <v>0.00926253448403147</v>
      </c>
      <c r="D243" s="13" t="n">
        <v>0.00767334701550515</v>
      </c>
      <c r="E243" s="13" t="n">
        <v>0.00769563237136431</v>
      </c>
      <c r="F243" s="13" t="n">
        <v>0.00683452599901802</v>
      </c>
      <c r="G243" s="13" t="n">
        <v>0.00978111255509917</v>
      </c>
      <c r="H243" s="14" t="n">
        <f aca="false">H242*(1+C243)</f>
        <v>3733.46031241811</v>
      </c>
      <c r="I243" s="14" t="n">
        <f aca="false">I242*(1+D243)</f>
        <v>3995.46591333323</v>
      </c>
      <c r="J243" s="14" t="n">
        <f aca="false">J242*(1+E243)</f>
        <v>3900.25526767013</v>
      </c>
      <c r="K243" s="14" t="n">
        <f aca="false">K242*(1+F243)</f>
        <v>3023.11163493952</v>
      </c>
      <c r="L243" s="14" t="n">
        <f aca="false">L242*(1+G243)</f>
        <v>4081.8310792479</v>
      </c>
      <c r="M243" s="14" t="n">
        <f aca="false">H243-H242</f>
        <v>34.2639340181336</v>
      </c>
      <c r="N243" s="14" t="n">
        <f aca="false">I243-I242</f>
        <v>30.4251338317436</v>
      </c>
      <c r="O243" s="14" t="n">
        <f aca="false">J243-J242</f>
        <v>29.7857108141216</v>
      </c>
      <c r="P243" s="14" t="n">
        <f aca="false">K243-K242</f>
        <v>20.5212818327095</v>
      </c>
      <c r="Q243" s="14" t="n">
        <f aca="false">L243-L242</f>
        <v>39.5381223916957</v>
      </c>
    </row>
    <row r="244" customFormat="false" ht="15" hidden="false" customHeight="false" outlineLevel="0" collapsed="false">
      <c r="A244" s="11" t="n">
        <v>46265</v>
      </c>
      <c r="B244" s="12" t="s">
        <v>51</v>
      </c>
      <c r="C244" s="13" t="n">
        <v>-0.00563066223757175</v>
      </c>
      <c r="D244" s="13" t="n">
        <v>-0.00552933340276325</v>
      </c>
      <c r="E244" s="13" t="n">
        <v>-0.00552839968228448</v>
      </c>
      <c r="F244" s="13" t="n">
        <v>-0.00794647660060427</v>
      </c>
      <c r="G244" s="13" t="n">
        <v>-0.00694727273321438</v>
      </c>
      <c r="H244" s="14" t="n">
        <f aca="false">H243*(1+C244)</f>
        <v>3712.4384584215</v>
      </c>
      <c r="I244" s="14" t="n">
        <f aca="false">I243*(1+D244)</f>
        <v>3973.37365019903</v>
      </c>
      <c r="J244" s="14" t="n">
        <f aca="false">J243*(1+E244)</f>
        <v>3878.69309768751</v>
      </c>
      <c r="K244" s="14" t="n">
        <f aca="false">K243*(1+F244)</f>
        <v>2999.08854907146</v>
      </c>
      <c r="L244" s="14" t="n">
        <f aca="false">L243*(1+G244)</f>
        <v>4053.47348548945</v>
      </c>
      <c r="M244" s="14" t="n">
        <f aca="false">H244-H243</f>
        <v>-21.0218539966058</v>
      </c>
      <c r="N244" s="14" t="n">
        <f aca="false">I244-I243</f>
        <v>-22.0922631341955</v>
      </c>
      <c r="O244" s="14" t="n">
        <f aca="false">J244-J243</f>
        <v>-21.5621699826161</v>
      </c>
      <c r="P244" s="14" t="n">
        <f aca="false">K244-K243</f>
        <v>-24.0230858680616</v>
      </c>
      <c r="Q244" s="14" t="n">
        <f aca="false">L244-L243</f>
        <v>-28.357593758446</v>
      </c>
    </row>
    <row r="245" customFormat="false" ht="15" hidden="false" customHeight="false" outlineLevel="0" collapsed="false">
      <c r="A245" s="11" t="n">
        <v>46266</v>
      </c>
      <c r="B245" s="12" t="s">
        <v>52</v>
      </c>
      <c r="C245" s="13" t="n">
        <v>-0.0125624135557185</v>
      </c>
      <c r="D245" s="13" t="n">
        <v>-0.00885747125310956</v>
      </c>
      <c r="E245" s="13" t="n">
        <v>-0.00885742619122121</v>
      </c>
      <c r="F245" s="13" t="n">
        <v>-0.00934721984477838</v>
      </c>
      <c r="G245" s="13" t="n">
        <v>-0.0106392334980796</v>
      </c>
      <c r="H245" s="14" t="n">
        <f aca="false">H244*(1+C245)</f>
        <v>3665.80127120666</v>
      </c>
      <c r="I245" s="14" t="n">
        <f aca="false">I244*(1+D245)</f>
        <v>3938.17960731453</v>
      </c>
      <c r="J245" s="14" t="n">
        <f aca="false">J244*(1+E245)</f>
        <v>3844.33785985635</v>
      </c>
      <c r="K245" s="14" t="n">
        <f aca="false">K244*(1+F245)</f>
        <v>2971.05540906933</v>
      </c>
      <c r="L245" s="14" t="n">
        <f aca="false">L244*(1+G245)</f>
        <v>4010.34763459905</v>
      </c>
      <c r="M245" s="14" t="n">
        <f aca="false">H245-H244</f>
        <v>-46.6371872148452</v>
      </c>
      <c r="N245" s="14" t="n">
        <f aca="false">I245-I244</f>
        <v>-35.194042884501</v>
      </c>
      <c r="O245" s="14" t="n">
        <f aca="false">J245-J244</f>
        <v>-34.3552378311665</v>
      </c>
      <c r="P245" s="14" t="n">
        <f aca="false">K245-K244</f>
        <v>-28.0331400021282</v>
      </c>
      <c r="Q245" s="14" t="n">
        <f aca="false">L245-L244</f>
        <v>-43.125850890397</v>
      </c>
    </row>
    <row r="246" customFormat="false" ht="15" hidden="false" customHeight="false" outlineLevel="0" collapsed="false">
      <c r="A246" s="11" t="n">
        <v>46267</v>
      </c>
      <c r="B246" s="12" t="s">
        <v>53</v>
      </c>
      <c r="C246" s="13" t="n">
        <v>-0.0143203153004259</v>
      </c>
      <c r="D246" s="13" t="n">
        <v>-0.010193158451795</v>
      </c>
      <c r="E246" s="13" t="n">
        <v>-0.0101931619497106</v>
      </c>
      <c r="F246" s="13" t="n">
        <v>-0.00809999452441174</v>
      </c>
      <c r="G246" s="13" t="n">
        <v>-0.0126022765675873</v>
      </c>
      <c r="H246" s="14" t="n">
        <f aca="false">H245*(1+C246)</f>
        <v>3613.30584117428</v>
      </c>
      <c r="I246" s="14" t="n">
        <f aca="false">I245*(1+D246)</f>
        <v>3898.03711856555</v>
      </c>
      <c r="J246" s="14" t="n">
        <f aca="false">J245*(1+E246)</f>
        <v>3805.15190146143</v>
      </c>
      <c r="K246" s="14" t="n">
        <f aca="false">K245*(1+F246)</f>
        <v>2946.98987652414</v>
      </c>
      <c r="L246" s="14" t="n">
        <f aca="false">L245*(1+G246)</f>
        <v>3959.80812457567</v>
      </c>
      <c r="M246" s="14" t="n">
        <f aca="false">H246-H245</f>
        <v>-52.4954300323811</v>
      </c>
      <c r="N246" s="14" t="n">
        <f aca="false">I246-I245</f>
        <v>-40.1424887489843</v>
      </c>
      <c r="O246" s="14" t="n">
        <f aca="false">J246-J245</f>
        <v>-39.1859583949195</v>
      </c>
      <c r="P246" s="14" t="n">
        <f aca="false">K246-K245</f>
        <v>-24.0655325451858</v>
      </c>
      <c r="Q246" s="14" t="n">
        <f aca="false">L246-L245</f>
        <v>-50.5395100233868</v>
      </c>
    </row>
    <row r="247" customFormat="false" ht="15" hidden="false" customHeight="false" outlineLevel="0" collapsed="false">
      <c r="A247" s="11" t="n">
        <v>46268</v>
      </c>
      <c r="B247" s="12" t="s">
        <v>47</v>
      </c>
      <c r="C247" s="13" t="n">
        <v>0.0107046860578489</v>
      </c>
      <c r="D247" s="13" t="n">
        <v>0.00666057284537491</v>
      </c>
      <c r="E247" s="13" t="n">
        <v>0.00666058628342286</v>
      </c>
      <c r="F247" s="13" t="n">
        <v>0.00632641541654844</v>
      </c>
      <c r="G247" s="13" t="n">
        <v>0.00525517488997551</v>
      </c>
      <c r="H247" s="14" t="n">
        <f aca="false">H246*(1+C247)</f>
        <v>3651.98514583504</v>
      </c>
      <c r="I247" s="14" t="n">
        <f aca="false">I246*(1+D247)</f>
        <v>3924.00027874773</v>
      </c>
      <c r="J247" s="14" t="n">
        <f aca="false">J246*(1+E247)</f>
        <v>3830.49644402264</v>
      </c>
      <c r="K247" s="14" t="n">
        <f aca="false">K246*(1+F247)</f>
        <v>2965.6337587114</v>
      </c>
      <c r="L247" s="14" t="n">
        <f aca="false">L246*(1+G247)</f>
        <v>3980.61760880106</v>
      </c>
      <c r="M247" s="14" t="n">
        <f aca="false">H247-H246</f>
        <v>38.6793046607618</v>
      </c>
      <c r="N247" s="14" t="n">
        <f aca="false">I247-I246</f>
        <v>25.9631601821807</v>
      </c>
      <c r="O247" s="14" t="n">
        <f aca="false">J247-J246</f>
        <v>25.344542561214</v>
      </c>
      <c r="P247" s="14" t="n">
        <f aca="false">K247-K246</f>
        <v>18.6438821872548</v>
      </c>
      <c r="Q247" s="14" t="n">
        <f aca="false">L247-L246</f>
        <v>20.8094842253904</v>
      </c>
    </row>
    <row r="248" customFormat="false" ht="15" hidden="false" customHeight="false" outlineLevel="0" collapsed="false">
      <c r="A248" s="11" t="n">
        <v>46269</v>
      </c>
      <c r="B248" s="12" t="s">
        <v>48</v>
      </c>
      <c r="C248" s="13" t="n">
        <v>0.0166006729136908</v>
      </c>
      <c r="D248" s="13" t="n">
        <v>0.00992267103382458</v>
      </c>
      <c r="E248" s="13" t="n">
        <v>0.00992266432170154</v>
      </c>
      <c r="F248" s="13" t="n">
        <v>0.0109465431864801</v>
      </c>
      <c r="G248" s="13" t="n">
        <v>0.0138759526738802</v>
      </c>
      <c r="H248" s="14" t="n">
        <f aca="false">H247*(1+C248)</f>
        <v>3712.6105567267</v>
      </c>
      <c r="I248" s="14" t="n">
        <f aca="false">I247*(1+D248)</f>
        <v>3962.93684265038</v>
      </c>
      <c r="J248" s="14" t="n">
        <f aca="false">J247*(1+E248)</f>
        <v>3868.50517442215</v>
      </c>
      <c r="K248" s="14" t="n">
        <f aca="false">K247*(1+F248)</f>
        <v>2998.09719672642</v>
      </c>
      <c r="L248" s="14" t="n">
        <f aca="false">L247*(1+G248)</f>
        <v>4035.8524703536</v>
      </c>
      <c r="M248" s="14" t="n">
        <f aca="false">H248-H247</f>
        <v>60.6254108916655</v>
      </c>
      <c r="N248" s="14" t="n">
        <f aca="false">I248-I247</f>
        <v>38.9365639026491</v>
      </c>
      <c r="O248" s="14" t="n">
        <f aca="false">J248-J247</f>
        <v>38.0087303995083</v>
      </c>
      <c r="P248" s="14" t="n">
        <f aca="false">K248-K247</f>
        <v>32.4634380150178</v>
      </c>
      <c r="Q248" s="14" t="n">
        <f aca="false">L248-L247</f>
        <v>55.234861552538</v>
      </c>
    </row>
    <row r="249" customFormat="false" ht="15" hidden="false" customHeight="false" outlineLevel="0" collapsed="false">
      <c r="A249" s="11" t="n">
        <v>46270</v>
      </c>
      <c r="B249" s="12" t="s">
        <v>49</v>
      </c>
      <c r="C249" s="13" t="n">
        <v>-0.00308266019786752</v>
      </c>
      <c r="D249" s="13" t="n">
        <v>-0.00408878982577804</v>
      </c>
      <c r="E249" s="13" t="n">
        <v>-0.00408878982125047</v>
      </c>
      <c r="F249" s="13" t="n">
        <v>-0.014656615994686</v>
      </c>
      <c r="G249" s="13" t="n">
        <v>-0.0065796325137743</v>
      </c>
      <c r="H249" s="14" t="n">
        <f aca="false">H248*(1+C249)</f>
        <v>3701.1658399333</v>
      </c>
      <c r="I249" s="14" t="n">
        <f aca="false">I248*(1+D249)</f>
        <v>3946.73322680795</v>
      </c>
      <c r="J249" s="14" t="n">
        <f aca="false">J248*(1+E249)</f>
        <v>3852.68766984152</v>
      </c>
      <c r="K249" s="14" t="n">
        <f aca="false">K248*(1+F249)</f>
        <v>2954.15523739925</v>
      </c>
      <c r="L249" s="14" t="n">
        <f aca="false">L248*(1+G249)</f>
        <v>4009.29804421886</v>
      </c>
      <c r="M249" s="14" t="n">
        <f aca="false">H249-H248</f>
        <v>-11.444716793404</v>
      </c>
      <c r="N249" s="14" t="n">
        <f aca="false">I249-I248</f>
        <v>-16.2036158424298</v>
      </c>
      <c r="O249" s="14" t="n">
        <f aca="false">J249-J248</f>
        <v>-15.817504580632</v>
      </c>
      <c r="P249" s="14" t="n">
        <f aca="false">K249-K248</f>
        <v>-43.9419593271637</v>
      </c>
      <c r="Q249" s="14" t="n">
        <f aca="false">L249-L248</f>
        <v>-26.554426134735</v>
      </c>
    </row>
    <row r="250" customFormat="false" ht="15" hidden="false" customHeight="false" outlineLevel="0" collapsed="false">
      <c r="A250" s="11" t="n">
        <v>46271</v>
      </c>
      <c r="B250" s="12" t="s">
        <v>50</v>
      </c>
      <c r="C250" s="13" t="n">
        <v>0.0129057496797209</v>
      </c>
      <c r="D250" s="13" t="n">
        <v>0.00908407289999067</v>
      </c>
      <c r="E250" s="13" t="n">
        <v>0.00908407290188435</v>
      </c>
      <c r="F250" s="13" t="n">
        <v>0.0123885922658085</v>
      </c>
      <c r="G250" s="13" t="n">
        <v>0.0111823735090597</v>
      </c>
      <c r="H250" s="14" t="n">
        <f aca="false">H249*(1+C250)</f>
        <v>3748.93215978661</v>
      </c>
      <c r="I250" s="14" t="n">
        <f aca="false">I249*(1+D250)</f>
        <v>3982.58563915709</v>
      </c>
      <c r="J250" s="14" t="n">
        <f aca="false">J249*(1+E250)</f>
        <v>3887.68576550255</v>
      </c>
      <c r="K250" s="14" t="n">
        <f aca="false">K249*(1+F250)</f>
        <v>2990.7530621253</v>
      </c>
      <c r="L250" s="14" t="n">
        <f aca="false">L249*(1+G250)</f>
        <v>4054.13151245846</v>
      </c>
      <c r="M250" s="14" t="n">
        <f aca="false">H250-H249</f>
        <v>47.7663198533132</v>
      </c>
      <c r="N250" s="14" t="n">
        <f aca="false">I250-I249</f>
        <v>35.8524123491384</v>
      </c>
      <c r="O250" s="14" t="n">
        <f aca="false">J250-J249</f>
        <v>34.9980956610316</v>
      </c>
      <c r="P250" s="14" t="n">
        <f aca="false">K250-K249</f>
        <v>36.5978247260418</v>
      </c>
      <c r="Q250" s="14" t="n">
        <f aca="false">L250-L249</f>
        <v>44.833468239598</v>
      </c>
    </row>
    <row r="251" customFormat="false" ht="15" hidden="false" customHeight="false" outlineLevel="0" collapsed="false">
      <c r="A251" s="11" t="n">
        <v>46272</v>
      </c>
      <c r="B251" s="12" t="s">
        <v>51</v>
      </c>
      <c r="C251" s="13" t="n">
        <v>0.0119398572890941</v>
      </c>
      <c r="D251" s="13" t="n">
        <v>0.00938416575372452</v>
      </c>
      <c r="E251" s="13" t="n">
        <v>0.00938416575518615</v>
      </c>
      <c r="F251" s="13" t="n">
        <v>0.0102021396177138</v>
      </c>
      <c r="G251" s="13" t="n">
        <v>0.0116803517406308</v>
      </c>
      <c r="H251" s="14" t="n">
        <f aca="false">H250*(1+C251)</f>
        <v>3793.69387476096</v>
      </c>
      <c r="I251" s="14" t="n">
        <f aca="false">I250*(1+D251)</f>
        <v>4019.95888292334</v>
      </c>
      <c r="J251" s="14" t="n">
        <f aca="false">J250*(1+E251)</f>
        <v>3924.1684531301</v>
      </c>
      <c r="K251" s="14" t="n">
        <f aca="false">K250*(1+F251)</f>
        <v>3021.2651424272</v>
      </c>
      <c r="L251" s="14" t="n">
        <f aca="false">L250*(1+G251)</f>
        <v>4101.48519452675</v>
      </c>
      <c r="M251" s="14" t="n">
        <f aca="false">H251-H250</f>
        <v>44.7617149743473</v>
      </c>
      <c r="N251" s="14" t="n">
        <f aca="false">I251-I250</f>
        <v>37.3732437662534</v>
      </c>
      <c r="O251" s="14" t="n">
        <f aca="false">J251-J250</f>
        <v>36.4826876275533</v>
      </c>
      <c r="P251" s="14" t="n">
        <f aca="false">K251-K250</f>
        <v>30.5120803019076</v>
      </c>
      <c r="Q251" s="14" t="n">
        <f aca="false">L251-L250</f>
        <v>47.3536820682903</v>
      </c>
    </row>
    <row r="252" customFormat="false" ht="15" hidden="false" customHeight="false" outlineLevel="0" collapsed="false">
      <c r="A252" s="11" t="n">
        <v>46273</v>
      </c>
      <c r="B252" s="12" t="s">
        <v>52</v>
      </c>
      <c r="C252" s="13" t="n">
        <v>-0.00754947075807472</v>
      </c>
      <c r="D252" s="13" t="n">
        <v>-0.00547766875954139</v>
      </c>
      <c r="E252" s="13" t="n">
        <v>-0.0054776687603769</v>
      </c>
      <c r="F252" s="13" t="n">
        <v>0.00158236249714677</v>
      </c>
      <c r="G252" s="13" t="n">
        <v>-0.00681835595083141</v>
      </c>
      <c r="H252" s="14" t="n">
        <f aca="false">H251*(1+C252)</f>
        <v>3765.05349378836</v>
      </c>
      <c r="I252" s="14" t="n">
        <f aca="false">I251*(1+D252)</f>
        <v>3997.93887973571</v>
      </c>
      <c r="J252" s="14" t="n">
        <f aca="false">J251*(1+E252)</f>
        <v>3902.67315818393</v>
      </c>
      <c r="K252" s="14" t="n">
        <f aca="false">K251*(1+F252)</f>
        <v>3026.04587908252</v>
      </c>
      <c r="L252" s="14" t="n">
        <f aca="false">L251*(1+G252)</f>
        <v>4073.5198085434</v>
      </c>
      <c r="M252" s="14" t="n">
        <f aca="false">H252-H251</f>
        <v>-28.6403809725953</v>
      </c>
      <c r="N252" s="14" t="n">
        <f aca="false">I252-I251</f>
        <v>-22.0200031876302</v>
      </c>
      <c r="O252" s="14" t="n">
        <f aca="false">J252-J251</f>
        <v>-21.4952949461672</v>
      </c>
      <c r="P252" s="14" t="n">
        <f aca="false">K252-K251</f>
        <v>4.78073665531338</v>
      </c>
      <c r="Q252" s="14" t="n">
        <f aca="false">L252-L251</f>
        <v>-27.9653859833488</v>
      </c>
    </row>
    <row r="253" customFormat="false" ht="15" hidden="false" customHeight="false" outlineLevel="0" collapsed="false">
      <c r="A253" s="11" t="n">
        <v>46274</v>
      </c>
      <c r="B253" s="12" t="s">
        <v>53</v>
      </c>
      <c r="C253" s="13" t="n">
        <v>0.0224324622789544</v>
      </c>
      <c r="D253" s="13" t="n">
        <v>0.020906562901183</v>
      </c>
      <c r="E253" s="13" t="n">
        <v>0.0219579113972421</v>
      </c>
      <c r="F253" s="13" t="n">
        <v>0.0165880983005127</v>
      </c>
      <c r="G253" s="13" t="n">
        <v>0.0260216782177662</v>
      </c>
      <c r="H253" s="14" t="n">
        <f aca="false">H252*(1+C253)</f>
        <v>3849.51291426602</v>
      </c>
      <c r="I253" s="14" t="n">
        <f aca="false">I252*(1+D253)</f>
        <v>4081.52204039999</v>
      </c>
      <c r="J253" s="14" t="n">
        <f aca="false">J252*(1+E253)</f>
        <v>3988.36770960373</v>
      </c>
      <c r="K253" s="14" t="n">
        <f aca="false">K252*(1+F253)</f>
        <v>3076.2422255866</v>
      </c>
      <c r="L253" s="14" t="n">
        <f aca="false">L252*(1+G253)</f>
        <v>4179.51963021501</v>
      </c>
      <c r="M253" s="14" t="n">
        <f aca="false">H253-H252</f>
        <v>84.4594204776531</v>
      </c>
      <c r="N253" s="14" t="n">
        <f aca="false">I253-I252</f>
        <v>83.5831606642792</v>
      </c>
      <c r="O253" s="14" t="n">
        <f aca="false">J253-J252</f>
        <v>85.6945514197978</v>
      </c>
      <c r="P253" s="14" t="n">
        <f aca="false">K253-K252</f>
        <v>50.1963465040822</v>
      </c>
      <c r="Q253" s="14" t="n">
        <f aca="false">L253-L252</f>
        <v>105.999821671613</v>
      </c>
    </row>
    <row r="254" customFormat="false" ht="15" hidden="false" customHeight="false" outlineLevel="0" collapsed="false">
      <c r="A254" s="11" t="n">
        <v>46275</v>
      </c>
      <c r="B254" s="12" t="s">
        <v>47</v>
      </c>
      <c r="C254" s="13" t="n">
        <v>-0.0202348508387596</v>
      </c>
      <c r="D254" s="13" t="n">
        <v>-0.014655825770704</v>
      </c>
      <c r="E254" s="13" t="n">
        <v>-0.0147904656926783</v>
      </c>
      <c r="F254" s="13" t="n">
        <v>-0.0139688570007309</v>
      </c>
      <c r="G254" s="13" t="n">
        <v>-0.0181532806346281</v>
      </c>
      <c r="H254" s="14" t="n">
        <f aca="false">H253*(1+C254)</f>
        <v>3771.61859464397</v>
      </c>
      <c r="I254" s="14" t="n">
        <f aca="false">I253*(1+D254)</f>
        <v>4021.7039644966</v>
      </c>
      <c r="J254" s="14" t="n">
        <f aca="false">J253*(1+E254)</f>
        <v>3929.37789382505</v>
      </c>
      <c r="K254" s="14" t="n">
        <f aca="false">K253*(1+F254)</f>
        <v>3033.27063783777</v>
      </c>
      <c r="L254" s="14" t="n">
        <f aca="false">L253*(1+G254)</f>
        <v>4103.64763744978</v>
      </c>
      <c r="M254" s="14" t="n">
        <f aca="false">H254-H253</f>
        <v>-77.8943196220516</v>
      </c>
      <c r="N254" s="14" t="n">
        <f aca="false">I254-I253</f>
        <v>-59.8180759033908</v>
      </c>
      <c r="O254" s="14" t="n">
        <f aca="false">J254-J253</f>
        <v>-58.9898157786797</v>
      </c>
      <c r="P254" s="14" t="n">
        <f aca="false">K254-K253</f>
        <v>-42.9715877488293</v>
      </c>
      <c r="Q254" s="14" t="n">
        <f aca="false">L254-L253</f>
        <v>-75.8719927652301</v>
      </c>
    </row>
    <row r="255" customFormat="false" ht="15" hidden="false" customHeight="false" outlineLevel="0" collapsed="false">
      <c r="A255" s="11" t="n">
        <v>46276</v>
      </c>
      <c r="B255" s="12" t="s">
        <v>48</v>
      </c>
      <c r="C255" s="13" t="n">
        <v>0.00723847821910328</v>
      </c>
      <c r="D255" s="13" t="n">
        <v>0.00799836214510152</v>
      </c>
      <c r="E255" s="13" t="n">
        <v>0.00835023835074747</v>
      </c>
      <c r="F255" s="13" t="n">
        <v>0.0096215147503641</v>
      </c>
      <c r="G255" s="13" t="n">
        <v>0.0107967364832705</v>
      </c>
      <c r="H255" s="14" t="n">
        <f aca="false">H254*(1+C255)</f>
        <v>3798.91937369206</v>
      </c>
      <c r="I255" s="14" t="n">
        <f aca="false">I254*(1+D255)</f>
        <v>4053.87100924503</v>
      </c>
      <c r="J255" s="14" t="n">
        <f aca="false">J254*(1+E255)</f>
        <v>3962.18913580865</v>
      </c>
      <c r="K255" s="14" t="n">
        <f aca="false">K254*(1+F255)</f>
        <v>3062.45529602157</v>
      </c>
      <c r="L255" s="14" t="n">
        <f aca="false">L254*(1+G255)</f>
        <v>4147.95363961152</v>
      </c>
      <c r="M255" s="14" t="n">
        <f aca="false">H255-H254</f>
        <v>27.3007790480951</v>
      </c>
      <c r="N255" s="14" t="n">
        <f aca="false">I255-I254</f>
        <v>32.1670447484339</v>
      </c>
      <c r="O255" s="14" t="n">
        <f aca="false">J255-J254</f>
        <v>32.811241983597</v>
      </c>
      <c r="P255" s="14" t="n">
        <f aca="false">K255-K254</f>
        <v>29.1846581838026</v>
      </c>
      <c r="Q255" s="14" t="n">
        <f aca="false">L255-L254</f>
        <v>44.3060021617412</v>
      </c>
    </row>
    <row r="256" customFormat="false" ht="15" hidden="false" customHeight="false" outlineLevel="0" collapsed="false">
      <c r="A256" s="11" t="n">
        <v>46277</v>
      </c>
      <c r="B256" s="12" t="s">
        <v>49</v>
      </c>
      <c r="C256" s="13" t="n">
        <v>0.0253950471810951</v>
      </c>
      <c r="D256" s="13" t="n">
        <v>0.0216768783251208</v>
      </c>
      <c r="E256" s="13" t="n">
        <v>0.0214014684259276</v>
      </c>
      <c r="F256" s="13" t="n">
        <v>0.0246833935344307</v>
      </c>
      <c r="G256" s="13" t="n">
        <v>0.0271921740529646</v>
      </c>
      <c r="H256" s="14" t="n">
        <f aca="false">H255*(1+C256)</f>
        <v>3895.39311042415</v>
      </c>
      <c r="I256" s="14" t="n">
        <f aca="false">I255*(1+D256)</f>
        <v>4141.74627785817</v>
      </c>
      <c r="J256" s="14" t="n">
        <f aca="false">J255*(1+E256)</f>
        <v>4046.98580149621</v>
      </c>
      <c r="K256" s="14" t="n">
        <f aca="false">K255*(1+F256)</f>
        <v>3138.04708527487</v>
      </c>
      <c r="L256" s="14" t="n">
        <f aca="false">L255*(1+G256)</f>
        <v>4260.74551694347</v>
      </c>
      <c r="M256" s="14" t="n">
        <f aca="false">H256-H255</f>
        <v>96.4737367320859</v>
      </c>
      <c r="N256" s="14" t="n">
        <f aca="false">I256-I255</f>
        <v>87.8752686131393</v>
      </c>
      <c r="O256" s="14" t="n">
        <f aca="false">J256-J255</f>
        <v>84.7966656875624</v>
      </c>
      <c r="P256" s="14" t="n">
        <f aca="false">K256-K255</f>
        <v>75.5917892533025</v>
      </c>
      <c r="Q256" s="14" t="n">
        <f aca="false">L256-L255</f>
        <v>112.791877331944</v>
      </c>
    </row>
    <row r="257" customFormat="false" ht="15" hidden="false" customHeight="false" outlineLevel="0" collapsed="false">
      <c r="A257" s="11" t="n">
        <v>46278</v>
      </c>
      <c r="B257" s="12" t="s">
        <v>50</v>
      </c>
      <c r="C257" s="13" t="n">
        <v>0.0407698880561562</v>
      </c>
      <c r="D257" s="13" t="n">
        <v>0.0349664290241958</v>
      </c>
      <c r="E257" s="13" t="n">
        <v>0.0354059879020887</v>
      </c>
      <c r="F257" s="13" t="n">
        <v>0.0191780554286269</v>
      </c>
      <c r="G257" s="13" t="n">
        <v>0.0432551726053251</v>
      </c>
      <c r="H257" s="14" t="n">
        <f aca="false">H256*(1+C257)</f>
        <v>4054.20785147086</v>
      </c>
      <c r="I257" s="14" t="n">
        <f aca="false">I256*(1+D257)</f>
        <v>4286.56835511913</v>
      </c>
      <c r="J257" s="14" t="n">
        <f aca="false">J256*(1+E257)</f>
        <v>4190.27333182391</v>
      </c>
      <c r="K257" s="14" t="n">
        <f aca="false">K256*(1+F257)</f>
        <v>3198.22872621392</v>
      </c>
      <c r="L257" s="14" t="n">
        <f aca="false">L256*(1+G257)</f>
        <v>4445.04479970622</v>
      </c>
      <c r="M257" s="14" t="n">
        <f aca="false">H257-H256</f>
        <v>158.814741046715</v>
      </c>
      <c r="N257" s="14" t="n">
        <f aca="false">I257-I256</f>
        <v>144.822077260955</v>
      </c>
      <c r="O257" s="14" t="n">
        <f aca="false">J257-J256</f>
        <v>143.2875303277</v>
      </c>
      <c r="P257" s="14" t="n">
        <f aca="false">K257-K256</f>
        <v>60.1816409390426</v>
      </c>
      <c r="Q257" s="14" t="n">
        <f aca="false">L257-L256</f>
        <v>184.299282762755</v>
      </c>
    </row>
    <row r="258" customFormat="false" ht="15" hidden="false" customHeight="false" outlineLevel="0" collapsed="false">
      <c r="A258" s="11" t="n">
        <v>46279</v>
      </c>
      <c r="B258" s="12" t="s">
        <v>51</v>
      </c>
      <c r="C258" s="13" t="n">
        <v>0.00634932091868912</v>
      </c>
      <c r="D258" s="13" t="n">
        <v>0.00233674395307655</v>
      </c>
      <c r="E258" s="13" t="n">
        <v>0.00564034553683046</v>
      </c>
      <c r="F258" s="13" t="n">
        <v>-0.00474777590671416</v>
      </c>
      <c r="G258" s="13" t="n">
        <v>0.00297659642170617</v>
      </c>
      <c r="H258" s="14" t="n">
        <f aca="false">H257*(1+C258)</f>
        <v>4079.94931819092</v>
      </c>
      <c r="I258" s="14" t="n">
        <f aca="false">I257*(1+D258)</f>
        <v>4296.5849678024</v>
      </c>
      <c r="J258" s="14" t="n">
        <f aca="false">J257*(1+E258)</f>
        <v>4213.90792130916</v>
      </c>
      <c r="K258" s="14" t="n">
        <f aca="false">K257*(1+F258)</f>
        <v>3183.04425292344</v>
      </c>
      <c r="L258" s="14" t="n">
        <f aca="false">L257*(1+G258)</f>
        <v>4458.27590415135</v>
      </c>
      <c r="M258" s="14" t="n">
        <f aca="false">H258-H257</f>
        <v>25.7414667200578</v>
      </c>
      <c r="N258" s="14" t="n">
        <f aca="false">I258-I257</f>
        <v>10.0166126832737</v>
      </c>
      <c r="O258" s="14" t="n">
        <f aca="false">J258-J257</f>
        <v>23.634589485252</v>
      </c>
      <c r="P258" s="14" t="n">
        <f aca="false">K258-K257</f>
        <v>-15.1844732904797</v>
      </c>
      <c r="Q258" s="14" t="n">
        <f aca="false">L258-L257</f>
        <v>13.2311044451289</v>
      </c>
    </row>
    <row r="259" customFormat="false" ht="15" hidden="false" customHeight="false" outlineLevel="0" collapsed="false">
      <c r="A259" s="11" t="n">
        <v>46280</v>
      </c>
      <c r="B259" s="12" t="s">
        <v>52</v>
      </c>
      <c r="C259" s="13" t="n">
        <v>0.00462579658282247</v>
      </c>
      <c r="D259" s="13" t="n">
        <v>0.0022452807032627</v>
      </c>
      <c r="E259" s="13" t="n">
        <v>0.00280479730195363</v>
      </c>
      <c r="F259" s="13" t="n">
        <v>0.00601748205587149</v>
      </c>
      <c r="G259" s="13" t="n">
        <v>0.00401525494505728</v>
      </c>
      <c r="H259" s="14" t="n">
        <f aca="false">H258*(1+C259)</f>
        <v>4098.8223338051</v>
      </c>
      <c r="I259" s="14" t="n">
        <f aca="false">I258*(1+D259)</f>
        <v>4306.23200712054</v>
      </c>
      <c r="J259" s="14" t="n">
        <f aca="false">J258*(1+E259)</f>
        <v>4225.72707887753</v>
      </c>
      <c r="K259" s="14" t="n">
        <f aca="false">K258*(1+F259)</f>
        <v>3202.19816459845</v>
      </c>
      <c r="L259" s="14" t="n">
        <f aca="false">L258*(1+G259)</f>
        <v>4476.17701852193</v>
      </c>
      <c r="M259" s="14" t="n">
        <f aca="false">H259-H258</f>
        <v>18.8730156141764</v>
      </c>
      <c r="N259" s="14" t="n">
        <f aca="false">I259-I258</f>
        <v>9.64703931813529</v>
      </c>
      <c r="O259" s="14" t="n">
        <f aca="false">J259-J258</f>
        <v>11.8191575683686</v>
      </c>
      <c r="P259" s="14" t="n">
        <f aca="false">K259-K258</f>
        <v>19.1539116750118</v>
      </c>
      <c r="Q259" s="14" t="n">
        <f aca="false">L259-L258</f>
        <v>17.9011143705739</v>
      </c>
    </row>
    <row r="260" customFormat="false" ht="15" hidden="false" customHeight="false" outlineLevel="0" collapsed="false">
      <c r="A260" s="11" t="n">
        <v>46281</v>
      </c>
      <c r="B260" s="12" t="s">
        <v>53</v>
      </c>
      <c r="C260" s="13" t="n">
        <v>0.0268271219651364</v>
      </c>
      <c r="D260" s="13" t="n">
        <v>0.0252066486596433</v>
      </c>
      <c r="E260" s="13" t="n">
        <v>0.0199249122869949</v>
      </c>
      <c r="F260" s="13" t="n">
        <v>0.0245549281174363</v>
      </c>
      <c r="G260" s="13" t="n">
        <v>0.0309782645669881</v>
      </c>
      <c r="H260" s="14" t="n">
        <f aca="false">H259*(1+C260)</f>
        <v>4208.78194046751</v>
      </c>
      <c r="I260" s="14" t="n">
        <f aca="false">I259*(1+D260)</f>
        <v>4414.77768437093</v>
      </c>
      <c r="J260" s="14" t="n">
        <f aca="false">J259*(1+E260)</f>
        <v>4309.92432027295</v>
      </c>
      <c r="K260" s="14" t="n">
        <f aca="false">K259*(1+F260)</f>
        <v>3280.82791034795</v>
      </c>
      <c r="L260" s="14" t="n">
        <f aca="false">L259*(1+G260)</f>
        <v>4614.84121445037</v>
      </c>
      <c r="M260" s="14" t="n">
        <f aca="false">H260-H259</f>
        <v>109.959606662414</v>
      </c>
      <c r="N260" s="14" t="n">
        <f aca="false">I260-I259</f>
        <v>108.545677250398</v>
      </c>
      <c r="O260" s="14" t="n">
        <f aca="false">J260-J259</f>
        <v>84.1972413954136</v>
      </c>
      <c r="P260" s="14" t="n">
        <f aca="false">K260-K259</f>
        <v>78.6297457495011</v>
      </c>
      <c r="Q260" s="14" t="n">
        <f aca="false">L260-L259</f>
        <v>138.664195928444</v>
      </c>
    </row>
    <row r="261" customFormat="false" ht="15" hidden="false" customHeight="false" outlineLevel="0" collapsed="false">
      <c r="A261" s="11" t="n">
        <v>46282</v>
      </c>
      <c r="B261" s="12" t="s">
        <v>47</v>
      </c>
      <c r="C261" s="13" t="n">
        <v>0.00574920674351709</v>
      </c>
      <c r="D261" s="13" t="n">
        <v>0.00660275059437574</v>
      </c>
      <c r="E261" s="13" t="n">
        <v>0.00670141532499214</v>
      </c>
      <c r="F261" s="13" t="n">
        <v>0.00514370394581909</v>
      </c>
      <c r="G261" s="13" t="n">
        <v>0.00828863967830529</v>
      </c>
      <c r="H261" s="14" t="n">
        <f aca="false">H260*(1+C261)</f>
        <v>4232.97909798164</v>
      </c>
      <c r="I261" s="14" t="n">
        <f aca="false">I260*(1+D261)</f>
        <v>4443.92736035045</v>
      </c>
      <c r="J261" s="14" t="n">
        <f aca="false">J260*(1+E261)</f>
        <v>4338.80691316238</v>
      </c>
      <c r="K261" s="14" t="n">
        <f aca="false">K260*(1+F261)</f>
        <v>3297.70351781596</v>
      </c>
      <c r="L261" s="14" t="n">
        <f aca="false">L260*(1+G261)</f>
        <v>4653.09197044954</v>
      </c>
      <c r="M261" s="14" t="n">
        <f aca="false">H261-H260</f>
        <v>24.1971575141288</v>
      </c>
      <c r="N261" s="14" t="n">
        <f aca="false">I261-I260</f>
        <v>29.1496759795173</v>
      </c>
      <c r="O261" s="14" t="n">
        <f aca="false">J261-J260</f>
        <v>28.8825928894339</v>
      </c>
      <c r="P261" s="14" t="n">
        <f aca="false">K261-K260</f>
        <v>16.87560746801</v>
      </c>
      <c r="Q261" s="14" t="n">
        <f aca="false">L261-L260</f>
        <v>38.2507559991718</v>
      </c>
    </row>
    <row r="262" customFormat="false" ht="15" hidden="false" customHeight="false" outlineLevel="0" collapsed="false">
      <c r="A262" s="11" t="n">
        <v>46283</v>
      </c>
      <c r="B262" s="12" t="s">
        <v>48</v>
      </c>
      <c r="C262" s="13" t="n">
        <v>0.0140269561822333</v>
      </c>
      <c r="D262" s="13" t="n">
        <v>0.00898879733351697</v>
      </c>
      <c r="E262" s="13" t="n">
        <v>0.00762631075475191</v>
      </c>
      <c r="F262" s="13" t="n">
        <v>0.00935324017169337</v>
      </c>
      <c r="G262" s="13" t="n">
        <v>0.0106346850962514</v>
      </c>
      <c r="H262" s="14" t="n">
        <f aca="false">H261*(1+C262)</f>
        <v>4292.35491030934</v>
      </c>
      <c r="I262" s="14" t="n">
        <f aca="false">I261*(1+D262)</f>
        <v>4483.87292275751</v>
      </c>
      <c r="J262" s="14" t="n">
        <f aca="false">J261*(1+E262)</f>
        <v>4371.89600298702</v>
      </c>
      <c r="K262" s="14" t="n">
        <f aca="false">K261*(1+F262)</f>
        <v>3328.54773083313</v>
      </c>
      <c r="L262" s="14" t="n">
        <f aca="false">L261*(1+G262)</f>
        <v>4702.57613827917</v>
      </c>
      <c r="M262" s="14" t="n">
        <f aca="false">H262-H261</f>
        <v>59.3758123276975</v>
      </c>
      <c r="N262" s="14" t="n">
        <f aca="false">I262-I261</f>
        <v>39.9455624070615</v>
      </c>
      <c r="O262" s="14" t="n">
        <f aca="false">J262-J261</f>
        <v>33.0890898246416</v>
      </c>
      <c r="P262" s="14" t="n">
        <f aca="false">K262-K261</f>
        <v>30.8442130171707</v>
      </c>
      <c r="Q262" s="14" t="n">
        <f aca="false">L262-L261</f>
        <v>49.484167829627</v>
      </c>
    </row>
    <row r="263" customFormat="false" ht="15" hidden="false" customHeight="false" outlineLevel="0" collapsed="false">
      <c r="A263" s="11" t="n">
        <v>46284</v>
      </c>
      <c r="B263" s="12" t="s">
        <v>49</v>
      </c>
      <c r="C263" s="13" t="n">
        <v>0.00574986291464608</v>
      </c>
      <c r="D263" s="13" t="n">
        <v>0.00120991615332841</v>
      </c>
      <c r="E263" s="13" t="n">
        <v>0.00120343445772446</v>
      </c>
      <c r="F263" s="13" t="n">
        <v>0.00712699328741406</v>
      </c>
      <c r="G263" s="13" t="n">
        <v>0.0015426748082556</v>
      </c>
      <c r="H263" s="14" t="n">
        <f aca="false">H262*(1+C263)</f>
        <v>4317.03536262462</v>
      </c>
      <c r="I263" s="14" t="n">
        <f aca="false">I262*(1+D263)</f>
        <v>4489.29803303623</v>
      </c>
      <c r="J263" s="14" t="n">
        <f aca="false">J262*(1+E263)</f>
        <v>4377.1572932826</v>
      </c>
      <c r="K263" s="14" t="n">
        <f aca="false">K262*(1+F263)</f>
        <v>3352.27026816762</v>
      </c>
      <c r="L263" s="14" t="n">
        <f aca="false">L262*(1+G263)</f>
        <v>4709.8306840216</v>
      </c>
      <c r="M263" s="14" t="n">
        <f aca="false">H263-H262</f>
        <v>24.6804523152869</v>
      </c>
      <c r="N263" s="14" t="n">
        <f aca="false">I263-I262</f>
        <v>5.42511027871569</v>
      </c>
      <c r="O263" s="14" t="n">
        <f aca="false">J263-J262</f>
        <v>5.26129029558251</v>
      </c>
      <c r="P263" s="14" t="n">
        <f aca="false">K263-K262</f>
        <v>23.722537334485</v>
      </c>
      <c r="Q263" s="14" t="n">
        <f aca="false">L263-L262</f>
        <v>7.25454574242758</v>
      </c>
    </row>
    <row r="264" customFormat="false" ht="15" hidden="false" customHeight="false" outlineLevel="0" collapsed="false">
      <c r="A264" s="11" t="n">
        <v>46285</v>
      </c>
      <c r="B264" s="12" t="s">
        <v>50</v>
      </c>
      <c r="C264" s="13" t="n">
        <v>-0.00221367554082075</v>
      </c>
      <c r="D264" s="13" t="n">
        <v>0.00804892777798072</v>
      </c>
      <c r="E264" s="13" t="n">
        <v>0.00806659477720198</v>
      </c>
      <c r="F264" s="13" t="n">
        <v>-0.0135884616366931</v>
      </c>
      <c r="G264" s="13" t="n">
        <v>0.0100057995287141</v>
      </c>
      <c r="H264" s="14" t="n">
        <f aca="false">H263*(1+C264)</f>
        <v>4307.47884703352</v>
      </c>
      <c r="I264" s="14" t="n">
        <f aca="false">I263*(1+D264)</f>
        <v>4525.43206867797</v>
      </c>
      <c r="J264" s="14" t="n">
        <f aca="false">J263*(1+E264)</f>
        <v>4412.46604744359</v>
      </c>
      <c r="K264" s="14" t="n">
        <f aca="false">K263*(1+F264)</f>
        <v>3306.71807223279</v>
      </c>
      <c r="L264" s="14" t="n">
        <f aca="false">L263*(1+G264)</f>
        <v>4756.9563056601</v>
      </c>
      <c r="M264" s="14" t="n">
        <f aca="false">H264-H263</f>
        <v>-9.55651559109992</v>
      </c>
      <c r="N264" s="14" t="n">
        <f aca="false">I264-I263</f>
        <v>36.1340356417395</v>
      </c>
      <c r="O264" s="14" t="n">
        <f aca="false">J264-J263</f>
        <v>35.3087541609857</v>
      </c>
      <c r="P264" s="14" t="n">
        <f aca="false">K264-K263</f>
        <v>-45.5521959348225</v>
      </c>
      <c r="Q264" s="14" t="n">
        <f aca="false">L264-L263</f>
        <v>47.1256216385054</v>
      </c>
    </row>
    <row r="265" customFormat="false" ht="15" hidden="false" customHeight="false" outlineLevel="0" collapsed="false">
      <c r="A265" s="11" t="n">
        <v>46286</v>
      </c>
      <c r="B265" s="12" t="s">
        <v>51</v>
      </c>
      <c r="C265" s="13" t="n">
        <v>-0.0397379025693139</v>
      </c>
      <c r="D265" s="13" t="n">
        <v>-0.0214120262925434</v>
      </c>
      <c r="E265" s="13" t="n">
        <v>-0.028506315838941</v>
      </c>
      <c r="F265" s="13" t="n">
        <v>-0.0260947953646827</v>
      </c>
      <c r="G265" s="13" t="n">
        <v>-0.0261055798020759</v>
      </c>
      <c r="H265" s="14" t="n">
        <f aca="false">H264*(1+C265)</f>
        <v>4136.30867229072</v>
      </c>
      <c r="I265" s="14" t="n">
        <f aca="false">I264*(1+D265)</f>
        <v>4428.53339823832</v>
      </c>
      <c r="J265" s="14" t="n">
        <f aca="false">J264*(1+E265)</f>
        <v>4286.68289666656</v>
      </c>
      <c r="K265" s="14" t="n">
        <f aca="false">K264*(1+F265)</f>
        <v>3220.42994080918</v>
      </c>
      <c r="L265" s="14" t="n">
        <f aca="false">L264*(1+G265)</f>
        <v>4632.7732032077</v>
      </c>
      <c r="M265" s="14" t="n">
        <f aca="false">H265-H264</f>
        <v>-171.170174742799</v>
      </c>
      <c r="N265" s="14" t="n">
        <f aca="false">I265-I264</f>
        <v>-96.8986704396511</v>
      </c>
      <c r="O265" s="14" t="n">
        <f aca="false">J265-J264</f>
        <v>-125.783150777031</v>
      </c>
      <c r="P265" s="14" t="n">
        <f aca="false">K265-K264</f>
        <v>-86.2881314236129</v>
      </c>
      <c r="Q265" s="14" t="n">
        <f aca="false">L265-L264</f>
        <v>-124.183102452398</v>
      </c>
    </row>
    <row r="266" customFormat="false" ht="15" hidden="false" customHeight="false" outlineLevel="0" collapsed="false">
      <c r="A266" s="11" t="n">
        <v>46287</v>
      </c>
      <c r="B266" s="12" t="s">
        <v>52</v>
      </c>
      <c r="C266" s="13" t="n">
        <v>0.019833397568682</v>
      </c>
      <c r="D266" s="13" t="n">
        <v>0.0087722465568606</v>
      </c>
      <c r="E266" s="13" t="n">
        <v>0.0110544616330433</v>
      </c>
      <c r="F266" s="13" t="n">
        <v>0.00764907780520674</v>
      </c>
      <c r="G266" s="13" t="n">
        <v>0.0108699829157337</v>
      </c>
      <c r="H266" s="14" t="n">
        <f aca="false">H265*(1+C266)</f>
        <v>4218.34572665505</v>
      </c>
      <c r="I266" s="14" t="n">
        <f aca="false">I265*(1+D266)</f>
        <v>4467.38158509296</v>
      </c>
      <c r="J266" s="14" t="n">
        <f aca="false">J265*(1+E266)</f>
        <v>4334.06986828078</v>
      </c>
      <c r="K266" s="14" t="n">
        <f aca="false">K265*(1+F266)</f>
        <v>3245.06325999265</v>
      </c>
      <c r="L266" s="14" t="n">
        <f aca="false">L265*(1+G266)</f>
        <v>4683.13136877904</v>
      </c>
      <c r="M266" s="14" t="n">
        <f aca="false">H266-H265</f>
        <v>82.0370543643294</v>
      </c>
      <c r="N266" s="14" t="n">
        <f aca="false">I266-I265</f>
        <v>38.8481868546387</v>
      </c>
      <c r="O266" s="14" t="n">
        <f aca="false">J266-J265</f>
        <v>47.3869716142235</v>
      </c>
      <c r="P266" s="14" t="n">
        <f aca="false">K266-K265</f>
        <v>24.6333191834669</v>
      </c>
      <c r="Q266" s="14" t="n">
        <f aca="false">L266-L265</f>
        <v>50.3581655713369</v>
      </c>
    </row>
    <row r="267" customFormat="false" ht="15" hidden="false" customHeight="false" outlineLevel="0" collapsed="false">
      <c r="A267" s="11" t="n">
        <v>46288</v>
      </c>
      <c r="B267" s="12" t="s">
        <v>53</v>
      </c>
      <c r="C267" s="13" t="n">
        <v>-0.00565753670000763</v>
      </c>
      <c r="D267" s="13" t="n">
        <v>-0.00945464877167265</v>
      </c>
      <c r="E267" s="13" t="n">
        <v>-0.00697812136152684</v>
      </c>
      <c r="F267" s="13" t="n">
        <v>0.00153093095092821</v>
      </c>
      <c r="G267" s="13" t="n">
        <v>-0.0119135749501068</v>
      </c>
      <c r="H267" s="14" t="n">
        <f aca="false">H266*(1+C267)</f>
        <v>4194.48028089318</v>
      </c>
      <c r="I267" s="14" t="n">
        <f aca="false">I266*(1+D267)</f>
        <v>4425.14406127686</v>
      </c>
      <c r="J267" s="14" t="n">
        <f aca="false">J266*(1+E267)</f>
        <v>4303.82620275058</v>
      </c>
      <c r="K267" s="14" t="n">
        <f aca="false">K266*(1+F267)</f>
        <v>3250.03122777509</v>
      </c>
      <c r="L267" s="14" t="n">
        <f aca="false">L266*(1+G267)</f>
        <v>4627.3385322159</v>
      </c>
      <c r="M267" s="14" t="n">
        <f aca="false">H267-H266</f>
        <v>-23.8654457618713</v>
      </c>
      <c r="N267" s="14" t="n">
        <f aca="false">I267-I266</f>
        <v>-42.2375238160921</v>
      </c>
      <c r="O267" s="14" t="n">
        <f aca="false">J267-J266</f>
        <v>-30.2436655301999</v>
      </c>
      <c r="P267" s="14" t="n">
        <f aca="false">K267-K266</f>
        <v>4.96796778244243</v>
      </c>
      <c r="Q267" s="14" t="n">
        <f aca="false">L267-L266</f>
        <v>-55.7928365631451</v>
      </c>
    </row>
    <row r="268" customFormat="false" ht="15" hidden="false" customHeight="false" outlineLevel="0" collapsed="false">
      <c r="A268" s="11" t="n">
        <v>46289</v>
      </c>
      <c r="B268" s="12" t="s">
        <v>47</v>
      </c>
      <c r="C268" s="13" t="n">
        <v>-0.0388669446497277</v>
      </c>
      <c r="D268" s="13" t="n">
        <v>-0.0254076380205707</v>
      </c>
      <c r="E268" s="13" t="n">
        <v>-0.0227917628331933</v>
      </c>
      <c r="F268" s="13" t="n">
        <v>-0.0540765722431805</v>
      </c>
      <c r="G268" s="13" t="n">
        <v>-0.0316476871553815</v>
      </c>
      <c r="H268" s="14" t="n">
        <f aca="false">H267*(1+C268)</f>
        <v>4031.45364798133</v>
      </c>
      <c r="I268" s="14" t="n">
        <f aca="false">I267*(1+D268)</f>
        <v>4312.71160277906</v>
      </c>
      <c r="J268" s="14" t="n">
        <f aca="false">J267*(1+E268)</f>
        <v>4205.73441666221</v>
      </c>
      <c r="K268" s="14" t="n">
        <f aca="false">K267*(1+F268)</f>
        <v>3074.28067929372</v>
      </c>
      <c r="L268" s="14" t="n">
        <f aca="false">L267*(1+G268)</f>
        <v>4480.89396998629</v>
      </c>
      <c r="M268" s="14" t="n">
        <f aca="false">H268-H267</f>
        <v>-163.02663291185</v>
      </c>
      <c r="N268" s="14" t="n">
        <f aca="false">I268-I267</f>
        <v>-112.4324584978</v>
      </c>
      <c r="O268" s="14" t="n">
        <f aca="false">J268-J267</f>
        <v>-98.0917860883737</v>
      </c>
      <c r="P268" s="14" t="n">
        <f aca="false">K268-K267</f>
        <v>-175.750548481372</v>
      </c>
      <c r="Q268" s="14" t="n">
        <f aca="false">L268-L267</f>
        <v>-146.444562229611</v>
      </c>
    </row>
    <row r="269" customFormat="false" ht="15" hidden="false" customHeight="false" outlineLevel="0" collapsed="false">
      <c r="A269" s="11" t="n">
        <v>46290</v>
      </c>
      <c r="B269" s="12" t="s">
        <v>48</v>
      </c>
      <c r="C269" s="13" t="n">
        <v>-0.0126228163149918</v>
      </c>
      <c r="D269" s="13" t="n">
        <v>-0.0312310280178724</v>
      </c>
      <c r="E269" s="13" t="n">
        <v>-0.0304824893959905</v>
      </c>
      <c r="F269" s="13" t="n">
        <v>0.00811845291749058</v>
      </c>
      <c r="G269" s="13" t="n">
        <v>-0.0395914804477396</v>
      </c>
      <c r="H269" s="14" t="n">
        <f aca="false">H268*(1+C269)</f>
        <v>3980.56534910046</v>
      </c>
      <c r="I269" s="14" t="n">
        <f aca="false">I268*(1+D269)</f>
        <v>4178.02118587967</v>
      </c>
      <c r="J269" s="14" t="n">
        <f aca="false">J268*(1+E269)</f>
        <v>4077.53316190395</v>
      </c>
      <c r="K269" s="14" t="n">
        <f aca="false">K268*(1+F269)</f>
        <v>3099.23908224372</v>
      </c>
      <c r="L269" s="14" t="n">
        <f aca="false">L268*(1+G269)</f>
        <v>4303.48874398518</v>
      </c>
      <c r="M269" s="14" t="n">
        <f aca="false">H269-H268</f>
        <v>-50.8882988808718</v>
      </c>
      <c r="N269" s="14" t="n">
        <f aca="false">I269-I268</f>
        <v>-134.690416899396</v>
      </c>
      <c r="O269" s="14" t="n">
        <f aca="false">J269-J268</f>
        <v>-128.201254758258</v>
      </c>
      <c r="P269" s="14" t="n">
        <f aca="false">K269-K268</f>
        <v>24.9584029499974</v>
      </c>
      <c r="Q269" s="14" t="n">
        <f aca="false">L269-L268</f>
        <v>-177.405226001107</v>
      </c>
    </row>
    <row r="270" customFormat="false" ht="15" hidden="false" customHeight="false" outlineLevel="0" collapsed="false">
      <c r="A270" s="11" t="n">
        <v>46291</v>
      </c>
      <c r="B270" s="12" t="s">
        <v>49</v>
      </c>
      <c r="C270" s="13" t="n">
        <v>0.00896487962155312</v>
      </c>
      <c r="D270" s="13" t="n">
        <v>0.0373108290921885</v>
      </c>
      <c r="E270" s="13" t="n">
        <v>0.0373063967365567</v>
      </c>
      <c r="F270" s="13" t="n">
        <v>0.0151570019011585</v>
      </c>
      <c r="G270" s="13" t="n">
        <v>0.0541061579772714</v>
      </c>
      <c r="H270" s="14" t="n">
        <f aca="false">H269*(1+C270)</f>
        <v>4016.25063828087</v>
      </c>
      <c r="I270" s="14" t="n">
        <f aca="false">I269*(1+D270)</f>
        <v>4333.90662028957</v>
      </c>
      <c r="J270" s="14" t="n">
        <f aca="false">J269*(1+E270)</f>
        <v>4229.65123174841</v>
      </c>
      <c r="K270" s="14" t="n">
        <f aca="false">K269*(1+F270)</f>
        <v>3146.21425490543</v>
      </c>
      <c r="L270" s="14" t="n">
        <f aca="false">L269*(1+G270)</f>
        <v>4536.33398582065</v>
      </c>
      <c r="M270" s="14" t="n">
        <f aca="false">H270-H269</f>
        <v>35.685289180411</v>
      </c>
      <c r="N270" s="14" t="n">
        <f aca="false">I270-I269</f>
        <v>155.885434409898</v>
      </c>
      <c r="O270" s="14" t="n">
        <f aca="false">J270-J269</f>
        <v>152.118069844456</v>
      </c>
      <c r="P270" s="14" t="n">
        <f aca="false">K270-K269</f>
        <v>46.9751726617133</v>
      </c>
      <c r="Q270" s="14" t="n">
        <f aca="false">L270-L269</f>
        <v>232.845241835471</v>
      </c>
    </row>
    <row r="271" customFormat="false" ht="15" hidden="false" customHeight="false" outlineLevel="0" collapsed="false">
      <c r="A271" s="11" t="n">
        <v>46292</v>
      </c>
      <c r="B271" s="12" t="s">
        <v>50</v>
      </c>
      <c r="C271" s="13" t="n">
        <v>-0.0133212627958237</v>
      </c>
      <c r="D271" s="13" t="n">
        <v>-0.0155218355050067</v>
      </c>
      <c r="E271" s="13" t="n">
        <v>-0.0155212668732852</v>
      </c>
      <c r="F271" s="13" t="n">
        <v>-0.0110505471680692</v>
      </c>
      <c r="G271" s="13" t="n">
        <v>-0.0202346389679324</v>
      </c>
      <c r="H271" s="14" t="n">
        <f aca="false">H270*(1+C271)</f>
        <v>3962.74910807444</v>
      </c>
      <c r="I271" s="14" t="n">
        <f aca="false">I270*(1+D271)</f>
        <v>4266.63643463537</v>
      </c>
      <c r="J271" s="14" t="n">
        <f aca="false">J270*(1+E271)</f>
        <v>4164.00168619952</v>
      </c>
      <c r="K271" s="14" t="n">
        <f aca="false">K270*(1+F271)</f>
        <v>3111.44686588074</v>
      </c>
      <c r="L271" s="14" t="n">
        <f aca="false">L270*(1+G271)</f>
        <v>4444.54290537961</v>
      </c>
      <c r="M271" s="14" t="n">
        <f aca="false">H271-H270</f>
        <v>-53.5015302064339</v>
      </c>
      <c r="N271" s="14" t="n">
        <f aca="false">I271-I270</f>
        <v>-67.2701856541944</v>
      </c>
      <c r="O271" s="14" t="n">
        <f aca="false">J271-J270</f>
        <v>-65.6495455488866</v>
      </c>
      <c r="P271" s="14" t="n">
        <f aca="false">K271-K270</f>
        <v>-34.7673890246842</v>
      </c>
      <c r="Q271" s="14" t="n">
        <f aca="false">L271-L270</f>
        <v>-91.7910804410421</v>
      </c>
    </row>
    <row r="272" customFormat="false" ht="15" hidden="false" customHeight="false" outlineLevel="0" collapsed="false">
      <c r="A272" s="11" t="n">
        <v>46293</v>
      </c>
      <c r="B272" s="12" t="s">
        <v>51</v>
      </c>
      <c r="C272" s="13" t="n">
        <v>-0.00269717565185346</v>
      </c>
      <c r="D272" s="13" t="n">
        <v>0.00970143857965641</v>
      </c>
      <c r="E272" s="13" t="n">
        <v>0.00970133143479626</v>
      </c>
      <c r="F272" s="13" t="n">
        <v>0.0141930222484497</v>
      </c>
      <c r="G272" s="13" t="n">
        <v>0.0191916230373235</v>
      </c>
      <c r="H272" s="14" t="n">
        <f aca="false">H271*(1+C272)</f>
        <v>3952.06087766573</v>
      </c>
      <c r="I272" s="14" t="n">
        <f aca="false">I271*(1+D272)</f>
        <v>4308.02894594771</v>
      </c>
      <c r="J272" s="14" t="n">
        <f aca="false">J271*(1+E272)</f>
        <v>4204.39804665239</v>
      </c>
      <c r="K272" s="14" t="n">
        <f aca="false">K271*(1+F272)</f>
        <v>3155.60770047306</v>
      </c>
      <c r="L272" s="14" t="n">
        <f aca="false">L271*(1+G272)</f>
        <v>4529.84089739286</v>
      </c>
      <c r="M272" s="14" t="n">
        <f aca="false">H272-H271</f>
        <v>-10.6882304087026</v>
      </c>
      <c r="N272" s="14" t="n">
        <f aca="false">I272-I271</f>
        <v>41.3925113123387</v>
      </c>
      <c r="O272" s="14" t="n">
        <f aca="false">J272-J271</f>
        <v>40.3963604528717</v>
      </c>
      <c r="P272" s="14" t="n">
        <f aca="false">K272-K271</f>
        <v>44.1608345923141</v>
      </c>
      <c r="Q272" s="14" t="n">
        <f aca="false">L272-L271</f>
        <v>85.2979920132557</v>
      </c>
    </row>
    <row r="273" customFormat="false" ht="15" hidden="false" customHeight="false" outlineLevel="0" collapsed="false">
      <c r="A273" s="11" t="n">
        <v>46294</v>
      </c>
      <c r="B273" s="12" t="s">
        <v>52</v>
      </c>
      <c r="C273" s="13" t="n">
        <v>0.0229976236124249</v>
      </c>
      <c r="D273" s="13" t="n">
        <v>0.0128442973960554</v>
      </c>
      <c r="E273" s="13" t="n">
        <v>0.012844383707015</v>
      </c>
      <c r="F273" s="13" t="n">
        <v>0.0204462394316697</v>
      </c>
      <c r="G273" s="13" t="n">
        <v>0.0160413069178959</v>
      </c>
      <c r="H273" s="14" t="n">
        <f aca="false">H272*(1+C273)</f>
        <v>4042.94888622368</v>
      </c>
      <c r="I273" s="14" t="n">
        <f aca="false">I272*(1+D273)</f>
        <v>4363.36255092028</v>
      </c>
      <c r="J273" s="14" t="n">
        <f aca="false">J272*(1+E273)</f>
        <v>4258.40094842062</v>
      </c>
      <c r="K273" s="14" t="n">
        <f aca="false">K272*(1+F273)</f>
        <v>3220.12801106935</v>
      </c>
      <c r="L273" s="14" t="n">
        <f aca="false">L272*(1+G273)</f>
        <v>4602.50546551718</v>
      </c>
      <c r="M273" s="14" t="n">
        <f aca="false">H273-H272</f>
        <v>90.8880085579463</v>
      </c>
      <c r="N273" s="14" t="n">
        <f aca="false">I273-I272</f>
        <v>55.3336049725676</v>
      </c>
      <c r="O273" s="14" t="n">
        <f aca="false">J273-J272</f>
        <v>54.0029017682273</v>
      </c>
      <c r="P273" s="14" t="n">
        <f aca="false">K273-K272</f>
        <v>64.5203105962933</v>
      </c>
      <c r="Q273" s="14" t="n">
        <f aca="false">L273-L272</f>
        <v>72.6645681243163</v>
      </c>
    </row>
    <row r="274" customFormat="false" ht="15" hidden="false" customHeight="false" outlineLevel="0" collapsed="false">
      <c r="A274" s="11" t="n">
        <v>46295</v>
      </c>
      <c r="B274" s="12" t="s">
        <v>53</v>
      </c>
      <c r="C274" s="13" t="n">
        <v>-0.0150442826439736</v>
      </c>
      <c r="D274" s="13" t="n">
        <v>-0.00628926537740974</v>
      </c>
      <c r="E274" s="13" t="n">
        <v>-0.0062892829495683</v>
      </c>
      <c r="F274" s="13" t="n">
        <v>-0.00955069547047871</v>
      </c>
      <c r="G274" s="13" t="n">
        <v>-0.00793536579538046</v>
      </c>
      <c r="H274" s="14" t="n">
        <f aca="false">H273*(1+C274)</f>
        <v>3982.12562046419</v>
      </c>
      <c r="I274" s="14" t="n">
        <f aca="false">I273*(1+D274)</f>
        <v>4335.92020589969</v>
      </c>
      <c r="J274" s="14" t="n">
        <f aca="false">J273*(1+E274)</f>
        <v>4231.61865994329</v>
      </c>
      <c r="K274" s="14" t="n">
        <f aca="false">K273*(1+F274)</f>
        <v>3189.37354905967</v>
      </c>
      <c r="L274" s="14" t="n">
        <f aca="false">L273*(1+G274)</f>
        <v>4565.98290107306</v>
      </c>
      <c r="M274" s="14" t="n">
        <f aca="false">H274-H273</f>
        <v>-60.8232657594872</v>
      </c>
      <c r="N274" s="14" t="n">
        <f aca="false">I274-I273</f>
        <v>-27.4423450205886</v>
      </c>
      <c r="O274" s="14" t="n">
        <f aca="false">J274-J273</f>
        <v>-26.7822884773277</v>
      </c>
      <c r="P274" s="14" t="n">
        <f aca="false">K274-K273</f>
        <v>-30.7544620096814</v>
      </c>
      <c r="Q274" s="14" t="n">
        <f aca="false">L274-L273</f>
        <v>-36.5225644441171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4"/>
  </cols>
  <sheetData>
    <row r="1" customFormat="false" ht="31.5" hidden="false" customHeight="true" outlineLevel="0" collapsed="false">
      <c r="A1" s="6" t="s">
        <v>54</v>
      </c>
      <c r="B1" s="6" t="s">
        <v>55</v>
      </c>
      <c r="C1" s="6" t="s">
        <v>56</v>
      </c>
      <c r="D1" s="6" t="s">
        <v>31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</row>
    <row r="2" customFormat="false" ht="15" hidden="false" customHeight="false" outlineLevel="0" collapsed="false">
      <c r="A2" s="15" t="s">
        <v>72</v>
      </c>
      <c r="B2" s="16" t="n">
        <f aca="false">Günlük!A2</f>
        <v>46023</v>
      </c>
      <c r="C2" s="16" t="n">
        <f aca="false">Günlük!A5</f>
        <v>46026</v>
      </c>
      <c r="D2" s="15" t="n">
        <v>4</v>
      </c>
      <c r="E2" s="17" t="n">
        <f aca="false">Günlük!H5/Varsayımlar!$B$3-1</f>
        <v>-0.0203785884281904</v>
      </c>
      <c r="F2" s="17" t="n">
        <f aca="false">Günlük!I5/Varsayımlar!$B$3-1</f>
        <v>-0.0340927149600111</v>
      </c>
      <c r="G2" s="17" t="n">
        <f aca="false">Günlük!J5/Varsayımlar!$B$3-1</f>
        <v>-0.0350508277503073</v>
      </c>
      <c r="H2" s="17" t="n">
        <f aca="false">Günlük!K5/Varsayımlar!$B$3-1</f>
        <v>-0.0392740211675667</v>
      </c>
      <c r="I2" s="17" t="n">
        <f aca="false">Günlük!L5/Varsayımlar!$B$3-1</f>
        <v>-0.0402683586254845</v>
      </c>
      <c r="J2" s="18" t="n">
        <f aca="false">Günlük!H5-Varsayımlar!$B$3</f>
        <v>-20.3785884281904</v>
      </c>
      <c r="K2" s="18" t="n">
        <f aca="false">Günlük!I5-Varsayımlar!$B$3</f>
        <v>-34.0927149600111</v>
      </c>
      <c r="L2" s="18" t="n">
        <f aca="false">Günlük!J5-Varsayımlar!$B$3</f>
        <v>-35.0508277503074</v>
      </c>
      <c r="M2" s="18" t="n">
        <f aca="false">Günlük!K5-Varsayımlar!$B$3</f>
        <v>-39.2740211675667</v>
      </c>
      <c r="N2" s="18" t="n">
        <f aca="false">Günlük!L5-Varsayımlar!$B$3</f>
        <v>-40.2683586254846</v>
      </c>
      <c r="O2" s="7" t="n">
        <f aca="false">Günlük!H5</f>
        <v>979.62141157181</v>
      </c>
      <c r="P2" s="7" t="n">
        <f aca="false">Günlük!I5</f>
        <v>965.907285039989</v>
      </c>
      <c r="Q2" s="7" t="n">
        <f aca="false">Günlük!J5</f>
        <v>964.949172249693</v>
      </c>
      <c r="R2" s="7" t="n">
        <f aca="false">Günlük!K5</f>
        <v>960.725978832433</v>
      </c>
      <c r="S2" s="7" t="n">
        <f aca="false">Günlük!L5</f>
        <v>959.731641374515</v>
      </c>
    </row>
    <row r="3" customFormat="false" ht="15" hidden="false" customHeight="false" outlineLevel="0" collapsed="false">
      <c r="A3" s="15" t="s">
        <v>73</v>
      </c>
      <c r="B3" s="16" t="n">
        <f aca="false">Günlük!A6</f>
        <v>46027</v>
      </c>
      <c r="C3" s="16" t="n">
        <f aca="false">Günlük!A12</f>
        <v>46033</v>
      </c>
      <c r="D3" s="15" t="n">
        <v>7</v>
      </c>
      <c r="E3" s="17" t="n">
        <f aca="false">Günlük!H12/Günlük!H5-1</f>
        <v>0.102311954758003</v>
      </c>
      <c r="F3" s="17" t="n">
        <f aca="false">Günlük!I12/Günlük!I5-1</f>
        <v>0.114319807811451</v>
      </c>
      <c r="G3" s="17" t="n">
        <f aca="false">Günlük!J12/Günlük!J5-1</f>
        <v>0.114508591736677</v>
      </c>
      <c r="H3" s="17" t="n">
        <f aca="false">Günlük!K12/Günlük!K5-1</f>
        <v>0.117220534290571</v>
      </c>
      <c r="I3" s="17" t="n">
        <f aca="false">Günlük!L12/Günlük!L5-1</f>
        <v>0.110126278103086</v>
      </c>
      <c r="J3" s="18" t="n">
        <f aca="false">Günlük!H12-Günlük!H5</f>
        <v>100.226981540706</v>
      </c>
      <c r="K3" s="18" t="n">
        <f aca="false">Günlük!I12-Günlük!I5</f>
        <v>110.422335189452</v>
      </c>
      <c r="L3" s="18" t="n">
        <f aca="false">Günlük!J12-Günlük!J5</f>
        <v>110.494970811785</v>
      </c>
      <c r="M3" s="18" t="n">
        <f aca="false">Günlük!K12-Günlük!K5</f>
        <v>112.616812545569</v>
      </c>
      <c r="N3" s="18" t="n">
        <f aca="false">Günlük!L12-Günlük!L5</f>
        <v>105.691673642341</v>
      </c>
      <c r="O3" s="7" t="n">
        <f aca="false">Günlük!H12</f>
        <v>1079.84839311252</v>
      </c>
      <c r="P3" s="7" t="n">
        <f aca="false">Günlük!I12</f>
        <v>1076.32962022944</v>
      </c>
      <c r="Q3" s="7" t="n">
        <f aca="false">Günlük!J12</f>
        <v>1075.44414306148</v>
      </c>
      <c r="R3" s="7" t="n">
        <f aca="false">Günlük!K12</f>
        <v>1073.342791378</v>
      </c>
      <c r="S3" s="7" t="n">
        <f aca="false">Günlük!L12</f>
        <v>1065.42331501686</v>
      </c>
    </row>
    <row r="4" customFormat="false" ht="15" hidden="false" customHeight="false" outlineLevel="0" collapsed="false">
      <c r="A4" s="15" t="s">
        <v>74</v>
      </c>
      <c r="B4" s="16" t="n">
        <f aca="false">Günlük!A13</f>
        <v>46034</v>
      </c>
      <c r="C4" s="16" t="n">
        <f aca="false">Günlük!A19</f>
        <v>46040</v>
      </c>
      <c r="D4" s="15" t="n">
        <v>7</v>
      </c>
      <c r="E4" s="17" t="n">
        <f aca="false">Günlük!H19/Günlük!H12-1</f>
        <v>0.104493803166057</v>
      </c>
      <c r="F4" s="17" t="n">
        <f aca="false">Günlük!I19/Günlük!I12-1</f>
        <v>0.112927101362514</v>
      </c>
      <c r="G4" s="17" t="n">
        <f aca="false">Günlük!J19/Günlük!J12-1</f>
        <v>0.112865645485881</v>
      </c>
      <c r="H4" s="17" t="n">
        <f aca="false">Günlük!K19/Günlük!K12-1</f>
        <v>0.0958841557531043</v>
      </c>
      <c r="I4" s="17" t="n">
        <f aca="false">Günlük!L19/Günlük!L12-1</f>
        <v>0.0999466131446309</v>
      </c>
      <c r="J4" s="18" t="n">
        <f aca="false">Günlük!H19-Günlük!H12</f>
        <v>112.837465439082</v>
      </c>
      <c r="K4" s="18" t="n">
        <f aca="false">Günlük!I19-Günlük!I12</f>
        <v>121.546784123126</v>
      </c>
      <c r="L4" s="18" t="n">
        <f aca="false">Günlük!J19-Günlük!J12</f>
        <v>121.380697390644</v>
      </c>
      <c r="M4" s="18" t="n">
        <f aca="false">Günlük!K19-Günlük!K12</f>
        <v>102.91656738496</v>
      </c>
      <c r="N4" s="18" t="n">
        <f aca="false">Günlük!L19-Günlük!L12</f>
        <v>106.48545190126</v>
      </c>
      <c r="O4" s="7" t="n">
        <f aca="false">Günlük!H19</f>
        <v>1192.6858585516</v>
      </c>
      <c r="P4" s="7" t="n">
        <f aca="false">Günlük!I19</f>
        <v>1197.87640435257</v>
      </c>
      <c r="Q4" s="7" t="n">
        <f aca="false">Günlük!J19</f>
        <v>1196.82484045212</v>
      </c>
      <c r="R4" s="7" t="n">
        <f aca="false">Günlük!K19</f>
        <v>1176.25935876296</v>
      </c>
      <c r="S4" s="7" t="n">
        <f aca="false">Günlük!L19</f>
        <v>1171.90876691812</v>
      </c>
    </row>
    <row r="5" customFormat="false" ht="15" hidden="false" customHeight="false" outlineLevel="0" collapsed="false">
      <c r="A5" s="15" t="s">
        <v>75</v>
      </c>
      <c r="B5" s="16" t="n">
        <f aca="false">Günlük!A20</f>
        <v>46041</v>
      </c>
      <c r="C5" s="16" t="n">
        <f aca="false">Günlük!A26</f>
        <v>46047</v>
      </c>
      <c r="D5" s="15" t="n">
        <v>7</v>
      </c>
      <c r="E5" s="17" t="n">
        <f aca="false">Günlük!H26/Günlük!H19-1</f>
        <v>0.174124521496845</v>
      </c>
      <c r="F5" s="17" t="n">
        <f aca="false">Günlük!I26/Günlük!I19-1</f>
        <v>0.156402304430417</v>
      </c>
      <c r="G5" s="17" t="n">
        <f aca="false">Günlük!J26/Günlük!J19-1</f>
        <v>0.156401950537953</v>
      </c>
      <c r="H5" s="17" t="n">
        <f aca="false">Günlük!K26/Günlük!K19-1</f>
        <v>0.171284624449446</v>
      </c>
      <c r="I5" s="17" t="n">
        <f aca="false">Günlük!L26/Günlük!L19-1</f>
        <v>0.148970561193019</v>
      </c>
      <c r="J5" s="18" t="n">
        <f aca="false">Günlük!H26-Günlük!H19</f>
        <v>207.675854416351</v>
      </c>
      <c r="K5" s="18" t="n">
        <f aca="false">Günlük!I26-Günlük!I19</f>
        <v>187.350630063563</v>
      </c>
      <c r="L5" s="18" t="n">
        <f aca="false">Günlük!J26-Günlük!J19</f>
        <v>187.185739498986</v>
      </c>
      <c r="M5" s="18" t="n">
        <f aca="false">Günlük!K26-Günlük!K19</f>
        <v>201.475142520861</v>
      </c>
      <c r="N5" s="18" t="n">
        <f aca="false">Günlük!L26-Günlük!L19</f>
        <v>174.57990667481</v>
      </c>
      <c r="O5" s="7" t="n">
        <f aca="false">Günlük!H26</f>
        <v>1400.36171296795</v>
      </c>
      <c r="P5" s="7" t="n">
        <f aca="false">Günlük!I26</f>
        <v>1385.22703441613</v>
      </c>
      <c r="Q5" s="7" t="n">
        <f aca="false">Günlük!J26</f>
        <v>1384.01057995111</v>
      </c>
      <c r="R5" s="7" t="n">
        <f aca="false">Günlük!K26</f>
        <v>1377.73450128382</v>
      </c>
      <c r="S5" s="7" t="n">
        <f aca="false">Günlük!L26</f>
        <v>1346.48867359293</v>
      </c>
    </row>
    <row r="6" customFormat="false" ht="15" hidden="false" customHeight="false" outlineLevel="0" collapsed="false">
      <c r="A6" s="15" t="s">
        <v>76</v>
      </c>
      <c r="B6" s="16" t="n">
        <f aca="false">Günlük!A27</f>
        <v>46048</v>
      </c>
      <c r="C6" s="16" t="n">
        <f aca="false">Günlük!A33</f>
        <v>46054</v>
      </c>
      <c r="D6" s="15" t="n">
        <v>7</v>
      </c>
      <c r="E6" s="17" t="n">
        <f aca="false">Günlük!H33/Günlük!H26-1</f>
        <v>0.00886822899991824</v>
      </c>
      <c r="F6" s="17" t="n">
        <f aca="false">Günlük!I33/Günlük!I26-1</f>
        <v>0.00697729438813677</v>
      </c>
      <c r="G6" s="17" t="n">
        <f aca="false">Günlük!J33/Günlük!J26-1</f>
        <v>-0.00199964899961091</v>
      </c>
      <c r="H6" s="17" t="n">
        <f aca="false">Günlük!K33/Günlük!K26-1</f>
        <v>-0.0223163240867194</v>
      </c>
      <c r="I6" s="17" t="n">
        <f aca="false">Günlük!L33/Günlük!L26-1</f>
        <v>0.0199159308708381</v>
      </c>
      <c r="J6" s="18" t="n">
        <f aca="false">Günlük!H33-Günlük!H26</f>
        <v>12.4187283533176</v>
      </c>
      <c r="K6" s="18" t="n">
        <f aca="false">Günlük!I33-Günlük!I26</f>
        <v>9.66513681352694</v>
      </c>
      <c r="L6" s="18" t="n">
        <f aca="false">Günlük!J33-Günlük!J26</f>
        <v>-2.76753537165018</v>
      </c>
      <c r="M6" s="18" t="n">
        <f aca="false">Günlük!K33-Günlük!K26</f>
        <v>-30.7459696361045</v>
      </c>
      <c r="N6" s="18" t="n">
        <f aca="false">Günlük!L33-Günlük!L26</f>
        <v>26.8165753416431</v>
      </c>
      <c r="O6" s="7" t="n">
        <f aca="false">Günlük!H33</f>
        <v>1412.78044132127</v>
      </c>
      <c r="P6" s="7" t="n">
        <f aca="false">Günlük!I33</f>
        <v>1394.89217122966</v>
      </c>
      <c r="Q6" s="7" t="n">
        <f aca="false">Günlük!J33</f>
        <v>1381.24304457946</v>
      </c>
      <c r="R6" s="7" t="n">
        <f aca="false">Günlük!K33</f>
        <v>1346.98853164772</v>
      </c>
      <c r="S6" s="7" t="n">
        <f aca="false">Günlük!L33</f>
        <v>1373.30524893457</v>
      </c>
    </row>
    <row r="7" customFormat="false" ht="15" hidden="false" customHeight="false" outlineLevel="0" collapsed="false">
      <c r="A7" s="15" t="s">
        <v>77</v>
      </c>
      <c r="B7" s="16" t="n">
        <f aca="false">Günlük!A34</f>
        <v>46055</v>
      </c>
      <c r="C7" s="16" t="n">
        <f aca="false">Günlük!A40</f>
        <v>46061</v>
      </c>
      <c r="D7" s="15" t="n">
        <v>7</v>
      </c>
      <c r="E7" s="17" t="n">
        <f aca="false">Günlük!H40/Günlük!H33-1</f>
        <v>0.0254776299204882</v>
      </c>
      <c r="F7" s="17" t="n">
        <f aca="false">Günlük!I40/Günlük!I33-1</f>
        <v>0.0456645256321235</v>
      </c>
      <c r="G7" s="17" t="n">
        <f aca="false">Günlük!J40/Günlük!J33-1</f>
        <v>0.0457768483147727</v>
      </c>
      <c r="H7" s="17" t="n">
        <f aca="false">Günlük!K40/Günlük!K33-1</f>
        <v>0.0389161635773343</v>
      </c>
      <c r="I7" s="17" t="n">
        <f aca="false">Günlük!L40/Günlük!L33-1</f>
        <v>0.0534188894613246</v>
      </c>
      <c r="J7" s="18" t="n">
        <f aca="false">Günlük!H40-Günlük!H33</f>
        <v>35.9942972428871</v>
      </c>
      <c r="K7" s="18" t="n">
        <f aca="false">Günlük!I40-Günlük!I33</f>
        <v>63.697089307165</v>
      </c>
      <c r="L7" s="18" t="n">
        <f aca="false">Günlük!J40-Günlük!J33</f>
        <v>63.2289533375485</v>
      </c>
      <c r="M7" s="18" t="n">
        <f aca="false">Günlük!K40-Günlük!K33</f>
        <v>52.4196260343958</v>
      </c>
      <c r="N7" s="18" t="n">
        <f aca="false">Günlük!L40-Günlük!L33</f>
        <v>73.3604412894927</v>
      </c>
      <c r="O7" s="7" t="n">
        <f aca="false">Günlük!H40</f>
        <v>1448.77473856415</v>
      </c>
      <c r="P7" s="7" t="n">
        <f aca="false">Günlük!I40</f>
        <v>1458.58926053682</v>
      </c>
      <c r="Q7" s="7" t="n">
        <f aca="false">Günlük!J40</f>
        <v>1444.47199791701</v>
      </c>
      <c r="R7" s="7" t="n">
        <f aca="false">Günlük!K40</f>
        <v>1399.40815768212</v>
      </c>
      <c r="S7" s="7" t="n">
        <f aca="false">Günlük!L40</f>
        <v>1446.66569022406</v>
      </c>
    </row>
    <row r="8" customFormat="false" ht="15" hidden="false" customHeight="false" outlineLevel="0" collapsed="false">
      <c r="A8" s="15" t="s">
        <v>78</v>
      </c>
      <c r="B8" s="16" t="n">
        <f aca="false">Günlük!A41</f>
        <v>46062</v>
      </c>
      <c r="C8" s="16" t="n">
        <f aca="false">Günlük!A47</f>
        <v>46068</v>
      </c>
      <c r="D8" s="15" t="n">
        <v>7</v>
      </c>
      <c r="E8" s="17" t="n">
        <f aca="false">Günlük!H47/Günlük!H40-1</f>
        <v>0.0345690722017504</v>
      </c>
      <c r="F8" s="17" t="n">
        <f aca="false">Günlük!I47/Günlük!I40-1</f>
        <v>0.0468213660213981</v>
      </c>
      <c r="G8" s="17" t="n">
        <f aca="false">Günlük!J47/Günlük!J40-1</f>
        <v>0.0483353492486147</v>
      </c>
      <c r="H8" s="17" t="n">
        <f aca="false">Günlük!K47/Günlük!K40-1</f>
        <v>0.0203869715507512</v>
      </c>
      <c r="I8" s="17" t="n">
        <f aca="false">Günlük!L47/Günlük!L40-1</f>
        <v>0.0323048576242626</v>
      </c>
      <c r="J8" s="18" t="n">
        <f aca="false">Günlük!H47-Günlük!H40</f>
        <v>50.0827985414962</v>
      </c>
      <c r="K8" s="18" t="n">
        <f aca="false">Günlük!I47-Günlük!I40</f>
        <v>68.2931416424749</v>
      </c>
      <c r="L8" s="18" t="n">
        <f aca="false">Günlük!J47-Günlük!J40</f>
        <v>69.8190584991628</v>
      </c>
      <c r="M8" s="18" t="n">
        <f aca="false">Günlük!K47-Günlük!K40</f>
        <v>28.5296942985544</v>
      </c>
      <c r="N8" s="18" t="n">
        <f aca="false">Günlük!L47-Günlük!L40</f>
        <v>46.734329152594</v>
      </c>
      <c r="O8" s="7" t="n">
        <f aca="false">Günlük!H47</f>
        <v>1498.85753710565</v>
      </c>
      <c r="P8" s="7" t="n">
        <f aca="false">Günlük!I47</f>
        <v>1526.8824021793</v>
      </c>
      <c r="Q8" s="7" t="n">
        <f aca="false">Günlük!J47</f>
        <v>1514.29105641617</v>
      </c>
      <c r="R8" s="7" t="n">
        <f aca="false">Günlük!K47</f>
        <v>1427.93785198067</v>
      </c>
      <c r="S8" s="7" t="n">
        <f aca="false">Günlük!L47</f>
        <v>1493.40001937666</v>
      </c>
    </row>
    <row r="9" customFormat="false" ht="15" hidden="false" customHeight="false" outlineLevel="0" collapsed="false">
      <c r="A9" s="15" t="s">
        <v>79</v>
      </c>
      <c r="B9" s="16" t="n">
        <f aca="false">Günlük!A48</f>
        <v>46069</v>
      </c>
      <c r="C9" s="16" t="n">
        <f aca="false">Günlük!A54</f>
        <v>46075</v>
      </c>
      <c r="D9" s="15" t="n">
        <v>7</v>
      </c>
      <c r="E9" s="17" t="n">
        <f aca="false">Günlük!H54/Günlük!H47-1</f>
        <v>-0.0100804101511903</v>
      </c>
      <c r="F9" s="17" t="n">
        <f aca="false">Günlük!I54/Günlük!I47-1</f>
        <v>-0.00127522132148272</v>
      </c>
      <c r="G9" s="17" t="n">
        <f aca="false">Günlük!J54/Günlük!J47-1</f>
        <v>-0.0126294086798701</v>
      </c>
      <c r="H9" s="17" t="n">
        <f aca="false">Günlük!K54/Günlük!K47-1</f>
        <v>0.0115315856466738</v>
      </c>
      <c r="I9" s="17" t="n">
        <f aca="false">Günlük!L54/Günlük!L47-1</f>
        <v>-0.00505347958444891</v>
      </c>
      <c r="J9" s="18" t="n">
        <f aca="false">Günlük!H54-Günlük!H47</f>
        <v>-15.1090987322279</v>
      </c>
      <c r="K9" s="18" t="n">
        <f aca="false">Günlük!I54-Günlük!I47</f>
        <v>-1.94711299465575</v>
      </c>
      <c r="L9" s="18" t="n">
        <f aca="false">Günlük!J54-Günlük!J47</f>
        <v>-19.1246006117519</v>
      </c>
      <c r="M9" s="18" t="n">
        <f aca="false">Günlük!K54-Günlük!K47</f>
        <v>16.4663876382424</v>
      </c>
      <c r="N9" s="18" t="n">
        <f aca="false">Günlük!L54-Günlük!L47</f>
        <v>-7.54686650933559</v>
      </c>
      <c r="O9" s="7" t="n">
        <f aca="false">Günlük!H54</f>
        <v>1483.74843837342</v>
      </c>
      <c r="P9" s="7" t="n">
        <f aca="false">Günlük!I54</f>
        <v>1524.93528918464</v>
      </c>
      <c r="Q9" s="7" t="n">
        <f aca="false">Günlük!J54</f>
        <v>1495.16645580442</v>
      </c>
      <c r="R9" s="7" t="n">
        <f aca="false">Günlük!K54</f>
        <v>1444.40423961891</v>
      </c>
      <c r="S9" s="7" t="n">
        <f aca="false">Günlük!L54</f>
        <v>1485.85315286732</v>
      </c>
    </row>
    <row r="10" customFormat="false" ht="15" hidden="false" customHeight="false" outlineLevel="0" collapsed="false">
      <c r="A10" s="15" t="s">
        <v>80</v>
      </c>
      <c r="B10" s="16" t="n">
        <f aca="false">Günlük!A55</f>
        <v>46076</v>
      </c>
      <c r="C10" s="16" t="n">
        <f aca="false">Günlük!A61</f>
        <v>46082</v>
      </c>
      <c r="D10" s="15" t="n">
        <v>7</v>
      </c>
      <c r="E10" s="17" t="n">
        <f aca="false">Günlük!H61/Günlük!H54-1</f>
        <v>0.126957572852658</v>
      </c>
      <c r="F10" s="17" t="n">
        <f aca="false">Günlük!I61/Günlük!I54-1</f>
        <v>0.149182447172517</v>
      </c>
      <c r="G10" s="17" t="n">
        <f aca="false">Günlük!J61/Günlük!J54-1</f>
        <v>0.148043717731465</v>
      </c>
      <c r="H10" s="17" t="n">
        <f aca="false">Günlük!K61/Günlük!K54-1</f>
        <v>0.119809844946831</v>
      </c>
      <c r="I10" s="17" t="n">
        <f aca="false">Günlük!L61/Günlük!L54-1</f>
        <v>0.144054323518799</v>
      </c>
      <c r="J10" s="18" t="n">
        <f aca="false">Günlük!H61-Günlük!H54</f>
        <v>188.373100459811</v>
      </c>
      <c r="K10" s="18" t="n">
        <f aca="false">Günlük!I61-Günlük!I54</f>
        <v>227.493578220294</v>
      </c>
      <c r="L10" s="18" t="n">
        <f aca="false">Günlük!J61-Günlük!J54</f>
        <v>221.350000744663</v>
      </c>
      <c r="M10" s="18" t="n">
        <f aca="false">Günlük!K61-Günlük!K54</f>
        <v>173.053847989286</v>
      </c>
      <c r="N10" s="18" t="n">
        <f aca="false">Günlük!L61-Günlük!L54</f>
        <v>214.043570784577</v>
      </c>
      <c r="O10" s="7" t="n">
        <f aca="false">Günlük!H61</f>
        <v>1672.12153883323</v>
      </c>
      <c r="P10" s="7" t="n">
        <f aca="false">Günlük!I61</f>
        <v>1752.42886740494</v>
      </c>
      <c r="Q10" s="7" t="n">
        <f aca="false">Günlük!J61</f>
        <v>1716.51645654908</v>
      </c>
      <c r="R10" s="7" t="n">
        <f aca="false">Günlük!K61</f>
        <v>1617.4580876082</v>
      </c>
      <c r="S10" s="7" t="n">
        <f aca="false">Günlük!L61</f>
        <v>1699.8967236519</v>
      </c>
    </row>
    <row r="11" customFormat="false" ht="15" hidden="false" customHeight="false" outlineLevel="0" collapsed="false">
      <c r="A11" s="15" t="s">
        <v>81</v>
      </c>
      <c r="B11" s="16" t="n">
        <f aca="false">Günlük!A62</f>
        <v>46083</v>
      </c>
      <c r="C11" s="16" t="n">
        <f aca="false">Günlük!A68</f>
        <v>46089</v>
      </c>
      <c r="D11" s="15" t="n">
        <v>7</v>
      </c>
      <c r="E11" s="17" t="n">
        <f aca="false">Günlük!H68/Günlük!H61-1</f>
        <v>0.0529191352181388</v>
      </c>
      <c r="F11" s="17" t="n">
        <f aca="false">Günlük!I68/Günlük!I61-1</f>
        <v>0.0401345867687948</v>
      </c>
      <c r="G11" s="17" t="n">
        <f aca="false">Günlük!J68/Günlük!J61-1</f>
        <v>0.0539882131207572</v>
      </c>
      <c r="H11" s="17" t="n">
        <f aca="false">Günlük!K68/Günlük!K61-1</f>
        <v>0.0487315452961117</v>
      </c>
      <c r="I11" s="17" t="n">
        <f aca="false">Günlük!L68/Günlük!L61-1</f>
        <v>0.0424906889332419</v>
      </c>
      <c r="J11" s="18" t="n">
        <f aca="false">Günlük!H68-Günlük!H61</f>
        <v>88.4872258146781</v>
      </c>
      <c r="K11" s="18" t="n">
        <f aca="false">Günlük!I68-Günlük!I61</f>
        <v>70.3330084350041</v>
      </c>
      <c r="L11" s="18" t="n">
        <f aca="false">Günlük!J68-Günlük!J61</f>
        <v>92.6716562814588</v>
      </c>
      <c r="M11" s="18" t="n">
        <f aca="false">Günlük!K68-Günlük!K61</f>
        <v>78.8212320608411</v>
      </c>
      <c r="N11" s="18" t="n">
        <f aca="false">Günlük!L68-Günlük!L61</f>
        <v>72.2297829033298</v>
      </c>
      <c r="O11" s="7" t="n">
        <f aca="false">Günlük!H68</f>
        <v>1760.60876464791</v>
      </c>
      <c r="P11" s="7" t="n">
        <f aca="false">Günlük!I68</f>
        <v>1822.76187583994</v>
      </c>
      <c r="Q11" s="7" t="n">
        <f aca="false">Günlük!J68</f>
        <v>1809.18811283054</v>
      </c>
      <c r="R11" s="7" t="n">
        <f aca="false">Günlük!K68</f>
        <v>1696.27931966904</v>
      </c>
      <c r="S11" s="7" t="n">
        <f aca="false">Günlük!L68</f>
        <v>1772.12650655523</v>
      </c>
    </row>
    <row r="12" customFormat="false" ht="15" hidden="false" customHeight="false" outlineLevel="0" collapsed="false">
      <c r="A12" s="15" t="s">
        <v>82</v>
      </c>
      <c r="B12" s="16" t="n">
        <f aca="false">Günlük!A69</f>
        <v>46090</v>
      </c>
      <c r="C12" s="16" t="n">
        <f aca="false">Günlük!A75</f>
        <v>46096</v>
      </c>
      <c r="D12" s="15" t="n">
        <v>7</v>
      </c>
      <c r="E12" s="17" t="n">
        <f aca="false">Günlük!H75/Günlük!H68-1</f>
        <v>-0.0422635323175126</v>
      </c>
      <c r="F12" s="17" t="n">
        <f aca="false">Günlük!I75/Günlük!I68-1</f>
        <v>-0.0593549411639137</v>
      </c>
      <c r="G12" s="17" t="n">
        <f aca="false">Günlük!J75/Günlük!J68-1</f>
        <v>-0.0517390762421262</v>
      </c>
      <c r="H12" s="17" t="n">
        <f aca="false">Günlük!K75/Günlük!K68-1</f>
        <v>-0.0476833648499622</v>
      </c>
      <c r="I12" s="17" t="n">
        <f aca="false">Günlük!L75/Günlük!L68-1</f>
        <v>-0.0520886863257348</v>
      </c>
      <c r="J12" s="18" t="n">
        <f aca="false">Günlük!H75-Günlük!H68</f>
        <v>-74.4095454231929</v>
      </c>
      <c r="K12" s="18" t="n">
        <f aca="false">Günlük!I75-Günlük!I68</f>
        <v>-108.189923896305</v>
      </c>
      <c r="L12" s="18" t="n">
        <f aca="false">Günlük!J75-Günlük!J68</f>
        <v>-93.6057217060875</v>
      </c>
      <c r="M12" s="18" t="n">
        <f aca="false">Günlük!K75-Günlük!K68</f>
        <v>-80.8843056872245</v>
      </c>
      <c r="N12" s="18" t="n">
        <f aca="false">Günlük!L75-Günlük!L68</f>
        <v>-92.3077417294755</v>
      </c>
      <c r="O12" s="7" t="n">
        <f aca="false">Günlük!H75</f>
        <v>1686.19921922472</v>
      </c>
      <c r="P12" s="7" t="n">
        <f aca="false">Günlük!I75</f>
        <v>1714.57195194363</v>
      </c>
      <c r="Q12" s="7" t="n">
        <f aca="false">Günlük!J75</f>
        <v>1715.58239112445</v>
      </c>
      <c r="R12" s="7" t="n">
        <f aca="false">Günlük!K75</f>
        <v>1615.39501398181</v>
      </c>
      <c r="S12" s="7" t="n">
        <f aca="false">Günlük!L75</f>
        <v>1679.81876482575</v>
      </c>
    </row>
    <row r="13" customFormat="false" ht="15" hidden="false" customHeight="false" outlineLevel="0" collapsed="false">
      <c r="A13" s="15" t="s">
        <v>83</v>
      </c>
      <c r="B13" s="16" t="n">
        <f aca="false">Günlük!A76</f>
        <v>46097</v>
      </c>
      <c r="C13" s="16" t="n">
        <f aca="false">Günlük!A82</f>
        <v>46103</v>
      </c>
      <c r="D13" s="15" t="n">
        <v>7</v>
      </c>
      <c r="E13" s="17" t="n">
        <f aca="false">Günlük!H82/Günlük!H75-1</f>
        <v>0.15226722629106</v>
      </c>
      <c r="F13" s="17" t="n">
        <f aca="false">Günlük!I82/Günlük!I75-1</f>
        <v>0.143750779520774</v>
      </c>
      <c r="G13" s="17" t="n">
        <f aca="false">Günlük!J82/Günlük!J75-1</f>
        <v>0.171692947150264</v>
      </c>
      <c r="H13" s="17" t="n">
        <f aca="false">Günlük!K82/Günlük!K75-1</f>
        <v>0.144255904039564</v>
      </c>
      <c r="I13" s="17" t="n">
        <f aca="false">Günlük!L82/Günlük!L75-1</f>
        <v>0.133085752112722</v>
      </c>
      <c r="J13" s="18" t="n">
        <f aca="false">Günlük!H82-Günlük!H75</f>
        <v>256.752878085499</v>
      </c>
      <c r="K13" s="18" t="n">
        <f aca="false">Günlük!I82-Günlük!I75</f>
        <v>246.471054636353</v>
      </c>
      <c r="L13" s="18" t="n">
        <f aca="false">Günlük!J82-Günlük!J75</f>
        <v>294.553396811253</v>
      </c>
      <c r="M13" s="18" t="n">
        <f aca="false">Günlük!K82-Günlük!K75</f>
        <v>233.030268122951</v>
      </c>
      <c r="N13" s="18" t="n">
        <f aca="false">Günlük!L82-Günlük!L75</f>
        <v>223.559943729899</v>
      </c>
      <c r="O13" s="7" t="n">
        <f aca="false">Günlük!H82</f>
        <v>1942.95209731022</v>
      </c>
      <c r="P13" s="7" t="n">
        <f aca="false">Günlük!I82</f>
        <v>1961.04300657999</v>
      </c>
      <c r="Q13" s="7" t="n">
        <f aca="false">Günlük!J82</f>
        <v>2010.1357879357</v>
      </c>
      <c r="R13" s="7" t="n">
        <f aca="false">Günlük!K82</f>
        <v>1848.42528210477</v>
      </c>
      <c r="S13" s="7" t="n">
        <f aca="false">Günlük!L82</f>
        <v>1903.37870855565</v>
      </c>
    </row>
    <row r="14" customFormat="false" ht="15" hidden="false" customHeight="false" outlineLevel="0" collapsed="false">
      <c r="A14" s="15" t="s">
        <v>84</v>
      </c>
      <c r="B14" s="16" t="n">
        <f aca="false">Günlük!A83</f>
        <v>46104</v>
      </c>
      <c r="C14" s="16" t="n">
        <f aca="false">Günlük!A89</f>
        <v>46110</v>
      </c>
      <c r="D14" s="15" t="n">
        <v>7</v>
      </c>
      <c r="E14" s="17" t="n">
        <f aca="false">Günlük!H89/Günlük!H82-1</f>
        <v>-0.0200719245832383</v>
      </c>
      <c r="F14" s="17" t="n">
        <f aca="false">Günlük!I89/Günlük!I82-1</f>
        <v>0.0216221267376993</v>
      </c>
      <c r="G14" s="17" t="n">
        <f aca="false">Günlük!J89/Günlük!J82-1</f>
        <v>-0.0247302766273725</v>
      </c>
      <c r="H14" s="17" t="n">
        <f aca="false">Günlük!K89/Günlük!K82-1</f>
        <v>-0.0303737772247714</v>
      </c>
      <c r="I14" s="17" t="n">
        <f aca="false">Günlük!L89/Günlük!L82-1</f>
        <v>0.0229679671377818</v>
      </c>
      <c r="J14" s="18" t="n">
        <f aca="false">Günlük!H89-Günlük!H82</f>
        <v>-38.9987879660553</v>
      </c>
      <c r="K14" s="18" t="n">
        <f aca="false">Günlük!I89-Günlük!I82</f>
        <v>42.4019204263511</v>
      </c>
      <c r="L14" s="18" t="n">
        <f aca="false">Günlük!J89-Günlük!J82</f>
        <v>-49.7112140942313</v>
      </c>
      <c r="M14" s="18" t="n">
        <f aca="false">Günlük!K89-Günlük!K82</f>
        <v>-56.1436577352854</v>
      </c>
      <c r="N14" s="18" t="n">
        <f aca="false">Günlük!L89-Günlük!L82</f>
        <v>43.7167396288598</v>
      </c>
      <c r="O14" s="7" t="n">
        <f aca="false">Günlük!H89</f>
        <v>1903.95330934416</v>
      </c>
      <c r="P14" s="7" t="n">
        <f aca="false">Günlük!I89</f>
        <v>2003.44492700634</v>
      </c>
      <c r="Q14" s="7" t="n">
        <f aca="false">Günlük!J89</f>
        <v>1960.42457384147</v>
      </c>
      <c r="R14" s="7" t="n">
        <f aca="false">Günlük!K89</f>
        <v>1792.28162436948</v>
      </c>
      <c r="S14" s="7" t="n">
        <f aca="false">Günlük!L89</f>
        <v>1947.09544818451</v>
      </c>
    </row>
    <row r="15" customFormat="false" ht="15" hidden="false" customHeight="false" outlineLevel="0" collapsed="false">
      <c r="A15" s="15" t="s">
        <v>85</v>
      </c>
      <c r="B15" s="16" t="n">
        <f aca="false">Günlük!A90</f>
        <v>46111</v>
      </c>
      <c r="C15" s="16" t="n">
        <f aca="false">Günlük!A96</f>
        <v>46117</v>
      </c>
      <c r="D15" s="15" t="n">
        <v>7</v>
      </c>
      <c r="E15" s="17" t="n">
        <f aca="false">Günlük!H96/Günlük!H89-1</f>
        <v>-0.020846660650184</v>
      </c>
      <c r="F15" s="17" t="n">
        <f aca="false">Günlük!I96/Günlük!I89-1</f>
        <v>-0.0642701222063309</v>
      </c>
      <c r="G15" s="17" t="n">
        <f aca="false">Günlük!J96/Günlük!J89-1</f>
        <v>-0.0198922298256448</v>
      </c>
      <c r="H15" s="17" t="n">
        <f aca="false">Günlük!K96/Günlük!K89-1</f>
        <v>0.0122183274172412</v>
      </c>
      <c r="I15" s="17" t="n">
        <f aca="false">Günlük!L96/Günlük!L89-1</f>
        <v>-0.0669152044108167</v>
      </c>
      <c r="J15" s="18" t="n">
        <f aca="false">Günlük!H96-Günlük!H89</f>
        <v>-39.6910685336925</v>
      </c>
      <c r="K15" s="18" t="n">
        <f aca="false">Günlük!I96-Günlük!I89</f>
        <v>-128.761650292351</v>
      </c>
      <c r="L15" s="18" t="n">
        <f aca="false">Günlük!J96-Günlük!J89</f>
        <v>-38.9972161786964</v>
      </c>
      <c r="M15" s="18" t="n">
        <f aca="false">Günlük!K96-Günlük!K89</f>
        <v>21.8986837104512</v>
      </c>
      <c r="N15" s="18" t="n">
        <f aca="false">Günlük!L96-Günlük!L89</f>
        <v>-130.290289922637</v>
      </c>
      <c r="O15" s="7" t="n">
        <f aca="false">Günlük!H96</f>
        <v>1864.26224081047</v>
      </c>
      <c r="P15" s="7" t="n">
        <f aca="false">Günlük!I96</f>
        <v>1874.68327671399</v>
      </c>
      <c r="Q15" s="7" t="n">
        <f aca="false">Günlük!J96</f>
        <v>1921.42735766278</v>
      </c>
      <c r="R15" s="7" t="n">
        <f aca="false">Günlük!K96</f>
        <v>1814.18030807993</v>
      </c>
      <c r="S15" s="7" t="n">
        <f aca="false">Günlük!L96</f>
        <v>1816.80515826187</v>
      </c>
    </row>
    <row r="16" customFormat="false" ht="15" hidden="false" customHeight="false" outlineLevel="0" collapsed="false">
      <c r="A16" s="15" t="s">
        <v>86</v>
      </c>
      <c r="B16" s="16" t="n">
        <f aca="false">Günlük!A97</f>
        <v>46118</v>
      </c>
      <c r="C16" s="16" t="n">
        <f aca="false">Günlük!A103</f>
        <v>46124</v>
      </c>
      <c r="D16" s="15" t="n">
        <v>7</v>
      </c>
      <c r="E16" s="17" t="n">
        <f aca="false">Günlük!H103/Günlük!H96-1</f>
        <v>0.0101372130613011</v>
      </c>
      <c r="F16" s="17" t="n">
        <f aca="false">Günlük!I103/Günlük!I96-1</f>
        <v>0.0868150733467628</v>
      </c>
      <c r="G16" s="17" t="n">
        <f aca="false">Günlük!J103/Günlük!J96-1</f>
        <v>0.0191361707633788</v>
      </c>
      <c r="H16" s="17" t="n">
        <f aca="false">Günlük!K103/Günlük!K96-1</f>
        <v>0.0190028765851487</v>
      </c>
      <c r="I16" s="17" t="n">
        <f aca="false">Günlük!L103/Günlük!L96-1</f>
        <v>0.0772823274248915</v>
      </c>
      <c r="J16" s="18" t="n">
        <f aca="false">Günlük!H103-Günlük!H96</f>
        <v>18.8984235372345</v>
      </c>
      <c r="K16" s="18" t="n">
        <f aca="false">Günlük!I103-Günlük!I96</f>
        <v>162.750766169874</v>
      </c>
      <c r="L16" s="18" t="n">
        <f aca="false">Günlük!J103-Günlük!J96</f>
        <v>36.7687620256627</v>
      </c>
      <c r="M16" s="18" t="n">
        <f aca="false">Günlük!K103-Günlük!K96</f>
        <v>34.4746444976497</v>
      </c>
      <c r="N16" s="18" t="n">
        <f aca="false">Günlük!L103-Günlük!L96</f>
        <v>140.406931108026</v>
      </c>
      <c r="O16" s="7" t="n">
        <f aca="false">Günlük!H103</f>
        <v>1883.1606643477</v>
      </c>
      <c r="P16" s="7" t="n">
        <f aca="false">Günlük!I103</f>
        <v>2037.43404288386</v>
      </c>
      <c r="Q16" s="7" t="n">
        <f aca="false">Günlük!J103</f>
        <v>1958.19611968844</v>
      </c>
      <c r="R16" s="7" t="n">
        <f aca="false">Günlük!K103</f>
        <v>1848.65495257758</v>
      </c>
      <c r="S16" s="7" t="n">
        <f aca="false">Günlük!L103</f>
        <v>1957.2120893699</v>
      </c>
    </row>
    <row r="17" customFormat="false" ht="15" hidden="false" customHeight="false" outlineLevel="0" collapsed="false">
      <c r="A17" s="15" t="s">
        <v>87</v>
      </c>
      <c r="B17" s="16" t="n">
        <f aca="false">Günlük!A104</f>
        <v>46125</v>
      </c>
      <c r="C17" s="16" t="n">
        <f aca="false">Günlük!A110</f>
        <v>46131</v>
      </c>
      <c r="D17" s="15" t="n">
        <v>7</v>
      </c>
      <c r="E17" s="17" t="n">
        <f aca="false">Günlük!H110/Günlük!H103-1</f>
        <v>0.156755219412183</v>
      </c>
      <c r="F17" s="17" t="n">
        <f aca="false">Günlük!I110/Günlük!I103-1</f>
        <v>0.158836370131535</v>
      </c>
      <c r="G17" s="17" t="n">
        <f aca="false">Günlük!J110/Günlük!J103-1</f>
        <v>0.194939968302317</v>
      </c>
      <c r="H17" s="17" t="n">
        <f aca="false">Günlük!K110/Günlük!K103-1</f>
        <v>0.0905585287433826</v>
      </c>
      <c r="I17" s="17" t="n">
        <f aca="false">Günlük!L110/Günlük!L103-1</f>
        <v>0.13955027178515</v>
      </c>
      <c r="J17" s="18" t="n">
        <f aca="false">Günlük!H110-Günlük!H103</f>
        <v>295.195263128216</v>
      </c>
      <c r="K17" s="18" t="n">
        <f aca="false">Günlük!I110-Günlük!I103</f>
        <v>323.61862775409</v>
      </c>
      <c r="L17" s="18" t="n">
        <f aca="false">Günlük!J110-Günlük!J103</f>
        <v>381.730689501785</v>
      </c>
      <c r="M17" s="18" t="n">
        <f aca="false">Günlük!K110-Günlük!K103</f>
        <v>167.411472659593</v>
      </c>
      <c r="N17" s="18" t="n">
        <f aca="false">Günlük!L110-Günlük!L103</f>
        <v>273.129479012752</v>
      </c>
      <c r="O17" s="7" t="n">
        <f aca="false">Günlük!H110</f>
        <v>2178.35592747592</v>
      </c>
      <c r="P17" s="7" t="n">
        <f aca="false">Günlük!I110</f>
        <v>2361.05267063795</v>
      </c>
      <c r="Q17" s="7" t="n">
        <f aca="false">Günlük!J110</f>
        <v>2339.92680919022</v>
      </c>
      <c r="R17" s="7" t="n">
        <f aca="false">Günlük!K110</f>
        <v>2016.06642523717</v>
      </c>
      <c r="S17" s="7" t="n">
        <f aca="false">Günlük!L110</f>
        <v>2230.34156838265</v>
      </c>
    </row>
    <row r="18" customFormat="false" ht="15" hidden="false" customHeight="false" outlineLevel="0" collapsed="false">
      <c r="A18" s="15" t="s">
        <v>88</v>
      </c>
      <c r="B18" s="16" t="n">
        <f aca="false">Günlük!A111</f>
        <v>46132</v>
      </c>
      <c r="C18" s="16" t="n">
        <f aca="false">Günlük!A117</f>
        <v>46138</v>
      </c>
      <c r="D18" s="15" t="n">
        <v>7</v>
      </c>
      <c r="E18" s="17" t="n">
        <f aca="false">Günlük!H117/Günlük!H110-1</f>
        <v>0.0314947845027618</v>
      </c>
      <c r="F18" s="17" t="n">
        <f aca="false">Günlük!I117/Günlük!I110-1</f>
        <v>0.0214549302436975</v>
      </c>
      <c r="G18" s="17" t="n">
        <f aca="false">Günlük!J117/Günlük!J110-1</f>
        <v>0.0213762005216258</v>
      </c>
      <c r="H18" s="17" t="n">
        <f aca="false">Günlük!K117/Günlük!K110-1</f>
        <v>0.000925432773694723</v>
      </c>
      <c r="I18" s="17" t="n">
        <f aca="false">Günlük!L117/Günlük!L110-1</f>
        <v>0.0238544701629246</v>
      </c>
      <c r="J18" s="18" t="n">
        <f aca="false">Günlük!H117-Günlük!H110</f>
        <v>68.6068505061676</v>
      </c>
      <c r="K18" s="18" t="n">
        <f aca="false">Günlük!I117-Günlük!I110</f>
        <v>50.6562203502331</v>
      </c>
      <c r="L18" s="18" t="n">
        <f aca="false">Günlük!J117-Günlük!J110</f>
        <v>50.0187446791783</v>
      </c>
      <c r="M18" s="18" t="n">
        <f aca="false">Günlük!K117-Günlük!K110</f>
        <v>1.86573394385982</v>
      </c>
      <c r="N18" s="18" t="n">
        <f aca="false">Günlük!L117-Günlük!L110</f>
        <v>53.2036163961143</v>
      </c>
      <c r="O18" s="7" t="n">
        <f aca="false">Günlük!H117</f>
        <v>2246.96277798209</v>
      </c>
      <c r="P18" s="7" t="n">
        <f aca="false">Günlük!I117</f>
        <v>2411.70889098819</v>
      </c>
      <c r="Q18" s="7" t="n">
        <f aca="false">Günlük!J117</f>
        <v>2389.9455538694</v>
      </c>
      <c r="R18" s="7" t="n">
        <f aca="false">Günlük!K117</f>
        <v>2017.93215918103</v>
      </c>
      <c r="S18" s="7" t="n">
        <f aca="false">Günlük!L117</f>
        <v>2283.54518477877</v>
      </c>
    </row>
    <row r="19" customFormat="false" ht="15" hidden="false" customHeight="false" outlineLevel="0" collapsed="false">
      <c r="A19" s="15" t="s">
        <v>89</v>
      </c>
      <c r="B19" s="16" t="n">
        <f aca="false">Günlük!A118</f>
        <v>46139</v>
      </c>
      <c r="C19" s="16" t="n">
        <f aca="false">Günlük!A124</f>
        <v>46145</v>
      </c>
      <c r="D19" s="15" t="n">
        <v>7</v>
      </c>
      <c r="E19" s="17" t="n">
        <f aca="false">Günlük!H124/Günlük!H117-1</f>
        <v>0.0887627078875684</v>
      </c>
      <c r="F19" s="17" t="n">
        <f aca="false">Günlük!I124/Günlük!I117-1</f>
        <v>0.105723254107064</v>
      </c>
      <c r="G19" s="17" t="n">
        <f aca="false">Günlük!J124/Günlük!J117-1</f>
        <v>0.105713064232646</v>
      </c>
      <c r="H19" s="17" t="n">
        <f aca="false">Günlük!K124/Günlük!K117-1</f>
        <v>0.0758451548631638</v>
      </c>
      <c r="I19" s="17" t="n">
        <f aca="false">Günlük!L124/Günlük!L117-1</f>
        <v>0.0977299811678205</v>
      </c>
      <c r="J19" s="18" t="n">
        <f aca="false">Günlük!H124-Günlük!H117</f>
        <v>199.446500696263</v>
      </c>
      <c r="K19" s="18" t="n">
        <f aca="false">Günlük!I124-Günlük!I117</f>
        <v>254.97371191421</v>
      </c>
      <c r="L19" s="18" t="n">
        <f aca="false">Günlük!J124-Günlük!J117</f>
        <v>252.648467848724</v>
      </c>
      <c r="M19" s="18" t="n">
        <f aca="false">Günlük!K124-Günlük!K117</f>
        <v>153.050377116444</v>
      </c>
      <c r="N19" s="18" t="n">
        <f aca="false">Günlük!L124-Günlük!L117</f>
        <v>223.170827904296</v>
      </c>
      <c r="O19" s="7" t="n">
        <f aca="false">Günlük!H124</f>
        <v>2446.40927867835</v>
      </c>
      <c r="P19" s="7" t="n">
        <f aca="false">Günlük!I124</f>
        <v>2666.6826029024</v>
      </c>
      <c r="Q19" s="7" t="n">
        <f aca="false">Günlük!J124</f>
        <v>2642.59402171813</v>
      </c>
      <c r="R19" s="7" t="n">
        <f aca="false">Günlük!K124</f>
        <v>2170.98253629748</v>
      </c>
      <c r="S19" s="7" t="n">
        <f aca="false">Günlük!L124</f>
        <v>2506.71601268306</v>
      </c>
    </row>
    <row r="20" customFormat="false" ht="15" hidden="false" customHeight="false" outlineLevel="0" collapsed="false">
      <c r="A20" s="15" t="s">
        <v>90</v>
      </c>
      <c r="B20" s="16" t="n">
        <f aca="false">Günlük!A125</f>
        <v>46146</v>
      </c>
      <c r="C20" s="16" t="n">
        <f aca="false">Günlük!A131</f>
        <v>46152</v>
      </c>
      <c r="D20" s="15" t="n">
        <v>7</v>
      </c>
      <c r="E20" s="17" t="n">
        <f aca="false">Günlük!H131/Günlük!H124-1</f>
        <v>0.0725998352020609</v>
      </c>
      <c r="F20" s="17" t="n">
        <f aca="false">Günlük!I131/Günlük!I124-1</f>
        <v>0.0632958816638203</v>
      </c>
      <c r="G20" s="17" t="n">
        <f aca="false">Günlük!J131/Günlük!J124-1</f>
        <v>0.0633042277287039</v>
      </c>
      <c r="H20" s="17" t="n">
        <f aca="false">Günlük!K131/Günlük!K124-1</f>
        <v>0.0290847150997375</v>
      </c>
      <c r="I20" s="17" t="n">
        <f aca="false">Günlük!L131/Günlük!L124-1</f>
        <v>0.0506959523889812</v>
      </c>
      <c r="J20" s="18" t="n">
        <f aca="false">Günlük!H131-Günlük!H124</f>
        <v>177.608910468841</v>
      </c>
      <c r="K20" s="18" t="n">
        <f aca="false">Günlük!I131-Günlük!I124</f>
        <v>168.790026468278</v>
      </c>
      <c r="L20" s="18" t="n">
        <f aca="false">Günlük!J131-Günlük!J124</f>
        <v>167.287373745356</v>
      </c>
      <c r="M20" s="18" t="n">
        <f aca="false">Günlük!K131-Günlük!K124</f>
        <v>63.1424085547178</v>
      </c>
      <c r="N20" s="18" t="n">
        <f aca="false">Günlük!L131-Günlük!L124</f>
        <v>127.080355631677</v>
      </c>
      <c r="O20" s="7" t="n">
        <f aca="false">Günlük!H131</f>
        <v>2624.01818914719</v>
      </c>
      <c r="P20" s="7" t="n">
        <f aca="false">Günlük!I131</f>
        <v>2835.47262937067</v>
      </c>
      <c r="Q20" s="7" t="n">
        <f aca="false">Günlük!J131</f>
        <v>2809.88139546348</v>
      </c>
      <c r="R20" s="7" t="n">
        <f aca="false">Günlük!K131</f>
        <v>2234.1249448522</v>
      </c>
      <c r="S20" s="7" t="n">
        <f aca="false">Günlük!L131</f>
        <v>2633.79636831474</v>
      </c>
    </row>
    <row r="21" customFormat="false" ht="15" hidden="false" customHeight="false" outlineLevel="0" collapsed="false">
      <c r="A21" s="15" t="s">
        <v>91</v>
      </c>
      <c r="B21" s="16" t="n">
        <f aca="false">Günlük!A132</f>
        <v>46153</v>
      </c>
      <c r="C21" s="16" t="n">
        <f aca="false">Günlük!A138</f>
        <v>46159</v>
      </c>
      <c r="D21" s="15" t="n">
        <v>7</v>
      </c>
      <c r="E21" s="17" t="n">
        <f aca="false">Günlük!H138/Günlük!H131-1</f>
        <v>-0.0196644205960705</v>
      </c>
      <c r="F21" s="17" t="n">
        <f aca="false">Günlük!I138/Günlük!I131-1</f>
        <v>-0.0215684662047938</v>
      </c>
      <c r="G21" s="17" t="n">
        <f aca="false">Günlük!J138/Günlük!J131-1</f>
        <v>-0.0215684662047936</v>
      </c>
      <c r="H21" s="17" t="n">
        <f aca="false">Günlük!K138/Günlük!K131-1</f>
        <v>-0.0148318966443809</v>
      </c>
      <c r="I21" s="17" t="n">
        <f aca="false">Günlük!L138/Günlük!L131-1</f>
        <v>-0.021429659340118</v>
      </c>
      <c r="J21" s="18" t="n">
        <f aca="false">Günlük!H138-Günlük!H131</f>
        <v>-51.5997973231297</v>
      </c>
      <c r="K21" s="18" t="n">
        <f aca="false">Günlük!I138-Günlük!I131</f>
        <v>-61.1567955811993</v>
      </c>
      <c r="L21" s="18" t="n">
        <f aca="false">Günlük!J138-Günlük!J131</f>
        <v>-60.6048319175325</v>
      </c>
      <c r="M21" s="18" t="n">
        <f aca="false">Günlük!K138-Günlük!K131</f>
        <v>-33.1363102726809</v>
      </c>
      <c r="N21" s="18" t="n">
        <f aca="false">Günlük!L138-Günlük!L131</f>
        <v>-56.4413589442247</v>
      </c>
      <c r="O21" s="7" t="n">
        <f aca="false">Günlük!H138</f>
        <v>2572.41839182406</v>
      </c>
      <c r="P21" s="7" t="n">
        <f aca="false">Günlük!I138</f>
        <v>2774.31583378947</v>
      </c>
      <c r="Q21" s="7" t="n">
        <f aca="false">Günlük!J138</f>
        <v>2749.27656354595</v>
      </c>
      <c r="R21" s="7" t="n">
        <f aca="false">Günlük!K138</f>
        <v>2200.98863457952</v>
      </c>
      <c r="S21" s="7" t="n">
        <f aca="false">Günlük!L138</f>
        <v>2577.35500937051</v>
      </c>
    </row>
    <row r="22" customFormat="false" ht="15" hidden="false" customHeight="false" outlineLevel="0" collapsed="false">
      <c r="A22" s="15" t="s">
        <v>92</v>
      </c>
      <c r="B22" s="16" t="n">
        <f aca="false">Günlük!A139</f>
        <v>46160</v>
      </c>
      <c r="C22" s="16" t="n">
        <f aca="false">Günlük!A145</f>
        <v>46166</v>
      </c>
      <c r="D22" s="15" t="n">
        <v>7</v>
      </c>
      <c r="E22" s="17" t="n">
        <f aca="false">Günlük!H145/Günlük!H138-1</f>
        <v>0.0878231841042751</v>
      </c>
      <c r="F22" s="17" t="n">
        <f aca="false">Günlük!I145/Günlük!I138-1</f>
        <v>0.0685342564766236</v>
      </c>
      <c r="G22" s="17" t="n">
        <f aca="false">Günlük!J145/Günlük!J138-1</f>
        <v>0.0685342564766247</v>
      </c>
      <c r="H22" s="17" t="n">
        <f aca="false">Günlük!K145/Günlük!K138-1</f>
        <v>0.080872567725562</v>
      </c>
      <c r="I22" s="17" t="n">
        <f aca="false">Günlük!L145/Günlük!L138-1</f>
        <v>0.0837377564717392</v>
      </c>
      <c r="J22" s="18" t="n">
        <f aca="false">Günlük!H145-Günlük!H138</f>
        <v>225.917974018388</v>
      </c>
      <c r="K22" s="18" t="n">
        <f aca="false">Günlük!I145-Günlük!I138</f>
        <v>190.135672900086</v>
      </c>
      <c r="L22" s="18" t="n">
        <f aca="false">Günlük!J145-Günlük!J138</f>
        <v>188.419625131231</v>
      </c>
      <c r="M22" s="18" t="n">
        <f aca="false">Günlük!K145-Günlük!K138</f>
        <v>177.999602413224</v>
      </c>
      <c r="N22" s="18" t="n">
        <f aca="false">Günlük!L145-Günlük!L138</f>
        <v>215.821926115885</v>
      </c>
      <c r="O22" s="7" t="n">
        <f aca="false">Günlük!H145</f>
        <v>2798.33636584245</v>
      </c>
      <c r="P22" s="7" t="n">
        <f aca="false">Günlük!I145</f>
        <v>2964.45150668956</v>
      </c>
      <c r="Q22" s="7" t="n">
        <f aca="false">Günlük!J145</f>
        <v>2937.69618867718</v>
      </c>
      <c r="R22" s="7" t="n">
        <f aca="false">Günlük!K145</f>
        <v>2378.98823699274</v>
      </c>
      <c r="S22" s="7" t="n">
        <f aca="false">Günlük!L145</f>
        <v>2793.1769354864</v>
      </c>
    </row>
    <row r="23" customFormat="false" ht="15" hidden="false" customHeight="false" outlineLevel="0" collapsed="false">
      <c r="A23" s="15" t="s">
        <v>93</v>
      </c>
      <c r="B23" s="16" t="n">
        <f aca="false">Günlük!A146</f>
        <v>46167</v>
      </c>
      <c r="C23" s="16" t="n">
        <f aca="false">Günlük!A152</f>
        <v>46173</v>
      </c>
      <c r="D23" s="15" t="n">
        <v>7</v>
      </c>
      <c r="E23" s="17" t="n">
        <f aca="false">Günlük!H152/Günlük!H145-1</f>
        <v>0.0207998109374783</v>
      </c>
      <c r="F23" s="17" t="n">
        <f aca="false">Günlük!I152/Günlük!I145-1</f>
        <v>0.0180778529168331</v>
      </c>
      <c r="G23" s="17" t="n">
        <f aca="false">Günlük!J152/Günlük!J145-1</f>
        <v>0.0207886595176399</v>
      </c>
      <c r="H23" s="17" t="n">
        <f aca="false">Günlük!K152/Günlük!K145-1</f>
        <v>0.00301221050725609</v>
      </c>
      <c r="I23" s="17" t="n">
        <f aca="false">Günlük!L152/Günlük!L145-1</f>
        <v>0.0251068996365118</v>
      </c>
      <c r="J23" s="18" t="n">
        <f aca="false">Günlük!H152-Günlük!H145</f>
        <v>58.2048673489931</v>
      </c>
      <c r="K23" s="18" t="n">
        <f aca="false">Günlük!I152-Günlük!I145</f>
        <v>53.5909183170179</v>
      </c>
      <c r="L23" s="18" t="n">
        <f aca="false">Günlük!J152-Günlük!J145</f>
        <v>61.0707658326783</v>
      </c>
      <c r="M23" s="18" t="n">
        <f aca="false">Günlük!K152-Günlük!K145</f>
        <v>7.16601336410804</v>
      </c>
      <c r="N23" s="18" t="n">
        <f aca="false">Günlük!L152-Günlük!L145</f>
        <v>70.1280129862766</v>
      </c>
      <c r="O23" s="7" t="n">
        <f aca="false">Günlük!H152</f>
        <v>2856.54123319144</v>
      </c>
      <c r="P23" s="7" t="n">
        <f aca="false">Günlük!I152</f>
        <v>3018.04242500658</v>
      </c>
      <c r="Q23" s="7" t="n">
        <f aca="false">Günlük!J152</f>
        <v>2998.76695450986</v>
      </c>
      <c r="R23" s="7" t="n">
        <f aca="false">Günlük!K152</f>
        <v>2386.15425035685</v>
      </c>
      <c r="S23" s="7" t="n">
        <f aca="false">Günlük!L152</f>
        <v>2863.30494847268</v>
      </c>
    </row>
    <row r="24" customFormat="false" ht="15" hidden="false" customHeight="false" outlineLevel="0" collapsed="false">
      <c r="A24" s="15" t="s">
        <v>94</v>
      </c>
      <c r="B24" s="16" t="n">
        <f aca="false">Günlük!A153</f>
        <v>46174</v>
      </c>
      <c r="C24" s="16" t="n">
        <f aca="false">Günlük!A159</f>
        <v>46180</v>
      </c>
      <c r="D24" s="15" t="n">
        <v>7</v>
      </c>
      <c r="E24" s="17" t="n">
        <f aca="false">Günlük!H159/Günlük!H152-1</f>
        <v>0.0212565091950776</v>
      </c>
      <c r="F24" s="17" t="n">
        <f aca="false">Günlük!I159/Günlük!I152-1</f>
        <v>0.0632174143648683</v>
      </c>
      <c r="G24" s="17" t="n">
        <f aca="false">Günlük!J159/Günlük!J152-1</f>
        <v>0.0370037872187659</v>
      </c>
      <c r="H24" s="17" t="n">
        <f aca="false">Günlük!K159/Günlük!K152-1</f>
        <v>0.00520424783488749</v>
      </c>
      <c r="I24" s="17" t="n">
        <f aca="false">Günlük!L159/Günlük!L152-1</f>
        <v>0.0788616488301359</v>
      </c>
      <c r="J24" s="18" t="n">
        <f aca="false">Günlük!H159-Günlük!H152</f>
        <v>60.7200949894523</v>
      </c>
      <c r="K24" s="18" t="n">
        <f aca="false">Günlük!I159-Günlük!I152</f>
        <v>190.792838552393</v>
      </c>
      <c r="L24" s="18" t="n">
        <f aca="false">Günlük!J159-Günlük!J152</f>
        <v>110.965734303349</v>
      </c>
      <c r="M24" s="18" t="n">
        <f aca="false">Günlük!K159-Günlük!K152</f>
        <v>12.4181380911273</v>
      </c>
      <c r="N24" s="18" t="n">
        <f aca="false">Günlük!L159-Günlük!L152</f>
        <v>225.804949340043</v>
      </c>
      <c r="O24" s="7" t="n">
        <f aca="false">Günlük!H159</f>
        <v>2917.26132818089</v>
      </c>
      <c r="P24" s="7" t="n">
        <f aca="false">Günlük!I159</f>
        <v>3208.83526355897</v>
      </c>
      <c r="Q24" s="7" t="n">
        <f aca="false">Günlük!J159</f>
        <v>3109.73268881321</v>
      </c>
      <c r="R24" s="7" t="n">
        <f aca="false">Günlük!K159</f>
        <v>2398.57238844798</v>
      </c>
      <c r="S24" s="7" t="n">
        <f aca="false">Günlük!L159</f>
        <v>3089.10989781272</v>
      </c>
    </row>
    <row r="25" customFormat="false" ht="15" hidden="false" customHeight="false" outlineLevel="0" collapsed="false">
      <c r="A25" s="15" t="s">
        <v>95</v>
      </c>
      <c r="B25" s="16" t="n">
        <f aca="false">Günlük!A160</f>
        <v>46181</v>
      </c>
      <c r="C25" s="16" t="n">
        <f aca="false">Günlük!A166</f>
        <v>46187</v>
      </c>
      <c r="D25" s="15" t="n">
        <v>7</v>
      </c>
      <c r="E25" s="17" t="n">
        <f aca="false">Günlük!H166/Günlük!H159-1</f>
        <v>-0.027252433543997</v>
      </c>
      <c r="F25" s="17" t="n">
        <f aca="false">Günlük!I166/Günlük!I159-1</f>
        <v>-0.00290289104764341</v>
      </c>
      <c r="G25" s="17" t="n">
        <f aca="false">Günlük!J166/Günlük!J159-1</f>
        <v>0.0052658734941502</v>
      </c>
      <c r="H25" s="17" t="n">
        <f aca="false">Günlük!K166/Günlük!K159-1</f>
        <v>-0.0324895300887339</v>
      </c>
      <c r="I25" s="17" t="n">
        <f aca="false">Günlük!L166/Günlük!L159-1</f>
        <v>-0.00344201030117541</v>
      </c>
      <c r="J25" s="18" t="n">
        <f aca="false">Günlük!H166-Günlük!H159</f>
        <v>-79.502470476722</v>
      </c>
      <c r="K25" s="18" t="n">
        <f aca="false">Günlük!I166-Günlük!I159</f>
        <v>-9.3148991599478</v>
      </c>
      <c r="L25" s="18" t="n">
        <f aca="false">Günlük!J166-Günlük!J159</f>
        <v>16.3754589399136</v>
      </c>
      <c r="M25" s="18" t="n">
        <f aca="false">Günlük!K166-Günlük!K159</f>
        <v>-77.9284897844868</v>
      </c>
      <c r="N25" s="18" t="n">
        <f aca="false">Günlük!L166-Günlük!L159</f>
        <v>-10.6327480897344</v>
      </c>
      <c r="O25" s="7" t="n">
        <f aca="false">Günlük!H166</f>
        <v>2837.75885770417</v>
      </c>
      <c r="P25" s="7" t="n">
        <f aca="false">Günlük!I166</f>
        <v>3199.52036439902</v>
      </c>
      <c r="Q25" s="7" t="n">
        <f aca="false">Günlük!J166</f>
        <v>3126.10814775312</v>
      </c>
      <c r="R25" s="7" t="n">
        <f aca="false">Günlük!K166</f>
        <v>2320.64389866349</v>
      </c>
      <c r="S25" s="7" t="n">
        <f aca="false">Günlük!L166</f>
        <v>3078.47714972298</v>
      </c>
    </row>
    <row r="26" customFormat="false" ht="15" hidden="false" customHeight="false" outlineLevel="0" collapsed="false">
      <c r="A26" s="15" t="s">
        <v>96</v>
      </c>
      <c r="B26" s="16" t="n">
        <f aca="false">Günlük!A167</f>
        <v>46188</v>
      </c>
      <c r="C26" s="16" t="n">
        <f aca="false">Günlük!A173</f>
        <v>46194</v>
      </c>
      <c r="D26" s="15" t="n">
        <v>7</v>
      </c>
      <c r="E26" s="17" t="n">
        <f aca="false">Günlük!H173/Günlük!H166-1</f>
        <v>0.0252971171956076</v>
      </c>
      <c r="F26" s="17" t="n">
        <f aca="false">Günlük!I173/Günlük!I166-1</f>
        <v>0.0241393124960723</v>
      </c>
      <c r="G26" s="17" t="n">
        <f aca="false">Günlük!J173/Günlük!J166-1</f>
        <v>0.0195706706646688</v>
      </c>
      <c r="H26" s="17" t="n">
        <f aca="false">Günlük!K173/Günlük!K166-1</f>
        <v>0.0312952496021945</v>
      </c>
      <c r="I26" s="17" t="n">
        <f aca="false">Günlük!L173/Günlük!L166-1</f>
        <v>0.0361644538155803</v>
      </c>
      <c r="J26" s="18" t="n">
        <f aca="false">Günlük!H173-Günlük!H166</f>
        <v>71.7871183962161</v>
      </c>
      <c r="K26" s="18" t="n">
        <f aca="false">Günlük!I173-Günlük!I166</f>
        <v>77.234221913775</v>
      </c>
      <c r="L26" s="18" t="n">
        <f aca="false">Günlük!J173-Günlük!J166</f>
        <v>61.1800330218139</v>
      </c>
      <c r="M26" s="18" t="n">
        <f aca="false">Günlük!K173-Günlük!K166</f>
        <v>72.6251300464837</v>
      </c>
      <c r="N26" s="18" t="n">
        <f aca="false">Günlük!L173-Günlük!L166</f>
        <v>111.331444703476</v>
      </c>
      <c r="O26" s="7" t="n">
        <f aca="false">Günlük!H173</f>
        <v>2909.54597610039</v>
      </c>
      <c r="P26" s="7" t="n">
        <f aca="false">Günlük!I173</f>
        <v>3276.7545863128</v>
      </c>
      <c r="Q26" s="7" t="n">
        <f aca="false">Günlük!J173</f>
        <v>3187.28818077494</v>
      </c>
      <c r="R26" s="7" t="n">
        <f aca="false">Günlük!K173</f>
        <v>2393.26902870997</v>
      </c>
      <c r="S26" s="7" t="n">
        <f aca="false">Günlük!L173</f>
        <v>3189.80859442646</v>
      </c>
    </row>
    <row r="27" customFormat="false" ht="15" hidden="false" customHeight="false" outlineLevel="0" collapsed="false">
      <c r="A27" s="15" t="s">
        <v>97</v>
      </c>
      <c r="B27" s="16" t="n">
        <f aca="false">Günlük!A174</f>
        <v>46195</v>
      </c>
      <c r="C27" s="16" t="n">
        <f aca="false">Günlük!A180</f>
        <v>46201</v>
      </c>
      <c r="D27" s="15" t="n">
        <v>7</v>
      </c>
      <c r="E27" s="17" t="n">
        <f aca="false">Günlük!H180/Günlük!H173-1</f>
        <v>0.0959131081968678</v>
      </c>
      <c r="F27" s="17" t="n">
        <f aca="false">Günlük!I180/Günlük!I173-1</f>
        <v>0.0483975911860142</v>
      </c>
      <c r="G27" s="17" t="n">
        <f aca="false">Günlük!J180/Günlük!J173-1</f>
        <v>0.0507053114484735</v>
      </c>
      <c r="H27" s="17" t="n">
        <f aca="false">Günlük!K180/Günlük!K173-1</f>
        <v>0.0964889208979796</v>
      </c>
      <c r="I27" s="17" t="n">
        <f aca="false">Günlük!L180/Günlük!L173-1</f>
        <v>0.0591088929932588</v>
      </c>
      <c r="J27" s="18" t="n">
        <f aca="false">Günlük!H180-Günlük!H173</f>
        <v>279.063598009478</v>
      </c>
      <c r="K27" s="18" t="n">
        <f aca="false">Günlük!I180-Günlük!I173</f>
        <v>158.587028885264</v>
      </c>
      <c r="L27" s="18" t="n">
        <f aca="false">Günlük!J180-Günlük!J173</f>
        <v>161.612439882231</v>
      </c>
      <c r="M27" s="18" t="n">
        <f aca="false">Günlük!K180-Günlük!K173</f>
        <v>230.923945998781</v>
      </c>
      <c r="N27" s="18" t="n">
        <f aca="false">Günlük!L180-Günlük!L173</f>
        <v>188.546054876931</v>
      </c>
      <c r="O27" s="7" t="n">
        <f aca="false">Günlük!H180</f>
        <v>3188.60957410987</v>
      </c>
      <c r="P27" s="7" t="n">
        <f aca="false">Günlük!I180</f>
        <v>3435.34161519806</v>
      </c>
      <c r="Q27" s="7" t="n">
        <f aca="false">Günlük!J180</f>
        <v>3348.90062065717</v>
      </c>
      <c r="R27" s="7" t="n">
        <f aca="false">Günlük!K180</f>
        <v>2624.19297470875</v>
      </c>
      <c r="S27" s="7" t="n">
        <f aca="false">Günlük!L180</f>
        <v>3378.35464930339</v>
      </c>
    </row>
    <row r="28" customFormat="false" ht="15" hidden="false" customHeight="false" outlineLevel="0" collapsed="false">
      <c r="A28" s="15" t="s">
        <v>98</v>
      </c>
      <c r="B28" s="16" t="n">
        <f aca="false">Günlük!A181</f>
        <v>46202</v>
      </c>
      <c r="C28" s="16" t="n">
        <f aca="false">Günlük!A187</f>
        <v>46208</v>
      </c>
      <c r="D28" s="15" t="n">
        <v>7</v>
      </c>
      <c r="E28" s="17" t="n">
        <f aca="false">Günlük!H187/Günlük!H180-1</f>
        <v>0.0130838565428604</v>
      </c>
      <c r="F28" s="17" t="n">
        <f aca="false">Günlük!I187/Günlük!I180-1</f>
        <v>0.0470593274022582</v>
      </c>
      <c r="G28" s="17" t="n">
        <f aca="false">Günlük!J187/Günlük!J180-1</f>
        <v>0.015914046819768</v>
      </c>
      <c r="H28" s="17" t="n">
        <f aca="false">Günlük!K187/Günlük!K180-1</f>
        <v>0.0127028733060257</v>
      </c>
      <c r="I28" s="17" t="n">
        <f aca="false">Günlük!L187/Günlük!L180-1</f>
        <v>0.0605225787718475</v>
      </c>
      <c r="J28" s="18" t="n">
        <f aca="false">Günlük!H187-Günlük!H180</f>
        <v>41.7193102388446</v>
      </c>
      <c r="K28" s="18" t="n">
        <f aca="false">Günlük!I187-Günlük!I180</f>
        <v>161.664865808208</v>
      </c>
      <c r="L28" s="18" t="n">
        <f aca="false">Günlük!J187-Günlük!J180</f>
        <v>53.2945612718886</v>
      </c>
      <c r="M28" s="18" t="n">
        <f aca="false">Günlük!K187-Günlük!K180</f>
        <v>33.3347908882879</v>
      </c>
      <c r="N28" s="18" t="n">
        <f aca="false">Günlük!L187-Günlük!L180</f>
        <v>204.466735381702</v>
      </c>
      <c r="O28" s="7" t="n">
        <f aca="false">Günlük!H187</f>
        <v>3230.32888434871</v>
      </c>
      <c r="P28" s="7" t="n">
        <f aca="false">Günlük!I187</f>
        <v>3597.00648100627</v>
      </c>
      <c r="Q28" s="7" t="n">
        <f aca="false">Günlük!J187</f>
        <v>3402.19518192906</v>
      </c>
      <c r="R28" s="7" t="n">
        <f aca="false">Günlük!K187</f>
        <v>2657.52776559704</v>
      </c>
      <c r="S28" s="7" t="n">
        <f aca="false">Günlük!L187</f>
        <v>3582.82138468509</v>
      </c>
    </row>
    <row r="29" customFormat="false" ht="15" hidden="false" customHeight="false" outlineLevel="0" collapsed="false">
      <c r="A29" s="15" t="s">
        <v>99</v>
      </c>
      <c r="B29" s="16" t="n">
        <f aca="false">Günlük!A188</f>
        <v>46209</v>
      </c>
      <c r="C29" s="16" t="n">
        <f aca="false">Günlük!A194</f>
        <v>46215</v>
      </c>
      <c r="D29" s="15" t="n">
        <v>7</v>
      </c>
      <c r="E29" s="17" t="n">
        <f aca="false">Günlük!H194/Günlük!H187-1</f>
        <v>-0.0143782476459172</v>
      </c>
      <c r="F29" s="17" t="n">
        <f aca="false">Günlük!I194/Günlük!I187-1</f>
        <v>-0.0437934334180354</v>
      </c>
      <c r="G29" s="17" t="n">
        <f aca="false">Günlük!J194/Günlük!J187-1</f>
        <v>-0.0261216718051279</v>
      </c>
      <c r="H29" s="17" t="n">
        <f aca="false">Günlük!K194/Günlük!K187-1</f>
        <v>-0.0182408274786606</v>
      </c>
      <c r="I29" s="17" t="n">
        <f aca="false">Günlük!L194/Günlük!L187-1</f>
        <v>-0.0440781700198447</v>
      </c>
      <c r="J29" s="18" t="n">
        <f aca="false">Günlük!H194-Günlük!H187</f>
        <v>-46.4464686769252</v>
      </c>
      <c r="K29" s="18" t="n">
        <f aca="false">Günlük!I194-Günlük!I187</f>
        <v>-157.52526383019</v>
      </c>
      <c r="L29" s="18" t="n">
        <f aca="false">Günlük!J194-Günlük!J187</f>
        <v>-88.8710259593381</v>
      </c>
      <c r="M29" s="18" t="n">
        <f aca="false">Günlük!K194-Günlük!K187</f>
        <v>-48.4755054920061</v>
      </c>
      <c r="N29" s="18" t="n">
        <f aca="false">Günlük!L194-Günlük!L187</f>
        <v>-157.924210144885</v>
      </c>
      <c r="O29" s="7" t="n">
        <f aca="false">Günlük!H194</f>
        <v>3183.88241567178</v>
      </c>
      <c r="P29" s="7" t="n">
        <f aca="false">Günlük!I194</f>
        <v>3439.48121717608</v>
      </c>
      <c r="Q29" s="7" t="n">
        <f aca="false">Günlük!J194</f>
        <v>3313.32415596972</v>
      </c>
      <c r="R29" s="7" t="n">
        <f aca="false">Günlük!K194</f>
        <v>2609.05226010503</v>
      </c>
      <c r="S29" s="7" t="n">
        <f aca="false">Günlük!L194</f>
        <v>3424.89717454021</v>
      </c>
    </row>
    <row r="30" customFormat="false" ht="15" hidden="false" customHeight="false" outlineLevel="0" collapsed="false">
      <c r="A30" s="15" t="s">
        <v>100</v>
      </c>
      <c r="B30" s="16" t="n">
        <f aca="false">Günlük!A195</f>
        <v>46216</v>
      </c>
      <c r="C30" s="16" t="n">
        <f aca="false">Günlük!A201</f>
        <v>46222</v>
      </c>
      <c r="D30" s="15" t="n">
        <v>7</v>
      </c>
      <c r="E30" s="17" t="n">
        <f aca="false">Günlük!H201/Günlük!H194-1</f>
        <v>0.0688903508199108</v>
      </c>
      <c r="F30" s="17" t="n">
        <f aca="false">Günlük!I201/Günlük!I194-1</f>
        <v>0.0564331722753551</v>
      </c>
      <c r="G30" s="17" t="n">
        <f aca="false">Günlük!J201/Günlük!J194-1</f>
        <v>0.0583034799671123</v>
      </c>
      <c r="H30" s="17" t="n">
        <f aca="false">Günlük!K201/Günlük!K194-1</f>
        <v>0.0252506840141964</v>
      </c>
      <c r="I30" s="17" t="n">
        <f aca="false">Günlük!L201/Günlük!L194-1</f>
        <v>0.0681769076626559</v>
      </c>
      <c r="J30" s="18" t="n">
        <f aca="false">Günlük!H201-Günlük!H194</f>
        <v>219.338776584974</v>
      </c>
      <c r="K30" s="18" t="n">
        <f aca="false">Günlük!I201-Günlük!I194</f>
        <v>194.100836066746</v>
      </c>
      <c r="L30" s="18" t="n">
        <f aca="false">Günlük!J201-Günlük!J194</f>
        <v>193.17832855213</v>
      </c>
      <c r="M30" s="18" t="n">
        <f aca="false">Günlük!K201-Günlük!K194</f>
        <v>65.8803541964371</v>
      </c>
      <c r="N30" s="18" t="n">
        <f aca="false">Günlük!L201-Günlük!L194</f>
        <v>233.498898422719</v>
      </c>
      <c r="O30" s="7" t="n">
        <f aca="false">Günlük!H201</f>
        <v>3403.22119225676</v>
      </c>
      <c r="P30" s="7" t="n">
        <f aca="false">Günlük!I201</f>
        <v>3633.58205324283</v>
      </c>
      <c r="Q30" s="7" t="n">
        <f aca="false">Günlük!J201</f>
        <v>3506.50248452185</v>
      </c>
      <c r="R30" s="7" t="n">
        <f aca="false">Günlük!K201</f>
        <v>2674.93261430147</v>
      </c>
      <c r="S30" s="7" t="n">
        <f aca="false">Günlük!L201</f>
        <v>3658.39607296293</v>
      </c>
    </row>
    <row r="31" customFormat="false" ht="15" hidden="false" customHeight="false" outlineLevel="0" collapsed="false">
      <c r="A31" s="15" t="s">
        <v>101</v>
      </c>
      <c r="B31" s="16" t="n">
        <f aca="false">Günlük!A202</f>
        <v>46223</v>
      </c>
      <c r="C31" s="16" t="n">
        <f aca="false">Günlük!A208</f>
        <v>46229</v>
      </c>
      <c r="D31" s="15" t="n">
        <v>7</v>
      </c>
      <c r="E31" s="17" t="n">
        <f aca="false">Günlük!H208/Günlük!H201-1</f>
        <v>-0.00331036743904767</v>
      </c>
      <c r="F31" s="17" t="n">
        <f aca="false">Günlük!I208/Günlük!I201-1</f>
        <v>0.00374908484126579</v>
      </c>
      <c r="G31" s="17" t="n">
        <f aca="false">Günlük!J208/Günlük!J201-1</f>
        <v>0.00802676328511875</v>
      </c>
      <c r="H31" s="17" t="n">
        <f aca="false">Günlük!K208/Günlük!K201-1</f>
        <v>-0.0109299606619224</v>
      </c>
      <c r="I31" s="17" t="n">
        <f aca="false">Günlük!L208/Günlük!L201-1</f>
        <v>0.00146735432174228</v>
      </c>
      <c r="J31" s="18" t="n">
        <f aca="false">Günlük!H208-Günlük!H201</f>
        <v>-11.2659126227236</v>
      </c>
      <c r="K31" s="18" t="n">
        <f aca="false">Günlük!I208-Günlük!I201</f>
        <v>13.622607395308</v>
      </c>
      <c r="L31" s="18" t="n">
        <f aca="false">Günlük!J208-Günlük!J201</f>
        <v>28.1458654019375</v>
      </c>
      <c r="M31" s="18" t="n">
        <f aca="false">Günlük!K208-Günlük!K201</f>
        <v>-29.2369082476084</v>
      </c>
      <c r="N31" s="18" t="n">
        <f aca="false">Günlük!L208-Günlük!L201</f>
        <v>5.36816328830673</v>
      </c>
      <c r="O31" s="7" t="n">
        <f aca="false">Günlük!H208</f>
        <v>3391.95527963404</v>
      </c>
      <c r="P31" s="7" t="n">
        <f aca="false">Günlük!I208</f>
        <v>3647.20466063813</v>
      </c>
      <c r="Q31" s="7" t="n">
        <f aca="false">Günlük!J208</f>
        <v>3534.64834992378</v>
      </c>
      <c r="R31" s="7" t="n">
        <f aca="false">Günlük!K208</f>
        <v>2645.69570605386</v>
      </c>
      <c r="S31" s="7" t="n">
        <f aca="false">Günlük!L208</f>
        <v>3663.76423625123</v>
      </c>
    </row>
    <row r="32" customFormat="false" ht="15" hidden="false" customHeight="false" outlineLevel="0" collapsed="false">
      <c r="A32" s="15" t="s">
        <v>102</v>
      </c>
      <c r="B32" s="16" t="n">
        <f aca="false">Günlük!A209</f>
        <v>46230</v>
      </c>
      <c r="C32" s="16" t="n">
        <f aca="false">Günlük!A215</f>
        <v>46236</v>
      </c>
      <c r="D32" s="15" t="n">
        <v>7</v>
      </c>
      <c r="E32" s="17" t="n">
        <f aca="false">Günlük!H215/Günlük!H208-1</f>
        <v>0.0257617265634993</v>
      </c>
      <c r="F32" s="17" t="n">
        <f aca="false">Günlük!I215/Günlük!I208-1</f>
        <v>0.0128088754665801</v>
      </c>
      <c r="G32" s="17" t="n">
        <f aca="false">Günlük!J215/Günlük!J208-1</f>
        <v>0.026160502981559</v>
      </c>
      <c r="H32" s="17" t="n">
        <f aca="false">Günlük!K215/Günlük!K208-1</f>
        <v>0.0312367571771341</v>
      </c>
      <c r="I32" s="17" t="n">
        <f aca="false">Günlük!L215/Günlük!L208-1</f>
        <v>0.00862799152298566</v>
      </c>
      <c r="J32" s="18" t="n">
        <f aca="false">Günlük!H215-Günlük!H208</f>
        <v>87.3826244295501</v>
      </c>
      <c r="K32" s="18" t="n">
        <f aca="false">Günlük!I215-Günlük!I208</f>
        <v>46.7165902992442</v>
      </c>
      <c r="L32" s="18" t="n">
        <f aca="false">Günlük!J215-Günlük!J208</f>
        <v>92.4681786969436</v>
      </c>
      <c r="M32" s="18" t="n">
        <f aca="false">Günlük!K215-Günlük!K208</f>
        <v>82.6429543345912</v>
      </c>
      <c r="N32" s="18" t="n">
        <f aca="false">Günlük!L215-Günlük!L208</f>
        <v>31.6109267725933</v>
      </c>
      <c r="O32" s="7" t="n">
        <f aca="false">Günlük!H215</f>
        <v>3479.33790406359</v>
      </c>
      <c r="P32" s="7" t="n">
        <f aca="false">Günlük!I215</f>
        <v>3693.92125093738</v>
      </c>
      <c r="Q32" s="7" t="n">
        <f aca="false">Günlük!J215</f>
        <v>3627.11652862073</v>
      </c>
      <c r="R32" s="7" t="n">
        <f aca="false">Günlük!K215</f>
        <v>2728.33866038845</v>
      </c>
      <c r="S32" s="7" t="n">
        <f aca="false">Günlük!L215</f>
        <v>3695.37516302383</v>
      </c>
    </row>
    <row r="33" customFormat="false" ht="15" hidden="false" customHeight="false" outlineLevel="0" collapsed="false">
      <c r="A33" s="15" t="s">
        <v>103</v>
      </c>
      <c r="B33" s="16" t="n">
        <f aca="false">Günlük!A216</f>
        <v>46237</v>
      </c>
      <c r="C33" s="16" t="n">
        <f aca="false">Günlük!A222</f>
        <v>46243</v>
      </c>
      <c r="D33" s="15" t="n">
        <v>7</v>
      </c>
      <c r="E33" s="17" t="n">
        <f aca="false">Günlük!H222/Günlük!H215-1</f>
        <v>0.0609200273675881</v>
      </c>
      <c r="F33" s="17" t="n">
        <f aca="false">Günlük!I222/Günlük!I215-1</f>
        <v>0.0304322542190323</v>
      </c>
      <c r="G33" s="17" t="n">
        <f aca="false">Günlük!J222/Günlük!J215-1</f>
        <v>0.0329541327500842</v>
      </c>
      <c r="H33" s="17" t="n">
        <f aca="false">Günlük!K222/Günlük!K215-1</f>
        <v>0.0700929250805868</v>
      </c>
      <c r="I33" s="17" t="n">
        <f aca="false">Günlük!L222/Günlük!L215-1</f>
        <v>0.0257153284334288</v>
      </c>
      <c r="J33" s="18" t="n">
        <f aca="false">Günlük!H222-Günlük!H215</f>
        <v>211.96136033664</v>
      </c>
      <c r="K33" s="18" t="n">
        <f aca="false">Günlük!I222-Günlük!I215</f>
        <v>112.414350573612</v>
      </c>
      <c r="L33" s="18" t="n">
        <f aca="false">Günlük!J222-Günlük!J215</f>
        <v>119.528479584192</v>
      </c>
      <c r="M33" s="18" t="n">
        <f aca="false">Günlük!K222-Günlük!K215</f>
        <v>191.237237317077</v>
      </c>
      <c r="N33" s="18" t="n">
        <f aca="false">Günlük!L222-Günlük!L215</f>
        <v>95.0277860018932</v>
      </c>
      <c r="O33" s="7" t="n">
        <f aca="false">Günlük!H222</f>
        <v>3691.29926440023</v>
      </c>
      <c r="P33" s="7" t="n">
        <f aca="false">Günlük!I222</f>
        <v>3806.33560151099</v>
      </c>
      <c r="Q33" s="7" t="n">
        <f aca="false">Günlük!J222</f>
        <v>3746.64500820492</v>
      </c>
      <c r="R33" s="7" t="n">
        <f aca="false">Günlük!K222</f>
        <v>2919.57589770553</v>
      </c>
      <c r="S33" s="7" t="n">
        <f aca="false">Günlük!L222</f>
        <v>3790.40294902572</v>
      </c>
    </row>
    <row r="34" customFormat="false" ht="15" hidden="false" customHeight="false" outlineLevel="0" collapsed="false">
      <c r="A34" s="15" t="s">
        <v>104</v>
      </c>
      <c r="B34" s="16" t="n">
        <f aca="false">Günlük!A223</f>
        <v>46244</v>
      </c>
      <c r="C34" s="16" t="n">
        <f aca="false">Günlük!A229</f>
        <v>46250</v>
      </c>
      <c r="D34" s="15" t="n">
        <v>7</v>
      </c>
      <c r="E34" s="17" t="n">
        <f aca="false">Günlük!H229/Günlük!H222-1</f>
        <v>-0.0803682786198107</v>
      </c>
      <c r="F34" s="17" t="n">
        <f aca="false">Günlük!I229/Günlük!I222-1</f>
        <v>-0.0941015717433114</v>
      </c>
      <c r="G34" s="17" t="n">
        <f aca="false">Günlük!J229/Günlük!J222-1</f>
        <v>-0.0837553729890258</v>
      </c>
      <c r="H34" s="17" t="n">
        <f aca="false">Günlük!K229/Günlük!K222-1</f>
        <v>-0.103540254025344</v>
      </c>
      <c r="I34" s="17" t="n">
        <f aca="false">Günlük!L229/Günlük!L222-1</f>
        <v>-0.10634246522075</v>
      </c>
      <c r="J34" s="18" t="n">
        <f aca="false">Günlük!H229-Günlük!H222</f>
        <v>-296.66336775042</v>
      </c>
      <c r="K34" s="18" t="n">
        <f aca="false">Günlük!I229-Günlük!I222</f>
        <v>-358.182162684706</v>
      </c>
      <c r="L34" s="18" t="n">
        <f aca="false">Günlük!J229-Günlük!J222</f>
        <v>-313.801650119675</v>
      </c>
      <c r="M34" s="18" t="n">
        <f aca="false">Günlük!K229-Günlük!K222</f>
        <v>-302.293630094701</v>
      </c>
      <c r="N34" s="18" t="n">
        <f aca="false">Günlük!L229-Günlük!L222</f>
        <v>-403.080793779395</v>
      </c>
      <c r="O34" s="7" t="n">
        <f aca="false">Günlük!H229</f>
        <v>3394.63589664981</v>
      </c>
      <c r="P34" s="7" t="n">
        <f aca="false">Günlük!I229</f>
        <v>3448.15343882628</v>
      </c>
      <c r="Q34" s="7" t="n">
        <f aca="false">Günlük!J229</f>
        <v>3432.84335808525</v>
      </c>
      <c r="R34" s="7" t="n">
        <f aca="false">Günlük!K229</f>
        <v>2617.28226761083</v>
      </c>
      <c r="S34" s="7" t="n">
        <f aca="false">Günlük!L229</f>
        <v>3387.32215524632</v>
      </c>
    </row>
    <row r="35" customFormat="false" ht="15" hidden="false" customHeight="false" outlineLevel="0" collapsed="false">
      <c r="A35" s="15" t="s">
        <v>105</v>
      </c>
      <c r="B35" s="16" t="n">
        <f aca="false">Günlük!A230</f>
        <v>46251</v>
      </c>
      <c r="C35" s="16" t="n">
        <f aca="false">Günlük!A236</f>
        <v>46257</v>
      </c>
      <c r="D35" s="15" t="n">
        <v>7</v>
      </c>
      <c r="E35" s="17" t="n">
        <f aca="false">Günlük!H236/Günlük!H229-1</f>
        <v>0.00331726479609129</v>
      </c>
      <c r="F35" s="17" t="n">
        <f aca="false">Günlük!I236/Günlük!I229-1</f>
        <v>0.0502265109602997</v>
      </c>
      <c r="G35" s="17" t="n">
        <f aca="false">Günlük!J236/Günlük!J229-1</f>
        <v>0.0293519233774653</v>
      </c>
      <c r="H35" s="17" t="n">
        <f aca="false">Günlük!K236/Günlük!K229-1</f>
        <v>0.0481463926806536</v>
      </c>
      <c r="I35" s="17" t="n">
        <f aca="false">Günlük!L236/Günlük!L229-1</f>
        <v>0.0688023866172134</v>
      </c>
      <c r="J35" s="18" t="n">
        <f aca="false">Günlük!H236-Günlük!H229</f>
        <v>11.2609061555045</v>
      </c>
      <c r="K35" s="18" t="n">
        <f aca="false">Günlük!I236-Günlük!I229</f>
        <v>173.188716488004</v>
      </c>
      <c r="L35" s="18" t="n">
        <f aca="false">Günlük!J236-Günlük!J229</f>
        <v>100.760555213359</v>
      </c>
      <c r="M35" s="18" t="n">
        <f aca="false">Günlük!K236-Günlük!K229</f>
        <v>126.012699812502</v>
      </c>
      <c r="N35" s="18" t="n">
        <f aca="false">Günlük!L236-Günlük!L229</f>
        <v>233.055848522311</v>
      </c>
      <c r="O35" s="7" t="n">
        <f aca="false">Günlük!H236</f>
        <v>3405.89680280531</v>
      </c>
      <c r="P35" s="7" t="n">
        <f aca="false">Günlük!I236</f>
        <v>3621.34215531429</v>
      </c>
      <c r="Q35" s="7" t="n">
        <f aca="false">Günlük!J236</f>
        <v>3533.6039132986</v>
      </c>
      <c r="R35" s="7" t="n">
        <f aca="false">Günlük!K236</f>
        <v>2743.29496742333</v>
      </c>
      <c r="S35" s="7" t="n">
        <f aca="false">Günlük!L236</f>
        <v>3620.37800376864</v>
      </c>
    </row>
    <row r="36" customFormat="false" ht="15" hidden="false" customHeight="false" outlineLevel="0" collapsed="false">
      <c r="A36" s="15" t="s">
        <v>106</v>
      </c>
      <c r="B36" s="16" t="n">
        <f aca="false">Günlük!A237</f>
        <v>46258</v>
      </c>
      <c r="C36" s="16" t="n">
        <f aca="false">Günlük!A243</f>
        <v>46264</v>
      </c>
      <c r="D36" s="15" t="n">
        <v>7</v>
      </c>
      <c r="E36" s="17" t="n">
        <f aca="false">Günlük!H243/Günlük!H236-1</f>
        <v>0.0961754065311065</v>
      </c>
      <c r="F36" s="17" t="n">
        <f aca="false">Günlük!I243/Günlük!I236-1</f>
        <v>0.103310800795202</v>
      </c>
      <c r="G36" s="17" t="n">
        <f aca="false">Günlük!J243/Günlük!J236-1</f>
        <v>0.103761305275796</v>
      </c>
      <c r="H36" s="17" t="n">
        <f aca="false">Günlük!K243/Günlük!K236-1</f>
        <v>0.102000211730424</v>
      </c>
      <c r="I36" s="17" t="n">
        <f aca="false">Günlük!L243/Günlük!L236-1</f>
        <v>0.127459915787498</v>
      </c>
      <c r="J36" s="18" t="n">
        <f aca="false">Günlük!H243-Günlük!H236</f>
        <v>327.563509612797</v>
      </c>
      <c r="K36" s="18" t="n">
        <f aca="false">Günlük!I243-Günlük!I236</f>
        <v>374.123758018943</v>
      </c>
      <c r="L36" s="18" t="n">
        <f aca="false">Günlük!J243-Günlük!J236</f>
        <v>366.651354371524</v>
      </c>
      <c r="M36" s="18" t="n">
        <f aca="false">Günlük!K243-Günlük!K236</f>
        <v>279.816667516188</v>
      </c>
      <c r="N36" s="18" t="n">
        <f aca="false">Günlük!L243-Günlük!L236</f>
        <v>461.453075479261</v>
      </c>
      <c r="O36" s="7" t="n">
        <f aca="false">Günlük!H243</f>
        <v>3733.46031241811</v>
      </c>
      <c r="P36" s="7" t="n">
        <f aca="false">Günlük!I243</f>
        <v>3995.46591333323</v>
      </c>
      <c r="Q36" s="7" t="n">
        <f aca="false">Günlük!J243</f>
        <v>3900.25526767013</v>
      </c>
      <c r="R36" s="7" t="n">
        <f aca="false">Günlük!K243</f>
        <v>3023.11163493952</v>
      </c>
      <c r="S36" s="7" t="n">
        <f aca="false">Günlük!L243</f>
        <v>4081.8310792479</v>
      </c>
    </row>
    <row r="37" customFormat="false" ht="15" hidden="false" customHeight="false" outlineLevel="0" collapsed="false">
      <c r="A37" s="15" t="s">
        <v>107</v>
      </c>
      <c r="B37" s="16" t="n">
        <f aca="false">Günlük!A244</f>
        <v>46265</v>
      </c>
      <c r="C37" s="16" t="n">
        <f aca="false">Günlük!A250</f>
        <v>46271</v>
      </c>
      <c r="D37" s="15" t="n">
        <v>7</v>
      </c>
      <c r="E37" s="17" t="n">
        <f aca="false">Günlük!H250/Günlük!H243-1</f>
        <v>0.0041441038805321</v>
      </c>
      <c r="F37" s="17" t="n">
        <f aca="false">Günlük!I250/Günlük!I243-1</f>
        <v>-0.00322372270356752</v>
      </c>
      <c r="G37" s="17" t="n">
        <f aca="false">Günlük!J250/Günlük!J243-1</f>
        <v>-0.00322273833504461</v>
      </c>
      <c r="H37" s="17" t="n">
        <f aca="false">Günlük!K250/Günlük!K243-1</f>
        <v>-0.0107037306992708</v>
      </c>
      <c r="I37" s="17" t="n">
        <f aca="false">Günlük!L250/Günlük!L243-1</f>
        <v>-0.00678606396287773</v>
      </c>
      <c r="J37" s="18" t="n">
        <f aca="false">Günlük!H250-Günlük!H243</f>
        <v>15.4718473685043</v>
      </c>
      <c r="K37" s="18" t="n">
        <f aca="false">Günlük!I250-Günlük!I243</f>
        <v>-12.8802741761424</v>
      </c>
      <c r="L37" s="18" t="n">
        <f aca="false">Günlük!J250-Günlük!J243</f>
        <v>-12.5695021675801</v>
      </c>
      <c r="M37" s="18" t="n">
        <f aca="false">Günlük!K250-Günlük!K243</f>
        <v>-32.3585728142248</v>
      </c>
      <c r="N37" s="18" t="n">
        <f aca="false">Günlük!L250-Günlük!L243</f>
        <v>-27.6995667894385</v>
      </c>
      <c r="O37" s="7" t="n">
        <f aca="false">Günlük!H250</f>
        <v>3748.93215978661</v>
      </c>
      <c r="P37" s="7" t="n">
        <f aca="false">Günlük!I250</f>
        <v>3982.58563915709</v>
      </c>
      <c r="Q37" s="7" t="n">
        <f aca="false">Günlük!J250</f>
        <v>3887.68576550255</v>
      </c>
      <c r="R37" s="7" t="n">
        <f aca="false">Günlük!K250</f>
        <v>2990.7530621253</v>
      </c>
      <c r="S37" s="7" t="n">
        <f aca="false">Günlük!L250</f>
        <v>4054.13151245846</v>
      </c>
    </row>
    <row r="38" customFormat="false" ht="15" hidden="false" customHeight="false" outlineLevel="0" collapsed="false">
      <c r="A38" s="15" t="s">
        <v>108</v>
      </c>
      <c r="B38" s="16" t="n">
        <f aca="false">Günlük!A251</f>
        <v>46272</v>
      </c>
      <c r="C38" s="16" t="n">
        <f aca="false">Günlük!A257</f>
        <v>46278</v>
      </c>
      <c r="D38" s="15" t="n">
        <v>7</v>
      </c>
      <c r="E38" s="17" t="n">
        <f aca="false">Günlük!H257/Günlük!H250-1</f>
        <v>0.0814300389211697</v>
      </c>
      <c r="F38" s="17" t="n">
        <f aca="false">Günlük!I257/Günlük!I250-1</f>
        <v>0.0763279797358927</v>
      </c>
      <c r="G38" s="17" t="n">
        <f aca="false">Günlük!J257/Günlük!J250-1</f>
        <v>0.0778323106785994</v>
      </c>
      <c r="H38" s="17" t="n">
        <f aca="false">Günlük!K257/Günlük!K250-1</f>
        <v>0.0693723820652665</v>
      </c>
      <c r="I38" s="17" t="n">
        <f aca="false">Günlük!L257/Günlük!L250-1</f>
        <v>0.0964234352157738</v>
      </c>
      <c r="J38" s="18" t="n">
        <f aca="false">Günlük!H257-Günlük!H250</f>
        <v>305.275691684249</v>
      </c>
      <c r="K38" s="18" t="n">
        <f aca="false">Günlük!I257-Günlük!I250</f>
        <v>303.98271596204</v>
      </c>
      <c r="L38" s="18" t="n">
        <f aca="false">Günlük!J257-Günlük!J250</f>
        <v>302.587566321363</v>
      </c>
      <c r="M38" s="18" t="n">
        <f aca="false">Günlük!K257-Günlük!K250</f>
        <v>207.475664088622</v>
      </c>
      <c r="N38" s="18" t="n">
        <f aca="false">Günlük!L257-Günlük!L250</f>
        <v>390.913287247765</v>
      </c>
      <c r="O38" s="7" t="n">
        <f aca="false">Günlük!H257</f>
        <v>4054.20785147086</v>
      </c>
      <c r="P38" s="7" t="n">
        <f aca="false">Günlük!I257</f>
        <v>4286.56835511913</v>
      </c>
      <c r="Q38" s="7" t="n">
        <f aca="false">Günlük!J257</f>
        <v>4190.27333182391</v>
      </c>
      <c r="R38" s="7" t="n">
        <f aca="false">Günlük!K257</f>
        <v>3198.22872621392</v>
      </c>
      <c r="S38" s="7" t="n">
        <f aca="false">Günlük!L257</f>
        <v>4445.04479970622</v>
      </c>
    </row>
    <row r="39" customFormat="false" ht="15" hidden="false" customHeight="false" outlineLevel="0" collapsed="false">
      <c r="A39" s="15" t="s">
        <v>109</v>
      </c>
      <c r="B39" s="16" t="n">
        <f aca="false">Günlük!A258</f>
        <v>46279</v>
      </c>
      <c r="C39" s="16" t="n">
        <f aca="false">Günlük!A264</f>
        <v>46285</v>
      </c>
      <c r="D39" s="15" t="n">
        <v>7</v>
      </c>
      <c r="E39" s="17" t="n">
        <f aca="false">Günlük!H264/Günlük!H257-1</f>
        <v>0.062471142290047</v>
      </c>
      <c r="F39" s="17" t="n">
        <f aca="false">Günlük!I264/Günlük!I257-1</f>
        <v>0.055723761706397</v>
      </c>
      <c r="G39" s="17" t="n">
        <f aca="false">Günlük!J264/Günlük!J257-1</f>
        <v>0.0530258286332275</v>
      </c>
      <c r="H39" s="17" t="n">
        <f aca="false">Günlük!K264/Günlük!K257-1</f>
        <v>0.0339216970724001</v>
      </c>
      <c r="I39" s="17" t="n">
        <f aca="false">Günlük!L264/Günlük!L257-1</f>
        <v>0.0701706101982356</v>
      </c>
      <c r="J39" s="18" t="n">
        <f aca="false">Günlük!H264-Günlük!H257</f>
        <v>253.270995562662</v>
      </c>
      <c r="K39" s="18" t="n">
        <f aca="false">Günlük!I264-Günlük!I257</f>
        <v>238.863713558841</v>
      </c>
      <c r="L39" s="18" t="n">
        <f aca="false">Günlük!J264-Günlük!J257</f>
        <v>222.192715619678</v>
      </c>
      <c r="M39" s="18" t="n">
        <f aca="false">Günlük!K264-Günlük!K257</f>
        <v>108.489346018876</v>
      </c>
      <c r="N39" s="18" t="n">
        <f aca="false">Günlük!L264-Günlük!L257</f>
        <v>311.911505953879</v>
      </c>
      <c r="O39" s="7" t="n">
        <f aca="false">Günlük!H264</f>
        <v>4307.47884703352</v>
      </c>
      <c r="P39" s="7" t="n">
        <f aca="false">Günlük!I264</f>
        <v>4525.43206867797</v>
      </c>
      <c r="Q39" s="7" t="n">
        <f aca="false">Günlük!J264</f>
        <v>4412.46604744359</v>
      </c>
      <c r="R39" s="7" t="n">
        <f aca="false">Günlük!K264</f>
        <v>3306.71807223279</v>
      </c>
      <c r="S39" s="7" t="n">
        <f aca="false">Günlük!L264</f>
        <v>4756.9563056601</v>
      </c>
    </row>
    <row r="40" customFormat="false" ht="15" hidden="false" customHeight="false" outlineLevel="0" collapsed="false">
      <c r="A40" s="15" t="s">
        <v>110</v>
      </c>
      <c r="B40" s="16" t="n">
        <f aca="false">Günlük!A265</f>
        <v>46286</v>
      </c>
      <c r="C40" s="16" t="n">
        <f aca="false">Günlük!A271</f>
        <v>46292</v>
      </c>
      <c r="D40" s="15" t="n">
        <v>7</v>
      </c>
      <c r="E40" s="17" t="n">
        <f aca="false">Günlük!H271/Günlük!H264-1</f>
        <v>-0.0800305123254393</v>
      </c>
      <c r="F40" s="17" t="n">
        <f aca="false">Günlük!I271/Günlük!I264-1</f>
        <v>-0.0571869448298227</v>
      </c>
      <c r="G40" s="17" t="n">
        <f aca="false">Günlük!J271/Günlük!J264-1</f>
        <v>-0.056309636963217</v>
      </c>
      <c r="H40" s="17" t="n">
        <f aca="false">Günlük!K271/Günlük!K264-1</f>
        <v>-0.0590528742053285</v>
      </c>
      <c r="I40" s="17" t="n">
        <f aca="false">Günlük!L271/Günlük!L264-1</f>
        <v>-0.0656750619947396</v>
      </c>
      <c r="J40" s="18" t="n">
        <f aca="false">Günlük!H271-Günlük!H264</f>
        <v>-344.729738959085</v>
      </c>
      <c r="K40" s="18" t="n">
        <f aca="false">Günlük!I271-Günlük!I264</f>
        <v>-258.795634042597</v>
      </c>
      <c r="L40" s="18" t="n">
        <f aca="false">Günlük!J271-Günlük!J264</f>
        <v>-248.46436124407</v>
      </c>
      <c r="M40" s="18" t="n">
        <f aca="false">Günlük!K271-Günlük!K264</f>
        <v>-195.271206352049</v>
      </c>
      <c r="N40" s="18" t="n">
        <f aca="false">Günlük!L271-Günlük!L264</f>
        <v>-312.413400280495</v>
      </c>
      <c r="O40" s="7" t="n">
        <f aca="false">Günlük!H271</f>
        <v>3962.74910807444</v>
      </c>
      <c r="P40" s="7" t="n">
        <f aca="false">Günlük!I271</f>
        <v>4266.63643463537</v>
      </c>
      <c r="Q40" s="7" t="n">
        <f aca="false">Günlük!J271</f>
        <v>4164.00168619952</v>
      </c>
      <c r="R40" s="7" t="n">
        <f aca="false">Günlük!K271</f>
        <v>3111.44686588074</v>
      </c>
      <c r="S40" s="7" t="n">
        <f aca="false">Günlük!L271</f>
        <v>4444.54290537961</v>
      </c>
    </row>
    <row r="41" customFormat="false" ht="15" hidden="false" customHeight="false" outlineLevel="0" collapsed="false">
      <c r="A41" s="15" t="s">
        <v>111</v>
      </c>
      <c r="B41" s="16" t="n">
        <f aca="false">Günlük!A272</f>
        <v>46293</v>
      </c>
      <c r="C41" s="16" t="n">
        <f aca="false">Günlük!A274</f>
        <v>46295</v>
      </c>
      <c r="D41" s="15" t="n">
        <v>3</v>
      </c>
      <c r="E41" s="17" t="n">
        <f aca="false">Günlük!H274/Günlük!H271-1</f>
        <v>0.00488966418547054</v>
      </c>
      <c r="F41" s="17" t="n">
        <f aca="false">Günlük!I274/Günlük!I271-1</f>
        <v>0.0162384989501077</v>
      </c>
      <c r="G41" s="17" t="n">
        <f aca="false">Günlük!J274/Günlük!J271-1</f>
        <v>0.0162384597412315</v>
      </c>
      <c r="H41" s="17" t="n">
        <f aca="false">Günlük!K274/Günlük!K271-1</f>
        <v>0.0250451595472987</v>
      </c>
      <c r="I41" s="17" t="n">
        <f aca="false">Günlük!L274/Günlük!L271-1</f>
        <v>0.0273233937164754</v>
      </c>
      <c r="J41" s="18" t="n">
        <f aca="false">Günlük!H274-Günlük!H271</f>
        <v>19.3765123897565</v>
      </c>
      <c r="K41" s="18" t="n">
        <f aca="false">Günlük!I274-Günlük!I271</f>
        <v>69.2837712643177</v>
      </c>
      <c r="L41" s="18" t="n">
        <f aca="false">Günlük!J274-Günlük!J271</f>
        <v>67.6169737437713</v>
      </c>
      <c r="M41" s="18" t="n">
        <f aca="false">Günlük!K274-Günlük!K271</f>
        <v>77.9266831789259</v>
      </c>
      <c r="N41" s="18" t="n">
        <f aca="false">Günlük!L274-Günlük!L271</f>
        <v>121.439995693455</v>
      </c>
      <c r="O41" s="7" t="n">
        <f aca="false">Günlük!H274</f>
        <v>3982.12562046419</v>
      </c>
      <c r="P41" s="7" t="n">
        <f aca="false">Günlük!I274</f>
        <v>4335.92020589969</v>
      </c>
      <c r="Q41" s="7" t="n">
        <f aca="false">Günlük!J274</f>
        <v>4231.61865994329</v>
      </c>
      <c r="R41" s="7" t="n">
        <f aca="false">Günlük!K274</f>
        <v>3189.37354905967</v>
      </c>
      <c r="S41" s="7" t="n">
        <f aca="false">Günlük!L274</f>
        <v>4565.98290107306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4"/>
  </cols>
  <sheetData>
    <row r="1" customFormat="false" ht="31.5" hidden="false" customHeight="true" outlineLevel="0" collapsed="false">
      <c r="A1" s="6" t="s">
        <v>112</v>
      </c>
      <c r="B1" s="6" t="s">
        <v>55</v>
      </c>
      <c r="C1" s="6" t="s">
        <v>56</v>
      </c>
      <c r="D1" s="6" t="s">
        <v>31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</row>
    <row r="2" customFormat="false" ht="15" hidden="false" customHeight="false" outlineLevel="0" collapsed="false">
      <c r="A2" s="15" t="s">
        <v>113</v>
      </c>
      <c r="B2" s="16" t="n">
        <f aca="false">Günlük!A2</f>
        <v>46023</v>
      </c>
      <c r="C2" s="16" t="n">
        <f aca="false">Günlük!A32</f>
        <v>46053</v>
      </c>
      <c r="D2" s="15" t="n">
        <v>31</v>
      </c>
      <c r="E2" s="17" t="n">
        <f aca="false">Günlük!H32/Varsayımlar!$B$3-1</f>
        <v>0.414106341565892</v>
      </c>
      <c r="F2" s="17" t="n">
        <f aca="false">Günlük!I32/Varsayımlar!$B$3-1</f>
        <v>0.433950306594943</v>
      </c>
      <c r="G2" s="17" t="n">
        <f aca="false">Günlük!J32/Varsayımlar!$B$3-1</f>
        <v>0.413905463555649</v>
      </c>
      <c r="H2" s="17" t="n">
        <f aca="false">Günlük!K32/Varsayımlar!$B$3-1</f>
        <v>0.377405147408735</v>
      </c>
      <c r="I2" s="17" t="n">
        <f aca="false">Günlük!L32/Varsayımlar!$B$3-1</f>
        <v>0.405650799718327</v>
      </c>
      <c r="J2" s="18" t="n">
        <f aca="false">Günlük!H32-Varsayımlar!$B$3</f>
        <v>414.106341565892</v>
      </c>
      <c r="K2" s="18" t="n">
        <f aca="false">Günlük!I32-Varsayımlar!$B$3</f>
        <v>433.950306594943</v>
      </c>
      <c r="L2" s="18" t="n">
        <f aca="false">Günlük!J32-Varsayımlar!$B$3</f>
        <v>413.905463555649</v>
      </c>
      <c r="M2" s="18" t="n">
        <f aca="false">Günlük!K32-Varsayımlar!$B$3</f>
        <v>377.405147408735</v>
      </c>
      <c r="N2" s="18" t="n">
        <f aca="false">Günlük!L32-Varsayımlar!$B$3</f>
        <v>405.650799718327</v>
      </c>
      <c r="O2" s="7" t="n">
        <f aca="false">Günlük!H32</f>
        <v>1414.10634156589</v>
      </c>
      <c r="P2" s="7" t="n">
        <f aca="false">Günlük!I32</f>
        <v>1433.95030659494</v>
      </c>
      <c r="Q2" s="7" t="n">
        <f aca="false">Günlük!J32</f>
        <v>1413.90546355565</v>
      </c>
      <c r="R2" s="7" t="n">
        <f aca="false">Günlük!K32</f>
        <v>1377.40514740873</v>
      </c>
      <c r="S2" s="7" t="n">
        <f aca="false">Günlük!L32</f>
        <v>1405.65079971833</v>
      </c>
    </row>
    <row r="3" customFormat="false" ht="15" hidden="false" customHeight="false" outlineLevel="0" collapsed="false">
      <c r="A3" s="15" t="s">
        <v>114</v>
      </c>
      <c r="B3" s="16" t="n">
        <f aca="false">Günlük!A33</f>
        <v>46054</v>
      </c>
      <c r="C3" s="16" t="n">
        <f aca="false">Günlük!A60</f>
        <v>46081</v>
      </c>
      <c r="D3" s="15" t="n">
        <v>28</v>
      </c>
      <c r="E3" s="17" t="n">
        <f aca="false">Günlük!H60/Günlük!H32-1</f>
        <v>0.165558598978367</v>
      </c>
      <c r="F3" s="17" t="n">
        <f aca="false">Günlük!I60/Günlük!I32-1</f>
        <v>0.210815466980939</v>
      </c>
      <c r="G3" s="17" t="n">
        <f aca="false">Günlük!J60/Günlük!J32-1</f>
        <v>0.202175098419102</v>
      </c>
      <c r="H3" s="17" t="n">
        <f aca="false">Günlük!K60/Günlük!K32-1</f>
        <v>0.160407342960623</v>
      </c>
      <c r="I3" s="17" t="n">
        <f aca="false">Günlük!L60/Günlük!L32-1</f>
        <v>0.197316902197434</v>
      </c>
      <c r="J3" s="18" t="n">
        <f aca="false">Günlük!H60-Günlük!H32</f>
        <v>234.117464716073</v>
      </c>
      <c r="K3" s="18" t="n">
        <f aca="false">Günlük!I60-Günlük!I32</f>
        <v>302.298903512274</v>
      </c>
      <c r="L3" s="18" t="n">
        <f aca="false">Günlük!J60-Günlük!J32</f>
        <v>285.856476249669</v>
      </c>
      <c r="M3" s="18" t="n">
        <f aca="false">Günlük!K60-Günlük!K32</f>
        <v>220.94589987612</v>
      </c>
      <c r="N3" s="18" t="n">
        <f aca="false">Günlük!L60-Günlük!L32</f>
        <v>277.358661371766</v>
      </c>
      <c r="O3" s="7" t="n">
        <f aca="false">Günlük!H60</f>
        <v>1648.22380628196</v>
      </c>
      <c r="P3" s="7" t="n">
        <f aca="false">Günlük!I60</f>
        <v>1736.24921010722</v>
      </c>
      <c r="Q3" s="7" t="n">
        <f aca="false">Günlük!J60</f>
        <v>1699.76193980532</v>
      </c>
      <c r="R3" s="7" t="n">
        <f aca="false">Günlük!K60</f>
        <v>1598.35104728486</v>
      </c>
      <c r="S3" s="7" t="n">
        <f aca="false">Günlük!L60</f>
        <v>1683.00946109009</v>
      </c>
    </row>
    <row r="4" customFormat="false" ht="15" hidden="false" customHeight="false" outlineLevel="0" collapsed="false">
      <c r="A4" s="15" t="s">
        <v>115</v>
      </c>
      <c r="B4" s="16" t="n">
        <f aca="false">Günlük!A61</f>
        <v>46082</v>
      </c>
      <c r="C4" s="16" t="n">
        <f aca="false">Günlük!A91</f>
        <v>46112</v>
      </c>
      <c r="D4" s="15" t="n">
        <v>31</v>
      </c>
      <c r="E4" s="17" t="n">
        <f aca="false">Günlük!H91/Günlük!H60-1</f>
        <v>0.111365763199815</v>
      </c>
      <c r="F4" s="17" t="n">
        <f aca="false">Günlük!I91/Günlük!I60-1</f>
        <v>0.0759931064275323</v>
      </c>
      <c r="G4" s="17" t="n">
        <f aca="false">Günlük!J91/Günlük!J60-1</f>
        <v>0.102968710187459</v>
      </c>
      <c r="H4" s="17" t="n">
        <f aca="false">Günlük!K91/Günlük!K60-1</f>
        <v>0.0831667110738745</v>
      </c>
      <c r="I4" s="17" t="n">
        <f aca="false">Günlük!L91/Günlük!L60-1</f>
        <v>0.0904101548956016</v>
      </c>
      <c r="J4" s="18" t="n">
        <f aca="false">Günlük!H91-Günlük!H60</f>
        <v>183.555702110696</v>
      </c>
      <c r="K4" s="18" t="n">
        <f aca="false">Günlük!I91-Günlük!I60</f>
        <v>131.942971008397</v>
      </c>
      <c r="L4" s="18" t="n">
        <f aca="false">Günlük!J91-Günlük!J60</f>
        <v>175.022294567487</v>
      </c>
      <c r="M4" s="18" t="n">
        <f aca="false">Günlük!K91-Günlük!K60</f>
        <v>132.929599744164</v>
      </c>
      <c r="N4" s="18" t="n">
        <f aca="false">Günlük!L91-Günlük!L60</f>
        <v>152.161146067918</v>
      </c>
      <c r="O4" s="7" t="n">
        <f aca="false">Günlük!H91</f>
        <v>1831.77950839266</v>
      </c>
      <c r="P4" s="7" t="n">
        <f aca="false">Günlük!I91</f>
        <v>1868.19218111561</v>
      </c>
      <c r="Q4" s="7" t="n">
        <f aca="false">Günlük!J91</f>
        <v>1874.78423437281</v>
      </c>
      <c r="R4" s="7" t="n">
        <f aca="false">Günlük!K91</f>
        <v>1731.28064702902</v>
      </c>
      <c r="S4" s="7" t="n">
        <f aca="false">Günlük!L91</f>
        <v>1835.17060715801</v>
      </c>
    </row>
    <row r="5" customFormat="false" ht="15" hidden="false" customHeight="false" outlineLevel="0" collapsed="false">
      <c r="A5" s="15" t="s">
        <v>116</v>
      </c>
      <c r="B5" s="16" t="n">
        <f aca="false">Günlük!A92</f>
        <v>46113</v>
      </c>
      <c r="C5" s="16" t="n">
        <f aca="false">Günlük!A121</f>
        <v>46142</v>
      </c>
      <c r="D5" s="15" t="n">
        <v>30</v>
      </c>
      <c r="E5" s="17" t="n">
        <f aca="false">Günlük!H121/Günlük!H91-1</f>
        <v>0.309520483460049</v>
      </c>
      <c r="F5" s="17" t="n">
        <f aca="false">Günlük!I121/Günlük!I91-1</f>
        <v>0.395159907112637</v>
      </c>
      <c r="G5" s="17" t="n">
        <f aca="false">Günlük!J121/Günlük!J91-1</f>
        <v>0.377690126171991</v>
      </c>
      <c r="H5" s="17" t="n">
        <f aca="false">Günlük!K121/Günlük!K91-1</f>
        <v>0.24159113277582</v>
      </c>
      <c r="I5" s="17" t="n">
        <f aca="false">Günlük!L121/Günlük!L91-1</f>
        <v>0.339086722065682</v>
      </c>
      <c r="J5" s="18" t="n">
        <f aca="false">Günlük!H121-Günlük!H91</f>
        <v>566.973279029907</v>
      </c>
      <c r="K5" s="18" t="n">
        <f aca="false">Günlük!I121-Günlük!I91</f>
        <v>738.2346487582</v>
      </c>
      <c r="L5" s="18" t="n">
        <f aca="false">Günlük!J121-Günlük!J91</f>
        <v>708.087494025524</v>
      </c>
      <c r="M5" s="18" t="n">
        <f aca="false">Günlük!K121-Günlük!K91</f>
        <v>418.262052668595</v>
      </c>
      <c r="N5" s="18" t="n">
        <f aca="false">Günlük!L121-Günlük!L91</f>
        <v>622.281985612498</v>
      </c>
      <c r="O5" s="7" t="n">
        <f aca="false">Günlük!H121</f>
        <v>2398.75278742257</v>
      </c>
      <c r="P5" s="7" t="n">
        <f aca="false">Günlük!I121</f>
        <v>2606.42682987381</v>
      </c>
      <c r="Q5" s="7" t="n">
        <f aca="false">Günlük!J121</f>
        <v>2582.87172839833</v>
      </c>
      <c r="R5" s="7" t="n">
        <f aca="false">Günlük!K121</f>
        <v>2149.54269969761</v>
      </c>
      <c r="S5" s="7" t="n">
        <f aca="false">Günlük!L121</f>
        <v>2457.45259277051</v>
      </c>
    </row>
    <row r="6" customFormat="false" ht="15" hidden="false" customHeight="false" outlineLevel="0" collapsed="false">
      <c r="A6" s="15" t="s">
        <v>117</v>
      </c>
      <c r="B6" s="16" t="n">
        <f aca="false">Günlük!A122</f>
        <v>46143</v>
      </c>
      <c r="C6" s="16" t="n">
        <f aca="false">Günlük!A152</f>
        <v>46173</v>
      </c>
      <c r="D6" s="15" t="n">
        <v>31</v>
      </c>
      <c r="E6" s="17" t="n">
        <f aca="false">Günlük!H152/Günlük!H121-1</f>
        <v>0.190844362190721</v>
      </c>
      <c r="F6" s="17" t="n">
        <f aca="false">Günlük!I152/Günlük!I121-1</f>
        <v>0.157923326454053</v>
      </c>
      <c r="G6" s="17" t="n">
        <f aca="false">Günlük!J152/Günlük!J121-1</f>
        <v>0.161020472499202</v>
      </c>
      <c r="H6" s="17" t="n">
        <f aca="false">Günlük!K152/Günlük!K121-1</f>
        <v>0.110075296802673</v>
      </c>
      <c r="I6" s="17" t="n">
        <f aca="false">Günlük!L152/Günlük!L121-1</f>
        <v>0.165151652119812</v>
      </c>
      <c r="J6" s="18" t="n">
        <f aca="false">Günlük!H152-Günlük!H121</f>
        <v>457.788445768875</v>
      </c>
      <c r="K6" s="18" t="n">
        <f aca="false">Günlük!I152-Günlük!I121</f>
        <v>411.615595132765</v>
      </c>
      <c r="L6" s="18" t="n">
        <f aca="false">Günlük!J152-Günlük!J121</f>
        <v>415.89522611153</v>
      </c>
      <c r="M6" s="18" t="n">
        <f aca="false">Günlük!K152-Günlük!K121</f>
        <v>236.611550659233</v>
      </c>
      <c r="N6" s="18" t="n">
        <f aca="false">Günlük!L152-Günlük!L121</f>
        <v>405.852355702166</v>
      </c>
      <c r="O6" s="7" t="n">
        <f aca="false">Günlük!H152</f>
        <v>2856.54123319144</v>
      </c>
      <c r="P6" s="7" t="n">
        <f aca="false">Günlük!I152</f>
        <v>3018.04242500658</v>
      </c>
      <c r="Q6" s="7" t="n">
        <f aca="false">Günlük!J152</f>
        <v>2998.76695450986</v>
      </c>
      <c r="R6" s="7" t="n">
        <f aca="false">Günlük!K152</f>
        <v>2386.15425035685</v>
      </c>
      <c r="S6" s="7" t="n">
        <f aca="false">Günlük!L152</f>
        <v>2863.30494847268</v>
      </c>
    </row>
    <row r="7" customFormat="false" ht="15" hidden="false" customHeight="false" outlineLevel="0" collapsed="false">
      <c r="A7" s="15" t="s">
        <v>118</v>
      </c>
      <c r="B7" s="16" t="n">
        <f aca="false">Günlük!A153</f>
        <v>46174</v>
      </c>
      <c r="C7" s="16" t="n">
        <f aca="false">Günlük!A182</f>
        <v>46203</v>
      </c>
      <c r="D7" s="15" t="n">
        <v>30</v>
      </c>
      <c r="E7" s="17" t="n">
        <f aca="false">Günlük!H182/Günlük!H152-1</f>
        <v>0.172046250307925</v>
      </c>
      <c r="F7" s="17" t="n">
        <f aca="false">Günlük!I182/Günlük!I152-1</f>
        <v>0.196287943746259</v>
      </c>
      <c r="G7" s="17" t="n">
        <f aca="false">Günlük!J182/Günlük!J152-1</f>
        <v>0.174347533871966</v>
      </c>
      <c r="H7" s="17" t="n">
        <f aca="false">Günlük!K182/Günlük!K152-1</f>
        <v>0.170949823116815</v>
      </c>
      <c r="I7" s="17" t="n">
        <f aca="false">Günlük!L182/Günlük!L152-1</f>
        <v>0.258778691950289</v>
      </c>
      <c r="J7" s="18" t="n">
        <f aca="false">Günlük!H182-Günlük!H152</f>
        <v>491.457208020564</v>
      </c>
      <c r="K7" s="18" t="n">
        <f aca="false">Günlük!I182-Günlük!I152</f>
        <v>592.405341743513</v>
      </c>
      <c r="L7" s="18" t="n">
        <f aca="false">Günlük!J182-Günlük!J152</f>
        <v>522.82762317554</v>
      </c>
      <c r="M7" s="18" t="n">
        <f aca="false">Günlük!K182-Günlük!K152</f>
        <v>407.91264702794</v>
      </c>
      <c r="N7" s="18" t="n">
        <f aca="false">Günlük!L182-Günlük!L152</f>
        <v>740.96230922055</v>
      </c>
      <c r="O7" s="7" t="n">
        <f aca="false">Günlük!H182</f>
        <v>3347.99844121201</v>
      </c>
      <c r="P7" s="7" t="n">
        <f aca="false">Günlük!I182</f>
        <v>3610.44776675009</v>
      </c>
      <c r="Q7" s="7" t="n">
        <f aca="false">Günlük!J182</f>
        <v>3521.5945776854</v>
      </c>
      <c r="R7" s="7" t="n">
        <f aca="false">Günlük!K182</f>
        <v>2794.06689738479</v>
      </c>
      <c r="S7" s="7" t="n">
        <f aca="false">Günlük!L182</f>
        <v>3604.26725769323</v>
      </c>
    </row>
    <row r="8" customFormat="false" ht="15" hidden="false" customHeight="false" outlineLevel="0" collapsed="false">
      <c r="A8" s="15" t="s">
        <v>119</v>
      </c>
      <c r="B8" s="16" t="n">
        <f aca="false">Günlük!A183</f>
        <v>46204</v>
      </c>
      <c r="C8" s="16" t="n">
        <f aca="false">Günlük!A213</f>
        <v>46234</v>
      </c>
      <c r="D8" s="15" t="n">
        <v>31</v>
      </c>
      <c r="E8" s="17" t="n">
        <f aca="false">Günlük!H213/Günlük!H182-1</f>
        <v>0.0331825113767756</v>
      </c>
      <c r="F8" s="17" t="n">
        <f aca="false">Günlük!I213/Günlük!I182-1</f>
        <v>0.0170725656951767</v>
      </c>
      <c r="G8" s="17" t="n">
        <f aca="false">Günlük!J213/Günlük!J182-1</f>
        <v>0.0228054505296049</v>
      </c>
      <c r="H8" s="17" t="n">
        <f aca="false">Günlük!K213/Günlük!K182-1</f>
        <v>-0.0248678326412276</v>
      </c>
      <c r="I8" s="17" t="n">
        <f aca="false">Günlük!L213/Günlük!L182-1</f>
        <v>0.0245734300568321</v>
      </c>
      <c r="J8" s="18" t="n">
        <f aca="false">Günlük!H213-Günlük!H182</f>
        <v>111.094996364945</v>
      </c>
      <c r="K8" s="18" t="n">
        <f aca="false">Günlük!I213-Günlük!I182</f>
        <v>61.6396066868451</v>
      </c>
      <c r="L8" s="18" t="n">
        <f aca="false">Günlük!J213-Günlük!J182</f>
        <v>80.3115509267295</v>
      </c>
      <c r="M8" s="18" t="n">
        <f aca="false">Günlük!K213-Günlük!K182</f>
        <v>-69.4823879925589</v>
      </c>
      <c r="N8" s="18" t="n">
        <f aca="false">Günlük!L213-Günlük!L182</f>
        <v>88.5692093630541</v>
      </c>
      <c r="O8" s="7" t="n">
        <f aca="false">Günlük!H213</f>
        <v>3459.09343757695</v>
      </c>
      <c r="P8" s="7" t="n">
        <f aca="false">Günlük!I213</f>
        <v>3672.08737343694</v>
      </c>
      <c r="Q8" s="7" t="n">
        <f aca="false">Günlük!J213</f>
        <v>3601.90612861213</v>
      </c>
      <c r="R8" s="7" t="n">
        <f aca="false">Günlük!K213</f>
        <v>2724.58450939223</v>
      </c>
      <c r="S8" s="7" t="n">
        <f aca="false">Günlük!L213</f>
        <v>3692.83646705628</v>
      </c>
    </row>
    <row r="9" customFormat="false" ht="15" hidden="false" customHeight="false" outlineLevel="0" collapsed="false">
      <c r="A9" s="15" t="s">
        <v>120</v>
      </c>
      <c r="B9" s="16" t="n">
        <f aca="false">Günlük!A214</f>
        <v>46235</v>
      </c>
      <c r="C9" s="16" t="n">
        <f aca="false">Günlük!A244</f>
        <v>46265</v>
      </c>
      <c r="D9" s="15" t="n">
        <v>31</v>
      </c>
      <c r="E9" s="17" t="n">
        <f aca="false">Günlük!H244/Günlük!H213-1</f>
        <v>0.073240294145398</v>
      </c>
      <c r="F9" s="17" t="n">
        <f aca="false">Günlük!I244/Günlük!I213-1</f>
        <v>0.0820476873566616</v>
      </c>
      <c r="G9" s="17" t="n">
        <f aca="false">Günlük!J244/Günlük!J213-1</f>
        <v>0.0768445815055245</v>
      </c>
      <c r="H9" s="17" t="n">
        <f aca="false">Günlük!K244/Günlük!K213-1</f>
        <v>0.100750789242527</v>
      </c>
      <c r="I9" s="17" t="n">
        <f aca="false">Günlük!L244/Günlük!L213-1</f>
        <v>0.0976585401629362</v>
      </c>
      <c r="J9" s="18" t="n">
        <f aca="false">Günlük!H244-Günlük!H213</f>
        <v>253.345020844552</v>
      </c>
      <c r="K9" s="18" t="n">
        <f aca="false">Günlük!I244-Günlük!I213</f>
        <v>301.286276762098</v>
      </c>
      <c r="L9" s="18" t="n">
        <f aca="false">Günlük!J244-Günlük!J213</f>
        <v>276.786969075383</v>
      </c>
      <c r="M9" s="18" t="n">
        <f aca="false">Günlük!K244-Günlük!K213</f>
        <v>274.50403967923</v>
      </c>
      <c r="N9" s="18" t="n">
        <f aca="false">Günlük!L244-Günlük!L213</f>
        <v>360.637018433171</v>
      </c>
      <c r="O9" s="7" t="n">
        <f aca="false">Günlük!H244</f>
        <v>3712.4384584215</v>
      </c>
      <c r="P9" s="7" t="n">
        <f aca="false">Günlük!I244</f>
        <v>3973.37365019903</v>
      </c>
      <c r="Q9" s="7" t="n">
        <f aca="false">Günlük!J244</f>
        <v>3878.69309768751</v>
      </c>
      <c r="R9" s="7" t="n">
        <f aca="false">Günlük!K244</f>
        <v>2999.08854907146</v>
      </c>
      <c r="S9" s="7" t="n">
        <f aca="false">Günlük!L244</f>
        <v>4053.47348548945</v>
      </c>
    </row>
    <row r="10" customFormat="false" ht="15" hidden="false" customHeight="false" outlineLevel="0" collapsed="false">
      <c r="A10" s="15" t="s">
        <v>121</v>
      </c>
      <c r="B10" s="16" t="n">
        <f aca="false">Günlük!A245</f>
        <v>46266</v>
      </c>
      <c r="C10" s="16" t="n">
        <f aca="false">Günlük!A274</f>
        <v>46295</v>
      </c>
      <c r="D10" s="15" t="n">
        <v>30</v>
      </c>
      <c r="E10" s="17" t="n">
        <f aca="false">Günlük!H274/Günlük!H244-1</f>
        <v>0.07264421082346</v>
      </c>
      <c r="F10" s="17" t="n">
        <f aca="false">Günlük!I274/Günlük!I244-1</f>
        <v>0.0912440126748444</v>
      </c>
      <c r="G10" s="17" t="n">
        <f aca="false">Günlük!J274/Günlük!J244-1</f>
        <v>0.0909908449488293</v>
      </c>
      <c r="H10" s="17" t="n">
        <f aca="false">Günlük!K274/Günlük!K244-1</f>
        <v>0.0634476097903562</v>
      </c>
      <c r="I10" s="17" t="n">
        <f aca="false">Günlük!L274/Günlük!L244-1</f>
        <v>0.126437095843425</v>
      </c>
      <c r="J10" s="18" t="n">
        <f aca="false">Günlük!H274-Günlük!H244</f>
        <v>269.687162042692</v>
      </c>
      <c r="K10" s="18" t="n">
        <f aca="false">Günlük!I274-Günlük!I244</f>
        <v>362.546555700654</v>
      </c>
      <c r="L10" s="18" t="n">
        <f aca="false">Günlük!J274-Günlük!J244</f>
        <v>352.925562255779</v>
      </c>
      <c r="M10" s="18" t="n">
        <f aca="false">Günlük!K274-Günlük!K244</f>
        <v>190.284999988211</v>
      </c>
      <c r="N10" s="18" t="n">
        <f aca="false">Günlük!L274-Günlük!L244</f>
        <v>512.509415583611</v>
      </c>
      <c r="O10" s="7" t="n">
        <f aca="false">Günlük!H274</f>
        <v>3982.12562046419</v>
      </c>
      <c r="P10" s="7" t="n">
        <f aca="false">Günlük!I274</f>
        <v>4335.92020589969</v>
      </c>
      <c r="Q10" s="7" t="n">
        <f aca="false">Günlük!J274</f>
        <v>4231.61865994329</v>
      </c>
      <c r="R10" s="7" t="n">
        <f aca="false">Günlük!K274</f>
        <v>3189.37354905967</v>
      </c>
      <c r="S10" s="7" t="n">
        <f aca="false">Günlük!L274</f>
        <v>4565.98290107306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2026-10-27T20:38:04Z</dcterms:created>
  <dc:creator>openpyxl</dc:creator>
  <dc:description/>
  <dc:language>en-US</dc:language>
  <cp:lastModifiedBy/>
  <dcterms:modified xsi:type="dcterms:W3CDTF">2026-10-27T20:38:05Z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